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5611119\Documents\Macros\"/>
    </mc:Choice>
  </mc:AlternateContent>
  <bookViews>
    <workbookView xWindow="0" yWindow="0" windowWidth="28800" windowHeight="11700"/>
  </bookViews>
  <sheets>
    <sheet name="Branches" sheetId="1" r:id="rId1"/>
    <sheet name="3635" sheetId="48" r:id="rId2"/>
    <sheet name="0945" sheetId="47" r:id="rId3"/>
    <sheet name="0886" sheetId="46" r:id="rId4"/>
    <sheet name="0809" sheetId="45" r:id="rId5"/>
    <sheet name="0806" sheetId="44" r:id="rId6"/>
    <sheet name="0795" sheetId="43" r:id="rId7"/>
    <sheet name="0793" sheetId="42" r:id="rId8"/>
    <sheet name="0792" sheetId="41" r:id="rId9"/>
    <sheet name="0790" sheetId="40" r:id="rId10"/>
    <sheet name="0776" sheetId="39" r:id="rId11"/>
    <sheet name="0700" sheetId="38" r:id="rId12"/>
    <sheet name="0688" sheetId="37" r:id="rId13"/>
    <sheet name="0687" sheetId="36" r:id="rId14"/>
    <sheet name="0439" sheetId="35" r:id="rId15"/>
    <sheet name="0428" sheetId="34" r:id="rId16"/>
    <sheet name="0427" sheetId="33" r:id="rId17"/>
    <sheet name="example" sheetId="2" r:id="rId18"/>
  </sheets>
  <externalReferences>
    <externalReference r:id="rId19"/>
  </externalReferences>
  <definedNames>
    <definedName name="Data">'[1]Sheet1 (2)'!$A$2:$B$328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" i="1" l="1"/>
  <c r="O19" i="1"/>
  <c r="M19" i="1" s="1"/>
  <c r="N19" i="1" s="1"/>
  <c r="J19" i="1"/>
  <c r="I19" i="1"/>
  <c r="H19" i="1"/>
  <c r="G19" i="1"/>
  <c r="F17" i="48"/>
  <c r="E17" i="48"/>
  <c r="D17" i="48"/>
  <c r="C17" i="48"/>
  <c r="B17" i="48"/>
  <c r="O18" i="1"/>
  <c r="M18" i="1"/>
  <c r="N18" i="1" s="1"/>
  <c r="J18" i="1"/>
  <c r="I18" i="1"/>
  <c r="P18" i="1" s="1"/>
  <c r="H18" i="1"/>
  <c r="G18" i="1"/>
  <c r="F17" i="47"/>
  <c r="E17" i="47"/>
  <c r="D17" i="47"/>
  <c r="C17" i="47"/>
  <c r="B17" i="47"/>
  <c r="O17" i="1"/>
  <c r="M17" i="1" s="1"/>
  <c r="N17" i="1" s="1"/>
  <c r="J17" i="1"/>
  <c r="H17" i="1"/>
  <c r="G17" i="1"/>
  <c r="F17" i="46"/>
  <c r="E17" i="46"/>
  <c r="D17" i="46"/>
  <c r="C17" i="46"/>
  <c r="B17" i="46"/>
  <c r="O16" i="1"/>
  <c r="M16" i="1"/>
  <c r="N16" i="1" s="1"/>
  <c r="J16" i="1"/>
  <c r="I16" i="1"/>
  <c r="P16" i="1" s="1"/>
  <c r="H16" i="1"/>
  <c r="G16" i="1"/>
  <c r="F17" i="45"/>
  <c r="E17" i="45"/>
  <c r="D17" i="45"/>
  <c r="C17" i="45"/>
  <c r="B17" i="45"/>
  <c r="O15" i="1"/>
  <c r="M15" i="1"/>
  <c r="N15" i="1" s="1"/>
  <c r="J15" i="1"/>
  <c r="I15" i="1"/>
  <c r="P15" i="1" s="1"/>
  <c r="H15" i="1"/>
  <c r="G15" i="1"/>
  <c r="F17" i="44"/>
  <c r="E17" i="44"/>
  <c r="D17" i="44"/>
  <c r="C17" i="44"/>
  <c r="B17" i="44"/>
  <c r="O14" i="1"/>
  <c r="M14" i="1" s="1"/>
  <c r="N14" i="1" s="1"/>
  <c r="J14" i="1"/>
  <c r="I14" i="1"/>
  <c r="P14" i="1" s="1"/>
  <c r="H14" i="1"/>
  <c r="G14" i="1"/>
  <c r="F17" i="43"/>
  <c r="E17" i="43"/>
  <c r="D17" i="43"/>
  <c r="C17" i="43"/>
  <c r="B17" i="43"/>
  <c r="O13" i="1"/>
  <c r="M13" i="1"/>
  <c r="N13" i="1" s="1"/>
  <c r="J13" i="1"/>
  <c r="I13" i="1"/>
  <c r="P13" i="1" s="1"/>
  <c r="H13" i="1"/>
  <c r="G13" i="1"/>
  <c r="F17" i="42"/>
  <c r="E17" i="42"/>
  <c r="D17" i="42"/>
  <c r="C17" i="42"/>
  <c r="B17" i="42"/>
  <c r="O12" i="1"/>
  <c r="M12" i="1" s="1"/>
  <c r="N12" i="1" s="1"/>
  <c r="J12" i="1"/>
  <c r="I12" i="1"/>
  <c r="P12" i="1" s="1"/>
  <c r="H12" i="1"/>
  <c r="G12" i="1"/>
  <c r="F17" i="41"/>
  <c r="E17" i="41"/>
  <c r="D17" i="41"/>
  <c r="C17" i="41"/>
  <c r="B17" i="41"/>
  <c r="O11" i="1"/>
  <c r="M11" i="1"/>
  <c r="N11" i="1" s="1"/>
  <c r="J11" i="1"/>
  <c r="I11" i="1"/>
  <c r="P11" i="1" s="1"/>
  <c r="H11" i="1"/>
  <c r="G11" i="1"/>
  <c r="F17" i="40"/>
  <c r="E17" i="40"/>
  <c r="D17" i="40"/>
  <c r="C17" i="40"/>
  <c r="B17" i="40"/>
  <c r="O10" i="1"/>
  <c r="M10" i="1"/>
  <c r="N10" i="1" s="1"/>
  <c r="J10" i="1"/>
  <c r="I10" i="1"/>
  <c r="P10" i="1" s="1"/>
  <c r="H10" i="1"/>
  <c r="G10" i="1"/>
  <c r="F17" i="39"/>
  <c r="E17" i="39"/>
  <c r="D17" i="39"/>
  <c r="C17" i="39"/>
  <c r="B17" i="39"/>
  <c r="O9" i="1"/>
  <c r="M9" i="1"/>
  <c r="N9" i="1" s="1"/>
  <c r="J9" i="1"/>
  <c r="I9" i="1"/>
  <c r="P9" i="1" s="1"/>
  <c r="H9" i="1"/>
  <c r="G9" i="1"/>
  <c r="F17" i="38"/>
  <c r="E17" i="38"/>
  <c r="D17" i="38"/>
  <c r="C17" i="38"/>
  <c r="B17" i="38"/>
  <c r="O8" i="1"/>
  <c r="M8" i="1"/>
  <c r="N8" i="1" s="1"/>
  <c r="J8" i="1"/>
  <c r="I8" i="1"/>
  <c r="P8" i="1" s="1"/>
  <c r="H8" i="1"/>
  <c r="G8" i="1"/>
  <c r="F17" i="37"/>
  <c r="E17" i="37"/>
  <c r="D17" i="37"/>
  <c r="C17" i="37"/>
  <c r="B17" i="37"/>
  <c r="O7" i="1"/>
  <c r="M7" i="1" s="1"/>
  <c r="N7" i="1" s="1"/>
  <c r="J7" i="1"/>
  <c r="I7" i="1"/>
  <c r="P7" i="1" s="1"/>
  <c r="H7" i="1"/>
  <c r="G7" i="1"/>
  <c r="F17" i="36"/>
  <c r="E17" i="36"/>
  <c r="D17" i="36"/>
  <c r="C17" i="36"/>
  <c r="B17" i="36"/>
  <c r="O6" i="1"/>
  <c r="M6" i="1" s="1"/>
  <c r="N6" i="1" s="1"/>
  <c r="J6" i="1"/>
  <c r="I6" i="1"/>
  <c r="P6" i="1" s="1"/>
  <c r="H6" i="1"/>
  <c r="G6" i="1"/>
  <c r="F17" i="35"/>
  <c r="E17" i="35"/>
  <c r="D17" i="35"/>
  <c r="C17" i="35"/>
  <c r="B17" i="35"/>
  <c r="O5" i="1"/>
  <c r="M5" i="1"/>
  <c r="N5" i="1" s="1"/>
  <c r="J5" i="1"/>
  <c r="I5" i="1"/>
  <c r="P5" i="1" s="1"/>
  <c r="H5" i="1"/>
  <c r="G5" i="1"/>
  <c r="F17" i="34"/>
  <c r="E17" i="34"/>
  <c r="D17" i="34"/>
  <c r="C17" i="34"/>
  <c r="B17" i="34"/>
  <c r="O4" i="1"/>
  <c r="M4" i="1"/>
  <c r="N4" i="1" s="1"/>
  <c r="J4" i="1"/>
  <c r="I4" i="1"/>
  <c r="P4" i="1" s="1"/>
  <c r="H4" i="1"/>
  <c r="G4" i="1"/>
  <c r="F17" i="33"/>
  <c r="E17" i="33"/>
  <c r="D17" i="33"/>
  <c r="C17" i="33"/>
  <c r="B17" i="33"/>
  <c r="I17" i="1" l="1"/>
  <c r="P17" i="1" s="1"/>
  <c r="F17" i="2"/>
  <c r="E17" i="2"/>
  <c r="D17" i="2"/>
  <c r="C17" i="2"/>
  <c r="B17" i="2"/>
</calcChain>
</file>

<file path=xl/comments1.xml><?xml version="1.0" encoding="utf-8"?>
<comments xmlns="http://schemas.openxmlformats.org/spreadsheetml/2006/main">
  <authors>
    <author>Davies, Tony</author>
  </authors>
  <commentList>
    <comment ref="K2" authorId="0" shapeId="0">
      <text>
        <r>
          <rPr>
            <b/>
            <sz val="9"/>
            <color rgb="FF000000"/>
            <rFont val="Tahoma"/>
            <family val="2"/>
          </rPr>
          <t>All banking cleared, so balance nil at conversion</t>
        </r>
        <r>
          <rPr>
            <sz val="9"/>
            <color rgb="FF000000"/>
            <rFont val="Tahoma"/>
            <family val="2"/>
          </rPr>
          <t xml:space="preserve">
</t>
        </r>
      </text>
    </comment>
    <comment ref="E3" authorId="0" shapeId="0">
      <text>
        <r>
          <rPr>
            <b/>
            <sz val="9"/>
            <color rgb="FF000000"/>
            <rFont val="Tahoma"/>
            <family val="2"/>
          </rPr>
          <t>Go Live dates should all be Thursday morning, but need transactions up to close of play on Weds night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<sst xmlns="http://schemas.openxmlformats.org/spreadsheetml/2006/main" count="809" uniqueCount="267">
  <si>
    <t>Branches Converted onto ICON</t>
  </si>
  <si>
    <t>HX Balances on Conversion Date</t>
  </si>
  <si>
    <t>K8 Balances on Conversion Date</t>
  </si>
  <si>
    <t>Advances</t>
  </si>
  <si>
    <t>Deposits</t>
  </si>
  <si>
    <t>Cash</t>
  </si>
  <si>
    <t>ToolHire?</t>
  </si>
  <si>
    <t>Brand</t>
  </si>
  <si>
    <t>Branch Name</t>
  </si>
  <si>
    <t>ICON Go Live</t>
  </si>
  <si>
    <t>Net</t>
  </si>
  <si>
    <t>VAT</t>
  </si>
  <si>
    <t>Total</t>
  </si>
  <si>
    <t>Rounding</t>
  </si>
  <si>
    <t>Branch Number</t>
  </si>
  <si>
    <t>Cash Advances Reconciliation (BR)
(Totals)</t>
  </si>
  <si>
    <t>HX</t>
  </si>
  <si>
    <t>No of orders</t>
  </si>
  <si>
    <t>Adv Goods</t>
  </si>
  <si>
    <t>Adv VAT</t>
  </si>
  <si>
    <t>Totals</t>
  </si>
  <si>
    <t xml:space="preserve">Deposits by order category report </t>
  </si>
  <si>
    <t>ICON</t>
  </si>
  <si>
    <t>Value</t>
  </si>
  <si>
    <t>No of deposits</t>
  </si>
  <si>
    <t>No of Orders</t>
  </si>
  <si>
    <t>Deposit Left</t>
  </si>
  <si>
    <t>Count</t>
  </si>
  <si>
    <t>C</t>
  </si>
  <si>
    <t>D</t>
  </si>
  <si>
    <t>G</t>
  </si>
  <si>
    <t>I</t>
  </si>
  <si>
    <t>N</t>
  </si>
  <si>
    <t>R</t>
  </si>
  <si>
    <t>S</t>
  </si>
  <si>
    <t>T</t>
  </si>
  <si>
    <t>W</t>
  </si>
  <si>
    <t>Y</t>
  </si>
  <si>
    <t>t</t>
  </si>
  <si>
    <t>Yes</t>
  </si>
  <si>
    <t>Jewson</t>
  </si>
  <si>
    <t xml:space="preserve">427 Crediton                                                                                          12:43:50  10/04/2019  Page 1 </t>
  </si>
  <si>
    <t>--------------- Deposits by order category report ----------------</t>
  </si>
  <si>
    <t xml:space="preserve"> Order category        Deposits     No of Deposits     No of Orders</t>
  </si>
  <si>
    <t xml:space="preserve"> --------------    ------------     --------------     ------------</t>
  </si>
  <si>
    <t xml:space="preserve">                           0.00                 14                0</t>
  </si>
  <si>
    <t xml:space="preserve"> C                        58.80               2333                1</t>
  </si>
  <si>
    <t xml:space="preserve"> D                       155.16                712                2</t>
  </si>
  <si>
    <t xml:space="preserve"> I                         0.00                 60                0</t>
  </si>
  <si>
    <t xml:space="preserve"> N                         0.00                 64                0</t>
  </si>
  <si>
    <t xml:space="preserve"> S                         0.00                  1                0</t>
  </si>
  <si>
    <t xml:space="preserve">427 Crediton                                                                                          12:43:51  10/04/2019  Page 1 </t>
  </si>
  <si>
    <t>--------------- Cash Advances Reconciliation (BR) ----------------</t>
  </si>
  <si>
    <t>TX Branch Order No Account No Date Created  Invoice No Advanced goods  Advanced vat</t>
  </si>
  <si>
    <t xml:space="preserve">             24985 HXTR427     01/04/2019     0232898            2.59         0.52</t>
  </si>
  <si>
    <t xml:space="preserve">      687    25069 HXTR427     01/04/2019     0231891          291.97        58.39</t>
  </si>
  <si>
    <t xml:space="preserve">             25852 HXTR427     09/04/2019     0233080         1840.08       368.02</t>
  </si>
  <si>
    <t xml:space="preserve">                                                          -----------  -----------</t>
  </si>
  <si>
    <t>Grand totals                                                  2134.64       426.93</t>
  </si>
  <si>
    <t xml:space="preserve">428 Torquay                                                                                           12:28:02  10/04/2019  Page 1 </t>
  </si>
  <si>
    <t xml:space="preserve"> C                         0.00               1950                0</t>
  </si>
  <si>
    <t xml:space="preserve"> D                        84.58                232                1</t>
  </si>
  <si>
    <t xml:space="preserve"> I                         0.00                 22                0</t>
  </si>
  <si>
    <t xml:space="preserve"> N                         0.00                 24                0</t>
  </si>
  <si>
    <t xml:space="preserve">428 Torquay                                                                                           12:28:04  10/04/2019  Page 1 </t>
  </si>
  <si>
    <t xml:space="preserve">             44589 HXTR428     22/12/2018     0239938           84.00        16.80</t>
  </si>
  <si>
    <t xml:space="preserve">             52134 HXTR428     25/03/2019     0241062          769.65       153.93</t>
  </si>
  <si>
    <t xml:space="preserve">             52588 EM01455     28/03/2019     0241124           17.51         3.50</t>
  </si>
  <si>
    <t xml:space="preserve">             53414 LAYA027     05/04/2019     0241254           10.00         2.00</t>
  </si>
  <si>
    <t xml:space="preserve">             53614 EM01455     08/04/2019     0241301           90.34        18.07</t>
  </si>
  <si>
    <t xml:space="preserve">             53764 BC27283     09/04/2019     0241320          147.72        29.54</t>
  </si>
  <si>
    <t xml:space="preserve">             53799 HXTR428     10/04/2019     0241323          189.43        37.89</t>
  </si>
  <si>
    <t xml:space="preserve">             53852 HXTR428     10/04/2019     0241332           94.06        18.81</t>
  </si>
  <si>
    <t>Grand totals                                                  1402.71       280.54</t>
  </si>
  <si>
    <t xml:space="preserve">439 Exeter - Marsh Barton                                                                             12:44:15  10/04/2019  Page 1 </t>
  </si>
  <si>
    <t xml:space="preserve"> C                         0.00               1680                0</t>
  </si>
  <si>
    <t xml:space="preserve"> D                         0.00                683                0</t>
  </si>
  <si>
    <t xml:space="preserve"> I                         0.00                 69                0</t>
  </si>
  <si>
    <t xml:space="preserve"> N                         0.00                 33                0</t>
  </si>
  <si>
    <t xml:space="preserve">439 Exeter - Marsh Barton                                                                             12:44:21  10/04/2019  Page 1 </t>
  </si>
  <si>
    <t xml:space="preserve">             15292 MAJA023     03/04/2019     0252148         1441.20       288.24</t>
  </si>
  <si>
    <t xml:space="preserve">             15913 HXTR439     09/04/2019     0252235          276.65        55.33</t>
  </si>
  <si>
    <t xml:space="preserve">      688    15942 HXTR439     09/04/2019     0280334          111.72        22.34</t>
  </si>
  <si>
    <t>Grand totals                                                  1829.57       365.91</t>
  </si>
  <si>
    <t xml:space="preserve"> C                      2174.54               3458                2</t>
  </si>
  <si>
    <t xml:space="preserve"> D                      2911.27                586                3</t>
  </si>
  <si>
    <t xml:space="preserve"> I                         0.00                114                0</t>
  </si>
  <si>
    <t xml:space="preserve"> N                         0.00                 55                0</t>
  </si>
  <si>
    <t xml:space="preserve">             34987 HXTR687     23/03/2019     0232029          600.00       120.00</t>
  </si>
  <si>
    <t xml:space="preserve">             35505 HILC205     27/03/2019     0231701           88.00        17.60</t>
  </si>
  <si>
    <t>Grand totals                                                   688.00       137.60</t>
  </si>
  <si>
    <t xml:space="preserve">687 Exmouth Withycombe                                                                                14:04:19  10/04/2019  Page 1 </t>
  </si>
  <si>
    <t xml:space="preserve">687 Exmouth Withycombe                                                                                14:04:25  10/04/2019  Page 1 </t>
  </si>
  <si>
    <t xml:space="preserve"> C                       271.43               5587                2</t>
  </si>
  <si>
    <t xml:space="preserve"> D                       560.26               3436                3</t>
  </si>
  <si>
    <t xml:space="preserve"> I                         0.00                137                0</t>
  </si>
  <si>
    <t xml:space="preserve"> N                         0.00                444                0</t>
  </si>
  <si>
    <t xml:space="preserve"> S                         0.00                  4                0</t>
  </si>
  <si>
    <t xml:space="preserve">             12354 KIER099     08/11/2018     0275054         8970.00      1794.00</t>
  </si>
  <si>
    <t xml:space="preserve">             37646 HXTR688     19/02/2019     0278202          279.70        55.94</t>
  </si>
  <si>
    <t xml:space="preserve">             43640 HXTR688     08/03/2019     0278972          120.00        24.00</t>
  </si>
  <si>
    <t xml:space="preserve">             44317 DUPR008     12/03/2019     0279121           78.55        15.71</t>
  </si>
  <si>
    <t xml:space="preserve">             44747 HXTR688     13/03/2019     0279112          399.69        79.94</t>
  </si>
  <si>
    <t xml:space="preserve">             44994 HXTR688     13/03/2019     0279141           99.17        19.83</t>
  </si>
  <si>
    <t xml:space="preserve">             45254 HXTR688     14/03/2019     0279176           15.48         3.10</t>
  </si>
  <si>
    <t xml:space="preserve">             45511 STAB397     15/03/2019     0279209          283.50        56.70</t>
  </si>
  <si>
    <t xml:space="preserve">             47537 HXTR688     21/03/2019     0279473           33.00         6.60</t>
  </si>
  <si>
    <t xml:space="preserve">             49247 MAIH041     27/03/2019     0279764          174.95        34.99</t>
  </si>
  <si>
    <t xml:space="preserve">             49376 HXTR688     27/03/2019     0280164          409.32        81.86</t>
  </si>
  <si>
    <t xml:space="preserve">             49817 HXTR688     28/03/2019     0279818           93.21        18.64</t>
  </si>
  <si>
    <t xml:space="preserve">             50628 MATP122     01/04/2019     0279938          308.67        61.73</t>
  </si>
  <si>
    <t xml:space="preserve">             51266 EM07389     03/04/2019     0280267           84.80        16.96</t>
  </si>
  <si>
    <t xml:space="preserve">             51271 EM16346     03/04/2019     0280036          226.20        45.24</t>
  </si>
  <si>
    <t xml:space="preserve">             51386 HXTR688     03/04/2019     0280055           26.32         5.26</t>
  </si>
  <si>
    <t xml:space="preserve">             51515 HXTR688     03/04/2019     0280068          199.99        40.00</t>
  </si>
  <si>
    <t xml:space="preserve">             52281 HXTR688     05/04/2019     0280178          614.69       122.94</t>
  </si>
  <si>
    <t xml:space="preserve">             52327 HXTR688     05/04/2019     0280182          102.76        20.56</t>
  </si>
  <si>
    <t xml:space="preserve">             52457 HXTR688     06/04/2019     0280208          366.63        73.32</t>
  </si>
  <si>
    <t xml:space="preserve">             52574 HXTR688     08/04/2019     0280231           40.38         8.08</t>
  </si>
  <si>
    <t xml:space="preserve">             52657 CARS239     08/04/2019     0280241          628.68       125.74</t>
  </si>
  <si>
    <t xml:space="preserve">             52885 HXTR688     08/04/2019     0280278          421.86        84.37</t>
  </si>
  <si>
    <t xml:space="preserve">             52955 HXTR688     08/04/2019     0280290           96.22        19.24</t>
  </si>
  <si>
    <t xml:space="preserve">             52990 OAKB080     09/04/2019     0280293          205.00        41.00</t>
  </si>
  <si>
    <t xml:space="preserve">             53019 VISP008     09/04/2019     0280297           12.94         2.59</t>
  </si>
  <si>
    <t xml:space="preserve">             53065 HXTR688     09/04/2019     0280308          983.57       196.70</t>
  </si>
  <si>
    <t xml:space="preserve">             53119 DSFI004     09/04/2019     0280312         1879.01       375.82</t>
  </si>
  <si>
    <t xml:space="preserve">             53327 HXTR688     09/04/2019     0280331           28.66         5.73</t>
  </si>
  <si>
    <t xml:space="preserve">             53352 LARK065     09/04/2019     0280343          142.36        28.47</t>
  </si>
  <si>
    <t xml:space="preserve">             53406 MCCN009     09/04/2019     0280342           92.53        18.50</t>
  </si>
  <si>
    <t xml:space="preserve">             53519 HXTR688     10/04/2019     0280361          385.58        77.12</t>
  </si>
  <si>
    <t xml:space="preserve">             53543 CPME002     10/04/2019     0280356          211.56        42.31</t>
  </si>
  <si>
    <t xml:space="preserve">             53584 COBB106     10/04/2019     0280365          862.50       172.50</t>
  </si>
  <si>
    <t>Grand totals                                                 18877.48      3775.49</t>
  </si>
  <si>
    <t xml:space="preserve">688 Exeter Kestrel Way                                                                                14:21:23  10/04/2019  Page 1 </t>
  </si>
  <si>
    <t xml:space="preserve">688 Exeter Kestrel Way                                                                                14:21:29  10/04/2019  Page 1 </t>
  </si>
  <si>
    <t xml:space="preserve">700 Newton Abbot Newton Rd                                                                            12:28:10  10/04/2019  Page 1 </t>
  </si>
  <si>
    <t xml:space="preserve"> C                      7974.98               1555                3</t>
  </si>
  <si>
    <t xml:space="preserve"> D                       464.81                498                2</t>
  </si>
  <si>
    <t xml:space="preserve"> I                         0.00                 33                0</t>
  </si>
  <si>
    <t xml:space="preserve"> N                         0.00                 16                0</t>
  </si>
  <si>
    <t xml:space="preserve">700 Newton Abbot Newton Rd                                                                            12:28:12  10/04/2019  Page 1 </t>
  </si>
  <si>
    <t xml:space="preserve">             30933 HXTR700     18/12/2018     0235469         1729.80       345.96</t>
  </si>
  <si>
    <t xml:space="preserve">             35846 HXCS700     28/02/2019     0236509           20.00         4.00</t>
  </si>
  <si>
    <t xml:space="preserve">             36103 HXTR700     04/03/2019     0236592           66.06        13.21</t>
  </si>
  <si>
    <t xml:space="preserve">             36773 CODN001     12/03/2019     0236734          681.17       136.23</t>
  </si>
  <si>
    <t xml:space="preserve">             37176 HXCS700     18/03/2019                        0.01         0.00</t>
  </si>
  <si>
    <t xml:space="preserve">             37251 HXCS700     19/03/2019                        0.01         0.00</t>
  </si>
  <si>
    <t xml:space="preserve">             37486 HXTR700     21/03/2019     0237181         1672.27       334.46</t>
  </si>
  <si>
    <t xml:space="preserve">             37592 HXCS700     22/03/2019     0236911         1201.30       240.28</t>
  </si>
  <si>
    <t xml:space="preserve">      688    37627 BUIB217     22/03/2019     0279514          167.88        33.58</t>
  </si>
  <si>
    <t xml:space="preserve">             37886 HXTR700     26/03/2019     0237023         1830.50       366.10</t>
  </si>
  <si>
    <t xml:space="preserve">             38178 HXTR700     29/03/2019     0237080          917.00       183.40</t>
  </si>
  <si>
    <t xml:space="preserve">             38209 RENN084     29/03/2019     0237152         2706.02       541.20</t>
  </si>
  <si>
    <t xml:space="preserve">             38604 HXTR700     04/04/2019     0237204          166.08        33.22</t>
  </si>
  <si>
    <t xml:space="preserve">             38835 HXCS700     08/04/2019     0237258          661.57       132.31</t>
  </si>
  <si>
    <t xml:space="preserve">      428    38904 HXTR700     08/04/2019     0241298          104.40        20.88</t>
  </si>
  <si>
    <t xml:space="preserve">             38976 HXCS700     09/04/2019     0237293          149.38        29.88</t>
  </si>
  <si>
    <t xml:space="preserve">             39044 DCFL003     10/04/2019     0237310          220.96        44.19</t>
  </si>
  <si>
    <t>Grand totals                                                 12294.41      2458.90</t>
  </si>
  <si>
    <t xml:space="preserve">776 Jewson Tiverton                                                                                   12:33:33  10/04/2019  Page 1 </t>
  </si>
  <si>
    <t xml:space="preserve"> C                         0.00               2448                0</t>
  </si>
  <si>
    <t xml:space="preserve"> D                         0.00                617                0</t>
  </si>
  <si>
    <t xml:space="preserve"> I                         0.00                 67                0</t>
  </si>
  <si>
    <t xml:space="preserve"> N                         0.00                 57                0</t>
  </si>
  <si>
    <t xml:space="preserve">776 Jewson Tiverton                                                                                   12:33:34  10/04/2019  Page 1 </t>
  </si>
  <si>
    <t xml:space="preserve">             47911 EM13422     27/03/2019     0267328           31.58         6.32</t>
  </si>
  <si>
    <t xml:space="preserve">             48172 STA3226     29/03/2019     0267102          949.21       189.84</t>
  </si>
  <si>
    <t xml:space="preserve">             48558 EM13422     02/04/2019     0267243          413.82        82.76</t>
  </si>
  <si>
    <t xml:space="preserve">             48622 AMHR001     02/04/2019     0267197          171.43        34.29</t>
  </si>
  <si>
    <t xml:space="preserve">             48895 HANR122     04/04/2019     0267223         1382.64       276.53</t>
  </si>
  <si>
    <t>Grand totals                                                  2948.68       589.74</t>
  </si>
  <si>
    <t xml:space="preserve">790 Kingsbridge                                                                                       12:59:26  10/04/2019  Page 1 </t>
  </si>
  <si>
    <t xml:space="preserve"> C                         0.00               4424                0</t>
  </si>
  <si>
    <t xml:space="preserve"> D                        11.81                637                1</t>
  </si>
  <si>
    <t xml:space="preserve"> I                         0.00                 27                0</t>
  </si>
  <si>
    <t xml:space="preserve"> N                         0.00                 29                0</t>
  </si>
  <si>
    <t xml:space="preserve">790 Kingsbridge                                                                                       12:59:28  10/04/2019  Page 1 </t>
  </si>
  <si>
    <t xml:space="preserve">             53978 BC32871     04/03/2019     0229841         3404.16       680.83</t>
  </si>
  <si>
    <t xml:space="preserve">             60780 HXTR790     08/04/2019     0231221          171.95        34.39</t>
  </si>
  <si>
    <t xml:space="preserve">             61121 SHOM071     10/04/2019     0231277           83.56        16.71</t>
  </si>
  <si>
    <t>Grand totals                                                  3659.67       731.93</t>
  </si>
  <si>
    <t xml:space="preserve"> C                         0.00               1836                0</t>
  </si>
  <si>
    <t xml:space="preserve"> D                         0.00                221                0</t>
  </si>
  <si>
    <t xml:space="preserve"> I                         0.00                 15                0</t>
  </si>
  <si>
    <t xml:space="preserve"> N                         0.00                 13                0</t>
  </si>
  <si>
    <t xml:space="preserve">             56172 OBOS001     28/03/2019     0224656           37.87         7.57</t>
  </si>
  <si>
    <t xml:space="preserve">             56408 EM13827     01/04/2019     0224736           13.60         2.72</t>
  </si>
  <si>
    <t xml:space="preserve">             56549 HXTR792     02/04/2019     0224794          569.49       113.90</t>
  </si>
  <si>
    <t xml:space="preserve">             57168 HXTR792     09/04/2019     0225031           25.50         5.10</t>
  </si>
  <si>
    <t>Grand totals                                                   646.46       129.29</t>
  </si>
  <si>
    <t xml:space="preserve">792 Brixham                                                                                           14:31:35  10/04/2019  Page 1 </t>
  </si>
  <si>
    <t xml:space="preserve">792 Brixham                                                                                           14:31:36  10/04/2019  Page 1 </t>
  </si>
  <si>
    <t xml:space="preserve">793 Newton Abbot Forde Rd                                                                             12:37:13  10/04/2019  Page 1 </t>
  </si>
  <si>
    <t xml:space="preserve"> C                         0.00               1800                0</t>
  </si>
  <si>
    <t xml:space="preserve"> D                         0.00               2076                0</t>
  </si>
  <si>
    <t xml:space="preserve"> I                         0.00                213                0</t>
  </si>
  <si>
    <t xml:space="preserve"> N                         0.00                141                0</t>
  </si>
  <si>
    <t xml:space="preserve"> S                         0.00                  2                0</t>
  </si>
  <si>
    <t xml:space="preserve">793 Newton Abbot Forde Rd                                                                             12:37:19  10/04/2019  Page 1 </t>
  </si>
  <si>
    <t xml:space="preserve">             39693 BAYC756     04/03/2019     0252818          907.38       181.48</t>
  </si>
  <si>
    <t xml:space="preserve">             41413 HXTR793     15/03/2019     0252983          955.50       191.10</t>
  </si>
  <si>
    <t xml:space="preserve">             42723 HXTR793     25/03/2019     0253160          199.74        39.95</t>
  </si>
  <si>
    <t xml:space="preserve">      700    43332 HXTR793     27/03/2019     0237039          155.76        31.15</t>
  </si>
  <si>
    <t xml:space="preserve">             44083 HXTR793     02/04/2019     0253361          980.14       196.03</t>
  </si>
  <si>
    <t xml:space="preserve">     3635    44836 ASPC061     05/04/2019     0216787           70.42        14.08</t>
  </si>
  <si>
    <t xml:space="preserve">             44838 HXTR793     05/04/2019     0253462          227.28        45.46</t>
  </si>
  <si>
    <t xml:space="preserve">             44925 HXTR793     08/04/2019     0253481           78.08        15.62</t>
  </si>
  <si>
    <t xml:space="preserve">      700    45050 HXTR793     08/04/2019     0237253           70.00        14.00</t>
  </si>
  <si>
    <t xml:space="preserve">      700    45096 EM14430     08/04/2019     0237269           70.60        14.12</t>
  </si>
  <si>
    <t xml:space="preserve">             45358 HXTR793     10/04/2019     0253534           54.24        10.85</t>
  </si>
  <si>
    <t xml:space="preserve">             45359 HXTR793     10/04/2019     0253535           79.00        15.80</t>
  </si>
  <si>
    <t xml:space="preserve">             45377 TREF057     10/04/2019     0253542           71.13        14.23</t>
  </si>
  <si>
    <t>Grand totals                                                  3919.27       783.87</t>
  </si>
  <si>
    <t xml:space="preserve">795 Totnes                                                                                            12:35:52  10/04/2019  Page 1 </t>
  </si>
  <si>
    <t xml:space="preserve">                           0.00                  1                0</t>
  </si>
  <si>
    <t xml:space="preserve"> C                         0.00               2044                0</t>
  </si>
  <si>
    <t xml:space="preserve"> D                         0.00                481                0</t>
  </si>
  <si>
    <t xml:space="preserve"> I                         0.00                 79                0</t>
  </si>
  <si>
    <t xml:space="preserve"> N                         0.00                 41                0</t>
  </si>
  <si>
    <t xml:space="preserve">795 Totnes                                                                                            12:36:01  10/04/2019  Page 1 </t>
  </si>
  <si>
    <t xml:space="preserve">             31782 TALD023     22/03/2019     0259681          677.25       135.45</t>
  </si>
  <si>
    <t xml:space="preserve">             32552 HXTR795     29/03/2019     0259873          969.31       193.86</t>
  </si>
  <si>
    <t xml:space="preserve">             33409 HXTR795     05/04/2019     0260044          370.82        74.16</t>
  </si>
  <si>
    <t xml:space="preserve">             33777 HXTR795     09/04/2019     0260118          127.36        25.47</t>
  </si>
  <si>
    <t xml:space="preserve">             33857 HXTR795     10/04/2019     0260133          167.58        33.52</t>
  </si>
  <si>
    <t xml:space="preserve">             33865 HXTR795     10/04/2019     0260135          188.80        37.76</t>
  </si>
  <si>
    <t>Grand totals                                                  2501.12       500.22</t>
  </si>
  <si>
    <t xml:space="preserve">806 Exmouth Lower Fore St                                                                             12:28:25  10/04/2019  Page 1 </t>
  </si>
  <si>
    <t xml:space="preserve"> C                         3.05               1962                1</t>
  </si>
  <si>
    <t xml:space="preserve"> D                         0.00                656                0</t>
  </si>
  <si>
    <t xml:space="preserve"> I                         0.00                 19                0</t>
  </si>
  <si>
    <t xml:space="preserve">806 Exmouth Lower Fore St                                                                             12:28:27  10/04/2019  Page 1 </t>
  </si>
  <si>
    <t>Report complete.     8,534 records accessed.         0 records printed.         0 records suppressed</t>
  </si>
  <si>
    <t xml:space="preserve">809 Okehampton                                                                                        12:28:14  10/04/2019  Page 1 </t>
  </si>
  <si>
    <t xml:space="preserve"> C                       104.51               1137                2</t>
  </si>
  <si>
    <t xml:space="preserve"> D                         0.00                322                0</t>
  </si>
  <si>
    <t xml:space="preserve">809 Okehampton                                                                                        12:28:16  10/04/2019  Page 1 </t>
  </si>
  <si>
    <t xml:space="preserve">             20825 HXTR809     02/04/2019     0224351           72.00        14.40</t>
  </si>
  <si>
    <t xml:space="preserve">             21170 HXTR809     09/04/2019     0224448           80.68        16.14</t>
  </si>
  <si>
    <t xml:space="preserve">             21188 ATOL006     09/04/2019     0224456          210.00        42.00</t>
  </si>
  <si>
    <t>Grand totals                                                   362.68        72.54</t>
  </si>
  <si>
    <t xml:space="preserve">886 Newton Abbot Workshop                                                                             12:34:18  10/04/2019  Page 1 </t>
  </si>
  <si>
    <t xml:space="preserve"> No records found for migration</t>
  </si>
  <si>
    <t xml:space="preserve">886 Newton Abbot Workshop                                                                             12:34:23  10/04/2019  Page 1 </t>
  </si>
  <si>
    <t>Report complete.         0 records accessed.         0 records printed.         0 records suppressed</t>
  </si>
  <si>
    <t xml:space="preserve">945 Honiton                                                                                           12:42:57  10/04/2019  Page 1 </t>
  </si>
  <si>
    <t xml:space="preserve"> C                         0.00               1428                0</t>
  </si>
  <si>
    <t xml:space="preserve"> D                        45.00                673                2</t>
  </si>
  <si>
    <t xml:space="preserve"> N                         0.00                 18                0</t>
  </si>
  <si>
    <t xml:space="preserve">945 Honiton                                                                                           12:43:00  10/04/2019  Page 1 </t>
  </si>
  <si>
    <t xml:space="preserve">             39822 HXTR945     03/04/2019     0201105          588.00       117.60</t>
  </si>
  <si>
    <t xml:space="preserve">             40306 HXTR945     09/04/2019     0201174           21.56         4.31</t>
  </si>
  <si>
    <t>Grand totals                                                   609.56       121.91</t>
  </si>
  <si>
    <t xml:space="preserve">3635 Paignton                                                                                         12:42:29  10/04/2019  Page 1 </t>
  </si>
  <si>
    <t xml:space="preserve"> C                         0.00               2855                0</t>
  </si>
  <si>
    <t xml:space="preserve"> D                         0.00                678                0</t>
  </si>
  <si>
    <t xml:space="preserve"> I                         0.00                 86                0</t>
  </si>
  <si>
    <t xml:space="preserve"> N                         0.00                 15                0</t>
  </si>
  <si>
    <t xml:space="preserve">3635 Paignton                                                                                         12:42:30  10/04/2019  Page 1 </t>
  </si>
  <si>
    <t xml:space="preserve">              8048 TRD3635     25/03/2019     0216343            8.95         1.79</t>
  </si>
  <si>
    <t xml:space="preserve">              9116 TRD3635     01/04/2019     0216672           44.50         8.90</t>
  </si>
  <si>
    <t xml:space="preserve">              9865 TRD3635     06/04/2019     0216798           59.36        11.87</t>
  </si>
  <si>
    <t xml:space="preserve">              9871 TRD3635     06/04/2019     0216800         1182.88       236.58</t>
  </si>
  <si>
    <t xml:space="preserve">             10120 TRD3635     08/04/2019     0216885          850.56       170.11</t>
  </si>
  <si>
    <t xml:space="preserve">      792    10189 WHIS341     09/04/2019     0224999          175.22        35.05</t>
  </si>
  <si>
    <t xml:space="preserve">             54756 TRD3635     20/10/2018     0212316          346.50        69.30</t>
  </si>
  <si>
    <t>Grand totals                                                  2667.97       533.60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</si>
</sst>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£&quot;* #,##0.00_-;\-&quot;£&quot;* #,##0.00_-;_-&quot;£&quot;* &quot;-&quot;??_-;_-@_-"/>
  </numFmts>
  <fonts count="1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rgb="FFFCD5B4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</borders>
  <cellStyleXfs count="3">
    <xf numFmtId="0" fontId="0" fillId="0" borderId="0"/>
    <xf numFmtId="44" fontId="8" fillId="0" borderId="0" applyFont="0" applyFill="0" applyBorder="0" applyAlignment="0" applyProtection="0"/>
    <xf numFmtId="0" fontId="13" fillId="13" borderId="0" applyNumberFormat="0" applyBorder="0" applyAlignment="0" applyProtection="0"/>
  </cellStyleXfs>
  <cellXfs count="55">
    <xf numFmtId="0" fontId="0" fillId="0" borderId="0" xfId="0"/>
    <xf numFmtId="0" fontId="2" fillId="0" borderId="0" xfId="0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 indent="1"/>
    </xf>
    <xf numFmtId="0" fontId="10" fillId="4" borderId="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 indent="1"/>
    </xf>
    <xf numFmtId="2" fontId="11" fillId="0" borderId="1" xfId="0" applyNumberFormat="1" applyFont="1" applyFill="1" applyBorder="1" applyAlignment="1">
      <alignment horizontal="left" vertical="center" indent="1"/>
    </xf>
    <xf numFmtId="0" fontId="9" fillId="6" borderId="1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left" vertical="center" indent="1"/>
    </xf>
    <xf numFmtId="0" fontId="10" fillId="7" borderId="1" xfId="0" applyFont="1" applyFill="1" applyBorder="1" applyAlignment="1">
      <alignment horizontal="left" vertical="center" indent="1"/>
    </xf>
    <xf numFmtId="2" fontId="11" fillId="0" borderId="6" xfId="0" applyNumberFormat="1" applyFont="1" applyFill="1" applyBorder="1" applyAlignment="1">
      <alignment horizontal="left" vertical="center" indent="1"/>
    </xf>
    <xf numFmtId="0" fontId="4" fillId="0" borderId="1" xfId="0" applyFont="1" applyFill="1" applyBorder="1" applyAlignment="1">
      <alignment horizontal="left" vertical="center" indent="1"/>
    </xf>
    <xf numFmtId="2" fontId="10" fillId="4" borderId="1" xfId="0" applyNumberFormat="1" applyFont="1" applyFill="1" applyBorder="1" applyAlignment="1">
      <alignment horizontal="center"/>
    </xf>
    <xf numFmtId="2" fontId="10" fillId="7" borderId="6" xfId="0" applyNumberFormat="1" applyFont="1" applyFill="1" applyBorder="1" applyAlignment="1">
      <alignment horizontal="center" vertical="center"/>
    </xf>
    <xf numFmtId="44" fontId="1" fillId="4" borderId="1" xfId="1" applyFont="1" applyFill="1" applyBorder="1" applyAlignment="1">
      <alignment horizontal="center"/>
    </xf>
    <xf numFmtId="44" fontId="0" fillId="0" borderId="0" xfId="1" applyFont="1" applyFill="1" applyBorder="1" applyAlignment="1">
      <alignment horizontal="center" vertical="center"/>
    </xf>
    <xf numFmtId="44" fontId="1" fillId="0" borderId="1" xfId="1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44" fontId="0" fillId="0" borderId="1" xfId="1" applyFont="1" applyFill="1" applyBorder="1" applyAlignment="1">
      <alignment horizontal="center" vertical="center"/>
    </xf>
    <xf numFmtId="44" fontId="1" fillId="0" borderId="4" xfId="1" applyFont="1" applyFill="1" applyBorder="1" applyAlignment="1">
      <alignment horizontal="center"/>
    </xf>
    <xf numFmtId="44" fontId="0" fillId="5" borderId="1" xfId="1" applyFont="1" applyFill="1" applyBorder="1" applyAlignment="1">
      <alignment horizontal="center" vertical="center"/>
    </xf>
    <xf numFmtId="44" fontId="1" fillId="9" borderId="1" xfId="1" applyFont="1" applyFill="1" applyBorder="1" applyAlignment="1">
      <alignment horizontal="center"/>
    </xf>
    <xf numFmtId="44" fontId="0" fillId="10" borderId="1" xfId="1" applyFont="1" applyFill="1" applyBorder="1" applyAlignment="1">
      <alignment horizontal="center" vertical="center"/>
    </xf>
    <xf numFmtId="44" fontId="1" fillId="11" borderId="1" xfId="1" applyFont="1" applyFill="1" applyBorder="1" applyAlignment="1">
      <alignment horizontal="center"/>
    </xf>
    <xf numFmtId="44" fontId="0" fillId="12" borderId="1" xfId="1" applyFont="1" applyFill="1" applyBorder="1" applyAlignment="1">
      <alignment horizontal="center" vertical="center"/>
    </xf>
    <xf numFmtId="0" fontId="14" fillId="5" borderId="1" xfId="2" applyFont="1" applyFill="1" applyBorder="1" applyAlignment="1">
      <alignment horizontal="center"/>
    </xf>
    <xf numFmtId="0" fontId="14" fillId="5" borderId="1" xfId="2" applyFont="1" applyFill="1" applyBorder="1" applyAlignment="1">
      <alignment horizontal="left"/>
    </xf>
    <xf numFmtId="0" fontId="14" fillId="14" borderId="1" xfId="2" applyFont="1" applyFill="1" applyBorder="1" applyAlignment="1">
      <alignment horizontal="center"/>
    </xf>
    <xf numFmtId="0" fontId="14" fillId="14" borderId="1" xfId="2" applyFont="1" applyFill="1" applyBorder="1" applyAlignment="1">
      <alignment horizontal="left"/>
    </xf>
    <xf numFmtId="14" fontId="7" fillId="8" borderId="8" xfId="0" applyNumberFormat="1" applyFont="1" applyFill="1" applyBorder="1" applyAlignment="1">
      <alignment horizontal="center" vertical="center"/>
    </xf>
    <xf numFmtId="14" fontId="7" fillId="8" borderId="9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9" fillId="6" borderId="2" xfId="0" applyFont="1" applyFill="1" applyBorder="1" applyAlignment="1">
      <alignment horizontal="center" vertical="center" wrapText="1"/>
    </xf>
    <xf numFmtId="0" fontId="9" fillId="6" borderId="7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/>
    </xf>
    <xf numFmtId="0" fontId="10" fillId="4" borderId="6" xfId="0" applyFont="1" applyFill="1" applyBorder="1" applyAlignment="1">
      <alignment horizontal="center"/>
    </xf>
    <xf numFmtId="0" fontId="10" fillId="7" borderId="5" xfId="0" applyFont="1" applyFill="1" applyBorder="1" applyAlignment="1">
      <alignment horizontal="center" vertical="center"/>
    </xf>
    <xf numFmtId="0" fontId="10" fillId="7" borderId="6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2" fontId="0" fillId="5" borderId="1" xfId="0" applyNumberFormat="1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2" fontId="0" fillId="10" borderId="1" xfId="0" applyNumberFormat="1" applyFont="1" applyFill="1" applyBorder="1" applyAlignment="1">
      <alignment horizontal="center" vertical="center"/>
    </xf>
    <xf numFmtId="2" fontId="0" fillId="12" borderId="1" xfId="0" applyNumberFormat="1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 wrapText="1"/>
    </xf>
    <xf numFmtId="0" fontId="4" fillId="15" borderId="2" xfId="0" applyFont="1" applyFill="1" applyBorder="1" applyAlignment="1">
      <alignment horizontal="left" vertical="center" wrapText="1"/>
    </xf>
  </cellXfs>
  <cellStyles count="3">
    <cellStyle name="Accent3" xfId="2" builtinId="37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714375</xdr:colOff>
          <xdr:row>0</xdr:row>
          <xdr:rowOff>28575</xdr:rowOff>
        </xdr:from>
        <xdr:to>
          <xdr:col>4</xdr:col>
          <xdr:colOff>1447800</xdr:colOff>
          <xdr:row>1</xdr:row>
          <xdr:rowOff>161925</xdr:rowOff>
        </xdr:to>
        <xdr:sp macro="" textlink="">
          <xdr:nvSpPr>
            <xdr:cNvPr id="82999" name="Button 1079" hidden="1">
              <a:extLst>
                <a:ext uri="{63B3BB69-23CF-44E3-9099-C40C66FF867C}">
                  <a14:compatExt spid="_x0000_s82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Begin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bduksharepoint.saint-gobain.com/it/ICONConversions/Conversion%20Docs/3.%20Jewson/Jewson%20Plan%20-%20December%20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 Rota"/>
      <sheetName val="Full Details"/>
      <sheetName val="Sheet1 (2)"/>
      <sheetName val="Sheet2"/>
      <sheetName val="Sheet3"/>
    </sheetNames>
    <sheetDataSet>
      <sheetData sheetId="0"/>
      <sheetData sheetId="1"/>
      <sheetData sheetId="2">
        <row r="2">
          <cell r="A2">
            <v>101</v>
          </cell>
          <cell r="B2" t="str">
            <v>101 Jewson Harpenden</v>
          </cell>
        </row>
        <row r="3">
          <cell r="A3">
            <v>102</v>
          </cell>
          <cell r="B3" t="str">
            <v>102 Jewson Driffield</v>
          </cell>
        </row>
        <row r="4">
          <cell r="A4">
            <v>109</v>
          </cell>
          <cell r="B4" t="str">
            <v>109 Jewson Hertford</v>
          </cell>
        </row>
        <row r="5">
          <cell r="A5">
            <v>115</v>
          </cell>
          <cell r="B5" t="str">
            <v>115 Jewson Flitwick</v>
          </cell>
        </row>
        <row r="6">
          <cell r="A6">
            <v>118</v>
          </cell>
          <cell r="B6" t="str">
            <v>118 Jewson Norwich Cringleford</v>
          </cell>
        </row>
        <row r="7">
          <cell r="A7">
            <v>119</v>
          </cell>
          <cell r="B7" t="str">
            <v>119 Jewson Maldon</v>
          </cell>
        </row>
        <row r="8">
          <cell r="A8">
            <v>121</v>
          </cell>
          <cell r="B8" t="str">
            <v>121 Jewson Diss (Victoria Rd)</v>
          </cell>
        </row>
        <row r="9">
          <cell r="A9">
            <v>127</v>
          </cell>
          <cell r="B9" t="str">
            <v>127 Jewson Chelmsford</v>
          </cell>
        </row>
        <row r="10">
          <cell r="A10">
            <v>128</v>
          </cell>
          <cell r="B10" t="str">
            <v>128 Jewson Sheffield Queens Rd</v>
          </cell>
        </row>
        <row r="11">
          <cell r="A11">
            <v>129</v>
          </cell>
          <cell r="B11" t="str">
            <v>129 Jewson Faversham</v>
          </cell>
        </row>
        <row r="12">
          <cell r="A12">
            <v>132</v>
          </cell>
          <cell r="B12" t="str">
            <v>132 Jewson Nottingham Basford</v>
          </cell>
        </row>
        <row r="13">
          <cell r="A13">
            <v>134</v>
          </cell>
          <cell r="B13" t="str">
            <v>134 Jewson ST Austell</v>
          </cell>
        </row>
        <row r="14">
          <cell r="A14">
            <v>135</v>
          </cell>
          <cell r="B14" t="str">
            <v>135 Jewson Wadebridge</v>
          </cell>
        </row>
        <row r="15">
          <cell r="A15">
            <v>137</v>
          </cell>
          <cell r="B15" t="str">
            <v>137 Jewson Accrington</v>
          </cell>
        </row>
        <row r="16">
          <cell r="A16">
            <v>140</v>
          </cell>
          <cell r="B16" t="str">
            <v>140 Jewson Newark</v>
          </cell>
        </row>
        <row r="17">
          <cell r="A17">
            <v>141</v>
          </cell>
          <cell r="B17" t="str">
            <v>141 Jewson High Wycombe</v>
          </cell>
        </row>
        <row r="18">
          <cell r="A18">
            <v>142</v>
          </cell>
          <cell r="B18" t="str">
            <v>142 Jewson Colwick</v>
          </cell>
        </row>
        <row r="19">
          <cell r="A19">
            <v>143</v>
          </cell>
          <cell r="B19" t="str">
            <v>143 Jewson St Helens</v>
          </cell>
        </row>
        <row r="20">
          <cell r="A20">
            <v>145</v>
          </cell>
          <cell r="B20" t="str">
            <v>145 Jewson Stranraer</v>
          </cell>
        </row>
        <row r="21">
          <cell r="A21">
            <v>146</v>
          </cell>
          <cell r="B21" t="str">
            <v>146 Jewson Scunthorpe</v>
          </cell>
        </row>
        <row r="22">
          <cell r="A22">
            <v>147</v>
          </cell>
          <cell r="B22" t="str">
            <v>147 Jewson Coventry Humber Ave</v>
          </cell>
        </row>
        <row r="23">
          <cell r="A23">
            <v>150</v>
          </cell>
          <cell r="B23" t="str">
            <v>150 Jewson Hull Sutton Fields</v>
          </cell>
        </row>
        <row r="24">
          <cell r="A24">
            <v>151</v>
          </cell>
          <cell r="B24" t="str">
            <v>151 Jewson Stratford Upon Avon</v>
          </cell>
        </row>
        <row r="25">
          <cell r="A25">
            <v>152</v>
          </cell>
          <cell r="B25" t="str">
            <v>152 Jewson Louth Belvoir Way</v>
          </cell>
        </row>
        <row r="26">
          <cell r="A26">
            <v>153</v>
          </cell>
          <cell r="B26" t="str">
            <v>153 Jewson Coleford</v>
          </cell>
        </row>
        <row r="27">
          <cell r="A27">
            <v>154</v>
          </cell>
          <cell r="B27" t="str">
            <v>154 Jewson Skegness</v>
          </cell>
        </row>
        <row r="28">
          <cell r="A28">
            <v>160</v>
          </cell>
          <cell r="B28" t="str">
            <v>160 Jewson Sleaford</v>
          </cell>
        </row>
        <row r="29">
          <cell r="A29">
            <v>164</v>
          </cell>
          <cell r="B29" t="str">
            <v>164 Jewson Lincoln Tritton Rd</v>
          </cell>
        </row>
        <row r="30">
          <cell r="A30">
            <v>170</v>
          </cell>
          <cell r="B30" t="str">
            <v>170 Jewson Spalding</v>
          </cell>
        </row>
        <row r="31">
          <cell r="A31">
            <v>175</v>
          </cell>
          <cell r="B31" t="str">
            <v>175 Jewson Sandown</v>
          </cell>
        </row>
        <row r="32">
          <cell r="A32">
            <v>178</v>
          </cell>
          <cell r="B32" t="str">
            <v>178 Jewson Selby</v>
          </cell>
        </row>
        <row r="33">
          <cell r="A33">
            <v>182</v>
          </cell>
          <cell r="B33" t="str">
            <v>182 Jewson New Milton</v>
          </cell>
        </row>
        <row r="34">
          <cell r="A34">
            <v>183</v>
          </cell>
          <cell r="B34" t="str">
            <v>183 Jewson Swindon Kembrey St</v>
          </cell>
        </row>
        <row r="35">
          <cell r="A35">
            <v>185</v>
          </cell>
          <cell r="B35" t="str">
            <v>185 Jewson Hereford</v>
          </cell>
        </row>
        <row r="36">
          <cell r="A36">
            <v>187</v>
          </cell>
          <cell r="B36" t="str">
            <v>187 Jewson Derby</v>
          </cell>
        </row>
        <row r="37">
          <cell r="A37">
            <v>196</v>
          </cell>
          <cell r="B37" t="str">
            <v>196 Jewson Peterborough</v>
          </cell>
        </row>
        <row r="38">
          <cell r="A38">
            <v>197</v>
          </cell>
          <cell r="B38" t="str">
            <v>197 Jewson Dncstr Barnsley Rd</v>
          </cell>
        </row>
        <row r="39">
          <cell r="A39">
            <v>204</v>
          </cell>
          <cell r="B39" t="str">
            <v>204 Jewson ToolHire Purchasing</v>
          </cell>
        </row>
        <row r="40">
          <cell r="A40">
            <v>208</v>
          </cell>
          <cell r="B40" t="str">
            <v>208 Jewson Bloxwich</v>
          </cell>
        </row>
        <row r="41">
          <cell r="A41">
            <v>211</v>
          </cell>
          <cell r="B41" t="str">
            <v>211 Jewson Middlesbrough</v>
          </cell>
        </row>
        <row r="42">
          <cell r="A42">
            <v>213</v>
          </cell>
          <cell r="B42" t="str">
            <v>213 Jewson Huddersfield</v>
          </cell>
        </row>
        <row r="43">
          <cell r="A43">
            <v>215</v>
          </cell>
          <cell r="B43" t="str">
            <v>215 Jewson Dlgtn Valley St Nth</v>
          </cell>
        </row>
        <row r="44">
          <cell r="A44">
            <v>220</v>
          </cell>
          <cell r="B44" t="str">
            <v>220 Jewson Birtley</v>
          </cell>
        </row>
        <row r="45">
          <cell r="A45">
            <v>231</v>
          </cell>
          <cell r="B45" t="str">
            <v>231 Jewson Norton</v>
          </cell>
        </row>
        <row r="46">
          <cell r="A46">
            <v>233</v>
          </cell>
          <cell r="B46" t="str">
            <v>233 Jewson North Shields</v>
          </cell>
        </row>
        <row r="47">
          <cell r="A47">
            <v>239</v>
          </cell>
          <cell r="B47" t="str">
            <v>239 Jewson Bishop Auckland</v>
          </cell>
        </row>
        <row r="48">
          <cell r="A48">
            <v>240</v>
          </cell>
          <cell r="B48" t="str">
            <v>240 Jewson Gateshead</v>
          </cell>
        </row>
        <row r="49">
          <cell r="A49">
            <v>242</v>
          </cell>
          <cell r="B49" t="str">
            <v>242 Jewson Sunderland</v>
          </cell>
        </row>
        <row r="50">
          <cell r="A50">
            <v>251</v>
          </cell>
          <cell r="B50" t="str">
            <v>251 Jewson Hrgt Freemans Way</v>
          </cell>
        </row>
        <row r="51">
          <cell r="A51">
            <v>253</v>
          </cell>
          <cell r="B51" t="str">
            <v>253 Jewson Malton</v>
          </cell>
        </row>
        <row r="52">
          <cell r="A52">
            <v>254</v>
          </cell>
          <cell r="B52" t="str">
            <v>254 Jewson Whitby</v>
          </cell>
        </row>
        <row r="53">
          <cell r="A53">
            <v>255</v>
          </cell>
          <cell r="B53" t="str">
            <v>255 Jewson Alnwick</v>
          </cell>
        </row>
        <row r="54">
          <cell r="A54">
            <v>256</v>
          </cell>
          <cell r="B54" t="str">
            <v>256 Jewson York Ktlstring Ln</v>
          </cell>
        </row>
        <row r="55">
          <cell r="A55">
            <v>262</v>
          </cell>
          <cell r="B55" t="str">
            <v>262 Jewson Gosforth</v>
          </cell>
        </row>
        <row r="56">
          <cell r="A56">
            <v>266</v>
          </cell>
          <cell r="B56" t="str">
            <v>266 Jewson Birmingham</v>
          </cell>
        </row>
        <row r="57">
          <cell r="A57">
            <v>282</v>
          </cell>
          <cell r="B57" t="str">
            <v>282 Jewson Chorley</v>
          </cell>
        </row>
        <row r="58">
          <cell r="A58">
            <v>302</v>
          </cell>
          <cell r="B58" t="str">
            <v>302 Jewson Bury</v>
          </cell>
        </row>
        <row r="59">
          <cell r="A59">
            <v>308</v>
          </cell>
          <cell r="B59" t="str">
            <v>308 Jewson Southport Meols Cop</v>
          </cell>
        </row>
        <row r="60">
          <cell r="A60">
            <v>314</v>
          </cell>
          <cell r="B60" t="str">
            <v>314 Jewson Newton Heath</v>
          </cell>
        </row>
        <row r="61">
          <cell r="A61">
            <v>317</v>
          </cell>
          <cell r="B61" t="str">
            <v>317 Jewson Wigan Victoria St.</v>
          </cell>
        </row>
        <row r="62">
          <cell r="A62">
            <v>320</v>
          </cell>
          <cell r="B62" t="str">
            <v>320 Jewson Bolton</v>
          </cell>
        </row>
        <row r="63">
          <cell r="A63">
            <v>321</v>
          </cell>
          <cell r="B63" t="str">
            <v>321 Jewson Kendal</v>
          </cell>
        </row>
        <row r="64">
          <cell r="A64">
            <v>323</v>
          </cell>
          <cell r="B64" t="str">
            <v>323 Jewson Wroxham</v>
          </cell>
        </row>
        <row r="65">
          <cell r="A65">
            <v>324</v>
          </cell>
          <cell r="B65" t="str">
            <v>324 Jewson Telford</v>
          </cell>
        </row>
        <row r="66">
          <cell r="A66">
            <v>326</v>
          </cell>
          <cell r="B66" t="str">
            <v>326 Jewson Barrow in Furness</v>
          </cell>
        </row>
        <row r="67">
          <cell r="A67">
            <v>327</v>
          </cell>
          <cell r="B67" t="str">
            <v>327 Jewson Birkenhead</v>
          </cell>
        </row>
        <row r="68">
          <cell r="A68">
            <v>330</v>
          </cell>
          <cell r="B68" t="str">
            <v>330 Jewson Dudley</v>
          </cell>
        </row>
        <row r="69">
          <cell r="A69">
            <v>331</v>
          </cell>
          <cell r="B69" t="str">
            <v>331 Jewson Ipswich</v>
          </cell>
        </row>
        <row r="70">
          <cell r="A70">
            <v>333</v>
          </cell>
          <cell r="B70" t="str">
            <v>333 Jewson Morecambe</v>
          </cell>
        </row>
        <row r="71">
          <cell r="A71">
            <v>335</v>
          </cell>
          <cell r="B71" t="str">
            <v>335 Jewson Stockport</v>
          </cell>
        </row>
        <row r="72">
          <cell r="A72">
            <v>337</v>
          </cell>
          <cell r="B72" t="str">
            <v>337 Jewson Widnes</v>
          </cell>
        </row>
        <row r="73">
          <cell r="A73">
            <v>340</v>
          </cell>
          <cell r="B73" t="str">
            <v>340 Jewson Bury St Edmunds</v>
          </cell>
        </row>
        <row r="74">
          <cell r="A74">
            <v>343</v>
          </cell>
          <cell r="B74" t="str">
            <v>343 Jewson Stowmarket</v>
          </cell>
        </row>
        <row r="75">
          <cell r="A75">
            <v>347</v>
          </cell>
          <cell r="B75" t="str">
            <v>347 Jewson Leighton Buzzard</v>
          </cell>
        </row>
        <row r="76">
          <cell r="A76">
            <v>351</v>
          </cell>
          <cell r="B76" t="str">
            <v>351 Jewson Newcastle Central</v>
          </cell>
        </row>
        <row r="77">
          <cell r="A77">
            <v>362</v>
          </cell>
          <cell r="B77" t="str">
            <v>362 Jewson Chdle Hulme Earl Rd</v>
          </cell>
        </row>
        <row r="78">
          <cell r="A78">
            <v>371</v>
          </cell>
          <cell r="B78" t="str">
            <v>371 Jewson Carlisle Stvnson Rd</v>
          </cell>
        </row>
        <row r="79">
          <cell r="A79">
            <v>372</v>
          </cell>
          <cell r="B79" t="str">
            <v>372 Jewson Leeds South</v>
          </cell>
        </row>
        <row r="80">
          <cell r="A80">
            <v>379</v>
          </cell>
          <cell r="B80" t="str">
            <v>379 Jewson Abingdon</v>
          </cell>
        </row>
        <row r="81">
          <cell r="A81">
            <v>381</v>
          </cell>
          <cell r="B81" t="str">
            <v>381 Jewson York Green Lane</v>
          </cell>
        </row>
        <row r="82">
          <cell r="A82">
            <v>383</v>
          </cell>
          <cell r="B82" t="str">
            <v>383 Jewson Shffld Drive Thru</v>
          </cell>
        </row>
        <row r="83">
          <cell r="A83">
            <v>388</v>
          </cell>
          <cell r="B83" t="str">
            <v>388 Jewson Buckley</v>
          </cell>
        </row>
        <row r="84">
          <cell r="A84">
            <v>391</v>
          </cell>
          <cell r="B84" t="str">
            <v>391 Jewson Darlington</v>
          </cell>
        </row>
        <row r="85">
          <cell r="A85">
            <v>397</v>
          </cell>
          <cell r="B85" t="str">
            <v>397 Jewson Scarborough</v>
          </cell>
        </row>
        <row r="86">
          <cell r="A86">
            <v>398</v>
          </cell>
          <cell r="B86" t="str">
            <v>398 Jewson Wnchstr Moorside Rd</v>
          </cell>
        </row>
        <row r="87">
          <cell r="A87">
            <v>399</v>
          </cell>
          <cell r="B87" t="str">
            <v>399 Jewson Basingstoke</v>
          </cell>
        </row>
        <row r="88">
          <cell r="A88">
            <v>412</v>
          </cell>
          <cell r="B88" t="str">
            <v>412 Jewson Eastleigh</v>
          </cell>
        </row>
        <row r="89">
          <cell r="A89">
            <v>413</v>
          </cell>
          <cell r="B89" t="str">
            <v>413 Jewson Haslemere</v>
          </cell>
        </row>
        <row r="90">
          <cell r="A90">
            <v>414</v>
          </cell>
          <cell r="B90" t="str">
            <v>414 Jewson Henley</v>
          </cell>
        </row>
        <row r="91">
          <cell r="A91">
            <v>416</v>
          </cell>
          <cell r="B91" t="str">
            <v>416 Jewson Maidenhead</v>
          </cell>
        </row>
        <row r="92">
          <cell r="A92">
            <v>417</v>
          </cell>
          <cell r="B92" t="str">
            <v>417 Jewson Aylesbury</v>
          </cell>
        </row>
        <row r="93">
          <cell r="A93">
            <v>418</v>
          </cell>
          <cell r="B93" t="str">
            <v>418 Jewson Farnborough</v>
          </cell>
        </row>
        <row r="94">
          <cell r="A94">
            <v>424</v>
          </cell>
          <cell r="B94" t="str">
            <v>424 Jewson Wheatley</v>
          </cell>
        </row>
        <row r="95">
          <cell r="A95">
            <v>428</v>
          </cell>
          <cell r="B95" t="str">
            <v>428 Jewson Torquay</v>
          </cell>
        </row>
        <row r="96">
          <cell r="A96">
            <v>429</v>
          </cell>
          <cell r="B96" t="str">
            <v>429 Jewson Bideford</v>
          </cell>
        </row>
        <row r="97">
          <cell r="A97">
            <v>434</v>
          </cell>
          <cell r="B97" t="str">
            <v>434 Jewson Largs</v>
          </cell>
        </row>
        <row r="98">
          <cell r="A98">
            <v>444</v>
          </cell>
          <cell r="B98" t="str">
            <v>444 Jewson Oxford</v>
          </cell>
        </row>
        <row r="99">
          <cell r="A99">
            <v>450</v>
          </cell>
          <cell r="B99" t="str">
            <v>450 Jewson Brasted</v>
          </cell>
        </row>
        <row r="100">
          <cell r="A100">
            <v>451</v>
          </cell>
          <cell r="B100" t="str">
            <v>451 Jewson Berwick</v>
          </cell>
        </row>
        <row r="101">
          <cell r="A101">
            <v>453</v>
          </cell>
          <cell r="B101" t="str">
            <v>453 Jewson Fulham</v>
          </cell>
        </row>
        <row r="102">
          <cell r="A102">
            <v>461</v>
          </cell>
          <cell r="B102" t="str">
            <v>461 Jewson Glasgow Anniesland</v>
          </cell>
        </row>
        <row r="103">
          <cell r="A103">
            <v>465</v>
          </cell>
          <cell r="B103" t="str">
            <v>465 Jewson Dumbarton</v>
          </cell>
        </row>
        <row r="104">
          <cell r="A104">
            <v>467</v>
          </cell>
          <cell r="B104" t="str">
            <v>467 Jewson Paisley - Greenhill</v>
          </cell>
        </row>
        <row r="105">
          <cell r="A105">
            <v>470</v>
          </cell>
          <cell r="B105" t="str">
            <v>470 Jewson Billericay</v>
          </cell>
        </row>
        <row r="106">
          <cell r="A106">
            <v>471</v>
          </cell>
          <cell r="B106" t="str">
            <v>471 Jewson Bexhill</v>
          </cell>
        </row>
        <row r="107">
          <cell r="A107">
            <v>474</v>
          </cell>
          <cell r="B107" t="str">
            <v>474 Jewson Dover</v>
          </cell>
        </row>
        <row r="108">
          <cell r="A108">
            <v>479</v>
          </cell>
          <cell r="B108" t="str">
            <v>479 Jewson Margate</v>
          </cell>
        </row>
        <row r="109">
          <cell r="A109">
            <v>481</v>
          </cell>
          <cell r="B109" t="str">
            <v>481 Jewson Lochgilphead</v>
          </cell>
        </row>
        <row r="110">
          <cell r="A110">
            <v>482</v>
          </cell>
          <cell r="B110" t="str">
            <v>482 Jewson Oban</v>
          </cell>
        </row>
        <row r="111">
          <cell r="A111">
            <v>484</v>
          </cell>
          <cell r="B111" t="str">
            <v>484 Jewson Fort William</v>
          </cell>
        </row>
        <row r="112">
          <cell r="A112">
            <v>487</v>
          </cell>
          <cell r="B112" t="str">
            <v>487 Jewson Dalkeith</v>
          </cell>
        </row>
        <row r="113">
          <cell r="A113">
            <v>488</v>
          </cell>
          <cell r="B113" t="str">
            <v>488 Jewson Stoke on Trent</v>
          </cell>
        </row>
        <row r="114">
          <cell r="A114">
            <v>490</v>
          </cell>
          <cell r="B114" t="str">
            <v>490 Jewson Aberystwyth</v>
          </cell>
        </row>
        <row r="115">
          <cell r="A115">
            <v>491</v>
          </cell>
          <cell r="B115" t="str">
            <v>491 Jewson Builth Wells</v>
          </cell>
        </row>
        <row r="116">
          <cell r="A116">
            <v>493</v>
          </cell>
          <cell r="B116" t="str">
            <v>493 Jewson Carmarthen</v>
          </cell>
        </row>
        <row r="117">
          <cell r="A117">
            <v>495</v>
          </cell>
          <cell r="B117" t="str">
            <v>495 Jewson Haverfordwest</v>
          </cell>
        </row>
        <row r="118">
          <cell r="A118">
            <v>499</v>
          </cell>
          <cell r="B118" t="str">
            <v>499 Jewson Tenby</v>
          </cell>
        </row>
        <row r="119">
          <cell r="A119">
            <v>505</v>
          </cell>
          <cell r="B119" t="str">
            <v>505 Jewson Pwllheli</v>
          </cell>
        </row>
        <row r="120">
          <cell r="A120">
            <v>507</v>
          </cell>
          <cell r="B120" t="str">
            <v>507 Jewson Dartford</v>
          </cell>
        </row>
        <row r="121">
          <cell r="A121">
            <v>511</v>
          </cell>
          <cell r="B121" t="str">
            <v>511 Jewson Cranleigh</v>
          </cell>
        </row>
        <row r="122">
          <cell r="A122">
            <v>514</v>
          </cell>
          <cell r="B122" t="str">
            <v>514 Jewson Brighton</v>
          </cell>
        </row>
        <row r="123">
          <cell r="A123">
            <v>515</v>
          </cell>
          <cell r="B123" t="str">
            <v>515 Jewson Crawley</v>
          </cell>
        </row>
        <row r="124">
          <cell r="A124">
            <v>517</v>
          </cell>
          <cell r="B124" t="str">
            <v>517 Jewson Croydon -Addiscombe</v>
          </cell>
        </row>
        <row r="125">
          <cell r="A125">
            <v>518</v>
          </cell>
          <cell r="B125" t="str">
            <v>518 Jewson Heathfield</v>
          </cell>
        </row>
        <row r="126">
          <cell r="A126">
            <v>522</v>
          </cell>
          <cell r="B126" t="str">
            <v>522 Jewson Romford</v>
          </cell>
        </row>
        <row r="127">
          <cell r="A127">
            <v>527</v>
          </cell>
          <cell r="B127" t="str">
            <v>527 Jewson Luton</v>
          </cell>
        </row>
        <row r="128">
          <cell r="A128">
            <v>533</v>
          </cell>
          <cell r="B128" t="str">
            <v>533 Jewson Staines (Moor Lane)</v>
          </cell>
        </row>
        <row r="129">
          <cell r="A129">
            <v>534</v>
          </cell>
          <cell r="B129" t="str">
            <v>534 Jewson Hammersmith</v>
          </cell>
        </row>
        <row r="130">
          <cell r="A130">
            <v>538</v>
          </cell>
          <cell r="B130" t="str">
            <v>538 Jewson Walton</v>
          </cell>
        </row>
        <row r="131">
          <cell r="A131">
            <v>546</v>
          </cell>
          <cell r="B131" t="str">
            <v>546 Jewson Lambeth</v>
          </cell>
        </row>
        <row r="132">
          <cell r="A132">
            <v>547</v>
          </cell>
          <cell r="B132" t="str">
            <v>547 Jewson Cambridge</v>
          </cell>
        </row>
        <row r="133">
          <cell r="A133">
            <v>556</v>
          </cell>
          <cell r="B133" t="str">
            <v>556 Jewson Dumfries</v>
          </cell>
        </row>
        <row r="134">
          <cell r="A134">
            <v>572</v>
          </cell>
          <cell r="B134" t="str">
            <v>572 Jewson Ayr</v>
          </cell>
        </row>
        <row r="135">
          <cell r="A135">
            <v>576</v>
          </cell>
          <cell r="B135" t="str">
            <v>576 Jewson Edinburgh Slateford</v>
          </cell>
        </row>
        <row r="136">
          <cell r="A136">
            <v>580</v>
          </cell>
          <cell r="B136" t="str">
            <v>580 Jewson Broadford I.O.S</v>
          </cell>
        </row>
        <row r="137">
          <cell r="A137">
            <v>584</v>
          </cell>
          <cell r="B137" t="str">
            <v>584 Jewson Newcastle</v>
          </cell>
        </row>
        <row r="138">
          <cell r="A138">
            <v>585</v>
          </cell>
          <cell r="B138" t="str">
            <v>585 Jewson Northampton</v>
          </cell>
        </row>
        <row r="139">
          <cell r="A139">
            <v>590</v>
          </cell>
          <cell r="B139" t="str">
            <v>590 Jewson Kenley</v>
          </cell>
        </row>
        <row r="140">
          <cell r="A140">
            <v>592</v>
          </cell>
          <cell r="B140" t="str">
            <v>592 Jewson Glasgow Govan</v>
          </cell>
        </row>
        <row r="141">
          <cell r="A141">
            <v>618</v>
          </cell>
          <cell r="B141" t="str">
            <v>618 Jewson Gainsborough</v>
          </cell>
        </row>
        <row r="142">
          <cell r="A142">
            <v>619</v>
          </cell>
          <cell r="B142" t="str">
            <v>619 Jewson Worthing</v>
          </cell>
        </row>
        <row r="143">
          <cell r="A143">
            <v>620</v>
          </cell>
          <cell r="B143" t="str">
            <v>620 Jewson Chipping Norton</v>
          </cell>
        </row>
        <row r="144">
          <cell r="A144">
            <v>623</v>
          </cell>
          <cell r="B144" t="str">
            <v>623 Jewson Poole Ringwood Road</v>
          </cell>
        </row>
        <row r="145">
          <cell r="A145">
            <v>625</v>
          </cell>
          <cell r="B145" t="str">
            <v>625 Jewson Godalming</v>
          </cell>
        </row>
        <row r="146">
          <cell r="A146">
            <v>627</v>
          </cell>
          <cell r="B146" t="str">
            <v>627 Jewson Newport Medina Ave</v>
          </cell>
        </row>
        <row r="147">
          <cell r="A147">
            <v>628</v>
          </cell>
          <cell r="B147" t="str">
            <v>628 Jewson Yeovil Oxford Rd</v>
          </cell>
        </row>
        <row r="148">
          <cell r="A148">
            <v>631</v>
          </cell>
          <cell r="B148" t="str">
            <v>631 Jewson Corby</v>
          </cell>
        </row>
        <row r="149">
          <cell r="A149">
            <v>632</v>
          </cell>
          <cell r="B149" t="str">
            <v>632 Jewson New Malden</v>
          </cell>
        </row>
        <row r="150">
          <cell r="A150">
            <v>633</v>
          </cell>
          <cell r="B150" t="str">
            <v>633 Jewson Dorchester</v>
          </cell>
        </row>
        <row r="151">
          <cell r="A151">
            <v>634</v>
          </cell>
          <cell r="B151" t="str">
            <v>634 Jewson Great Yarmouth</v>
          </cell>
        </row>
        <row r="152">
          <cell r="A152">
            <v>635</v>
          </cell>
          <cell r="B152" t="str">
            <v>635 Jewson Lowestoft</v>
          </cell>
        </row>
        <row r="153">
          <cell r="A153">
            <v>640</v>
          </cell>
          <cell r="B153" t="str">
            <v>640 Jewson Sheerness</v>
          </cell>
        </row>
        <row r="154">
          <cell r="A154">
            <v>641</v>
          </cell>
          <cell r="B154" t="str">
            <v>641 Jewson Martlesham</v>
          </cell>
        </row>
        <row r="155">
          <cell r="A155">
            <v>642</v>
          </cell>
          <cell r="B155" t="str">
            <v>642 Jewson Fakenham Dereham Rd</v>
          </cell>
        </row>
        <row r="156">
          <cell r="A156">
            <v>643</v>
          </cell>
          <cell r="B156" t="str">
            <v>643 Jewson Highbridge</v>
          </cell>
        </row>
        <row r="157">
          <cell r="A157">
            <v>644</v>
          </cell>
          <cell r="B157" t="str">
            <v>644 Jewson Newquay</v>
          </cell>
        </row>
        <row r="158">
          <cell r="A158">
            <v>645</v>
          </cell>
          <cell r="B158" t="str">
            <v>645 Jewson Keynsham</v>
          </cell>
        </row>
        <row r="159">
          <cell r="A159">
            <v>647</v>
          </cell>
          <cell r="B159" t="str">
            <v>647 Jewson Lytham St Annes</v>
          </cell>
        </row>
        <row r="160">
          <cell r="A160">
            <v>649</v>
          </cell>
          <cell r="B160" t="str">
            <v>649 Jewson Watton</v>
          </cell>
        </row>
        <row r="161">
          <cell r="A161">
            <v>650</v>
          </cell>
          <cell r="B161" t="str">
            <v>650 Jewson Cardiff E Moors Rd</v>
          </cell>
        </row>
        <row r="162">
          <cell r="A162">
            <v>651</v>
          </cell>
          <cell r="B162" t="str">
            <v>651 Jewson Farnham</v>
          </cell>
        </row>
        <row r="163">
          <cell r="A163">
            <v>652</v>
          </cell>
          <cell r="B163" t="str">
            <v>652 Jewson Guildford</v>
          </cell>
        </row>
        <row r="164">
          <cell r="A164">
            <v>653</v>
          </cell>
          <cell r="B164" t="str">
            <v>653 Jewson Nbury Hambridge Rd</v>
          </cell>
        </row>
        <row r="165">
          <cell r="A165">
            <v>655</v>
          </cell>
          <cell r="B165" t="str">
            <v>655 Jewson Portsmouth</v>
          </cell>
        </row>
        <row r="166">
          <cell r="A166">
            <v>656</v>
          </cell>
          <cell r="B166" t="str">
            <v>656 Jewson Southampton Totton</v>
          </cell>
        </row>
        <row r="167">
          <cell r="A167">
            <v>659</v>
          </cell>
          <cell r="B167" t="str">
            <v>659 Jewson Edbrgh Craigentinny</v>
          </cell>
        </row>
        <row r="168">
          <cell r="A168">
            <v>661</v>
          </cell>
          <cell r="B168" t="str">
            <v>661 Jewson Leamington Rugby Rd</v>
          </cell>
        </row>
        <row r="169">
          <cell r="A169">
            <v>663</v>
          </cell>
          <cell r="B169" t="str">
            <v>663 Jewson Stirling</v>
          </cell>
        </row>
        <row r="170">
          <cell r="A170">
            <v>673</v>
          </cell>
          <cell r="B170" t="str">
            <v>673 Jewson Radstock</v>
          </cell>
        </row>
        <row r="171">
          <cell r="A171">
            <v>674</v>
          </cell>
          <cell r="B171" t="str">
            <v>674 Jewson Banbury Beaumont Rd</v>
          </cell>
        </row>
        <row r="172">
          <cell r="A172">
            <v>675</v>
          </cell>
          <cell r="B172" t="str">
            <v>675 Jewson Barnstaple</v>
          </cell>
        </row>
        <row r="173">
          <cell r="A173">
            <v>677</v>
          </cell>
          <cell r="B173" t="str">
            <v>677 Jewson Stechford</v>
          </cell>
        </row>
        <row r="174">
          <cell r="A174">
            <v>678</v>
          </cell>
          <cell r="B174" t="str">
            <v>678 Jewson Salisbury</v>
          </cell>
        </row>
        <row r="175">
          <cell r="A175">
            <v>679</v>
          </cell>
          <cell r="B175" t="str">
            <v>679 Jewson Fishguard (Wern Rd)</v>
          </cell>
        </row>
        <row r="176">
          <cell r="A176">
            <v>680</v>
          </cell>
          <cell r="B176" t="str">
            <v>680 Jewson Reading</v>
          </cell>
        </row>
        <row r="177">
          <cell r="A177">
            <v>681</v>
          </cell>
          <cell r="B177" t="str">
            <v>681 Jewson Gloucester</v>
          </cell>
        </row>
        <row r="178">
          <cell r="A178">
            <v>682</v>
          </cell>
          <cell r="B178" t="str">
            <v>682 Jewson Swansea Beaufort Rd</v>
          </cell>
        </row>
        <row r="179">
          <cell r="A179">
            <v>688</v>
          </cell>
          <cell r="B179" t="str">
            <v>688 Jewson Exeter Kestrel Way</v>
          </cell>
        </row>
        <row r="180">
          <cell r="A180">
            <v>689</v>
          </cell>
          <cell r="B180" t="str">
            <v>689 Jewson Aberdare</v>
          </cell>
        </row>
        <row r="181">
          <cell r="A181">
            <v>690</v>
          </cell>
          <cell r="B181" t="str">
            <v>690 Jewson Hayle</v>
          </cell>
        </row>
        <row r="182">
          <cell r="A182">
            <v>693</v>
          </cell>
          <cell r="B182" t="str">
            <v>693 Jewson Launceston</v>
          </cell>
        </row>
        <row r="183">
          <cell r="A183">
            <v>695</v>
          </cell>
          <cell r="B183" t="str">
            <v>695 Jewson Minehead</v>
          </cell>
        </row>
        <row r="184">
          <cell r="A184">
            <v>697</v>
          </cell>
          <cell r="B184" t="str">
            <v>697 Jewson Newbury Pound St</v>
          </cell>
        </row>
        <row r="185">
          <cell r="A185">
            <v>700</v>
          </cell>
          <cell r="B185" t="str">
            <v>700 Jewson Nton Abt Newton Rd</v>
          </cell>
        </row>
        <row r="186">
          <cell r="A186">
            <v>703</v>
          </cell>
          <cell r="B186" t="str">
            <v>703 Jewson Plymouth Sutton Rd</v>
          </cell>
        </row>
        <row r="187">
          <cell r="A187">
            <v>705</v>
          </cell>
          <cell r="B187" t="str">
            <v>705 Jewson Redditch</v>
          </cell>
        </row>
        <row r="188">
          <cell r="A188">
            <v>707</v>
          </cell>
          <cell r="B188" t="str">
            <v>707 Jewson Sthampton Bursledon</v>
          </cell>
        </row>
        <row r="189">
          <cell r="A189">
            <v>710</v>
          </cell>
          <cell r="B189" t="str">
            <v>710 Jewson Taunton(Priory Way)</v>
          </cell>
        </row>
        <row r="190">
          <cell r="A190">
            <v>711</v>
          </cell>
          <cell r="B190" t="str">
            <v>711 Jewson Tavistock</v>
          </cell>
        </row>
        <row r="191">
          <cell r="A191">
            <v>713</v>
          </cell>
          <cell r="B191" t="str">
            <v>713 Jewson Truro</v>
          </cell>
        </row>
        <row r="192">
          <cell r="A192">
            <v>715</v>
          </cell>
          <cell r="B192" t="str">
            <v>715 Jewson Walsall</v>
          </cell>
        </row>
        <row r="193">
          <cell r="A193">
            <v>716</v>
          </cell>
          <cell r="B193" t="str">
            <v>716 Jewson Watford Queens Ave</v>
          </cell>
        </row>
        <row r="194">
          <cell r="A194">
            <v>717</v>
          </cell>
          <cell r="B194" t="str">
            <v>717 Jewson Weymouth</v>
          </cell>
        </row>
        <row r="195">
          <cell r="A195">
            <v>718</v>
          </cell>
          <cell r="B195" t="str">
            <v>718 Jewson Worcester</v>
          </cell>
        </row>
        <row r="196">
          <cell r="A196">
            <v>721</v>
          </cell>
          <cell r="B196" t="str">
            <v>721 Jewson Bristol - Ashton</v>
          </cell>
        </row>
        <row r="197">
          <cell r="A197">
            <v>722</v>
          </cell>
          <cell r="B197" t="str">
            <v>722 Jewson Nuneaton</v>
          </cell>
        </row>
        <row r="198">
          <cell r="A198">
            <v>726</v>
          </cell>
          <cell r="B198" t="str">
            <v>726 Jewson Colchester</v>
          </cell>
        </row>
        <row r="199">
          <cell r="A199">
            <v>728</v>
          </cell>
          <cell r="B199" t="str">
            <v>728 Jewson Grantham Wharf Rd</v>
          </cell>
        </row>
        <row r="200">
          <cell r="A200">
            <v>730</v>
          </cell>
          <cell r="B200" t="str">
            <v>730 Jewson Penryn</v>
          </cell>
        </row>
        <row r="201">
          <cell r="A201">
            <v>731</v>
          </cell>
          <cell r="B201" t="str">
            <v>731 Jewson Bristol - Eastville</v>
          </cell>
        </row>
        <row r="202">
          <cell r="A202">
            <v>732</v>
          </cell>
          <cell r="B202" t="str">
            <v>732 Jewson Wimborne</v>
          </cell>
        </row>
        <row r="203">
          <cell r="A203">
            <v>733</v>
          </cell>
          <cell r="B203" t="str">
            <v>733 Jewson Goddards Green</v>
          </cell>
        </row>
        <row r="204">
          <cell r="A204">
            <v>734</v>
          </cell>
          <cell r="B204" t="str">
            <v>734 Jewson Haringey</v>
          </cell>
        </row>
        <row r="205">
          <cell r="A205">
            <v>735</v>
          </cell>
          <cell r="B205" t="str">
            <v>735 Jewson Penge</v>
          </cell>
        </row>
        <row r="206">
          <cell r="A206">
            <v>736</v>
          </cell>
          <cell r="B206" t="str">
            <v>736 Jewson Waltham Abbey</v>
          </cell>
        </row>
        <row r="207">
          <cell r="A207">
            <v>737</v>
          </cell>
          <cell r="B207" t="str">
            <v>737 Jewson Tunbridge Wells</v>
          </cell>
        </row>
        <row r="208">
          <cell r="A208">
            <v>738</v>
          </cell>
          <cell r="B208" t="str">
            <v>738 Jewson Canterbury M W</v>
          </cell>
        </row>
        <row r="209">
          <cell r="A209">
            <v>739</v>
          </cell>
          <cell r="B209" t="str">
            <v>739 Jewson Aberaeron</v>
          </cell>
        </row>
        <row r="210">
          <cell r="A210">
            <v>741</v>
          </cell>
          <cell r="B210" t="str">
            <v>741 Jewson Leicester</v>
          </cell>
        </row>
        <row r="211">
          <cell r="A211">
            <v>742</v>
          </cell>
          <cell r="B211" t="str">
            <v>742 Jewson Barry</v>
          </cell>
        </row>
        <row r="212">
          <cell r="A212">
            <v>744</v>
          </cell>
          <cell r="B212" t="str">
            <v>744 Jewson Shrewsbury</v>
          </cell>
        </row>
        <row r="213">
          <cell r="A213">
            <v>745</v>
          </cell>
          <cell r="B213" t="str">
            <v>745 Jewson Stafford</v>
          </cell>
        </row>
        <row r="214">
          <cell r="A214">
            <v>746</v>
          </cell>
          <cell r="B214" t="str">
            <v>746 Jewson Ashford</v>
          </cell>
        </row>
        <row r="215">
          <cell r="A215">
            <v>749</v>
          </cell>
          <cell r="B215" t="str">
            <v>749 Jewson Perth</v>
          </cell>
        </row>
        <row r="216">
          <cell r="A216">
            <v>752</v>
          </cell>
          <cell r="B216" t="str">
            <v>752 Jewson Caerphilly</v>
          </cell>
        </row>
        <row r="217">
          <cell r="A217">
            <v>755</v>
          </cell>
          <cell r="B217" t="str">
            <v>755 Jewson Glsgw Craighall Rd</v>
          </cell>
        </row>
        <row r="218">
          <cell r="A218">
            <v>756</v>
          </cell>
          <cell r="B218" t="str">
            <v>756 Jewson Orkney</v>
          </cell>
        </row>
        <row r="219">
          <cell r="A219">
            <v>761</v>
          </cell>
          <cell r="B219" t="str">
            <v>761 Jewson Kirkcaldy</v>
          </cell>
        </row>
        <row r="220">
          <cell r="A220">
            <v>762</v>
          </cell>
          <cell r="B220" t="str">
            <v>762 Jewson Bridgend</v>
          </cell>
        </row>
        <row r="221">
          <cell r="A221">
            <v>763</v>
          </cell>
          <cell r="B221" t="str">
            <v>763 Jewson Bridgwater</v>
          </cell>
        </row>
        <row r="222">
          <cell r="A222">
            <v>766</v>
          </cell>
          <cell r="B222" t="str">
            <v>766 Jewson Chester</v>
          </cell>
        </row>
        <row r="223">
          <cell r="A223">
            <v>767</v>
          </cell>
          <cell r="B223" t="str">
            <v>767 Jewson Congleton</v>
          </cell>
        </row>
        <row r="224">
          <cell r="A224">
            <v>769</v>
          </cell>
          <cell r="B224" t="str">
            <v>769 Jewson Evesham</v>
          </cell>
        </row>
        <row r="225">
          <cell r="A225">
            <v>770</v>
          </cell>
          <cell r="B225" t="str">
            <v>770 Jewson South Molton</v>
          </cell>
        </row>
        <row r="226">
          <cell r="A226">
            <v>776</v>
          </cell>
          <cell r="B226" t="str">
            <v>776 Jewson Tiverton</v>
          </cell>
        </row>
        <row r="227">
          <cell r="A227">
            <v>785</v>
          </cell>
          <cell r="B227" t="str">
            <v>785 Jewson Redruth</v>
          </cell>
        </row>
        <row r="228">
          <cell r="A228">
            <v>790</v>
          </cell>
          <cell r="B228" t="str">
            <v>790 Jewson Kingsbridge</v>
          </cell>
        </row>
        <row r="229">
          <cell r="A229">
            <v>793</v>
          </cell>
          <cell r="B229" t="str">
            <v>793 Jewson Nton Abt Forde Rd</v>
          </cell>
        </row>
        <row r="230">
          <cell r="A230">
            <v>795</v>
          </cell>
          <cell r="B230" t="str">
            <v>795 Jewson Totnes</v>
          </cell>
        </row>
        <row r="231">
          <cell r="A231">
            <v>804</v>
          </cell>
          <cell r="B231" t="str">
            <v>804 Jewson Maidstone</v>
          </cell>
        </row>
        <row r="232">
          <cell r="A232">
            <v>806</v>
          </cell>
          <cell r="B232" t="str">
            <v>806 Jewson Exmouth Lwr Fore St</v>
          </cell>
        </row>
        <row r="233">
          <cell r="A233">
            <v>808</v>
          </cell>
          <cell r="B233" t="str">
            <v>808 Jewson Chard</v>
          </cell>
        </row>
        <row r="234">
          <cell r="A234">
            <v>809</v>
          </cell>
          <cell r="B234" t="str">
            <v>809 Jewson Okehampton</v>
          </cell>
        </row>
        <row r="235">
          <cell r="A235">
            <v>811</v>
          </cell>
          <cell r="B235" t="str">
            <v>811 Jewson Weston Super Mare</v>
          </cell>
        </row>
        <row r="236">
          <cell r="A236">
            <v>823</v>
          </cell>
          <cell r="B236" t="str">
            <v>823 Jewson Stroud</v>
          </cell>
        </row>
        <row r="237">
          <cell r="A237">
            <v>827</v>
          </cell>
          <cell r="B237" t="str">
            <v>827 Jewson Andover</v>
          </cell>
        </row>
        <row r="238">
          <cell r="A238">
            <v>828</v>
          </cell>
          <cell r="B238" t="str">
            <v>828 Jewson Devizes</v>
          </cell>
        </row>
        <row r="239">
          <cell r="A239">
            <v>830</v>
          </cell>
          <cell r="B239" t="str">
            <v>830 Jewson Frome</v>
          </cell>
        </row>
        <row r="240">
          <cell r="A240">
            <v>831</v>
          </cell>
          <cell r="B240" t="str">
            <v>831 Jewson Whiteparish</v>
          </cell>
        </row>
        <row r="241">
          <cell r="A241">
            <v>833</v>
          </cell>
          <cell r="B241" t="str">
            <v>833 Jewson Cardigan</v>
          </cell>
        </row>
        <row r="242">
          <cell r="A242">
            <v>837</v>
          </cell>
          <cell r="B242" t="str">
            <v>837 Jewson Pembroke</v>
          </cell>
        </row>
        <row r="243">
          <cell r="A243">
            <v>881</v>
          </cell>
          <cell r="B243" t="str">
            <v>881 Jewson Martlesham TH-W</v>
          </cell>
        </row>
        <row r="244">
          <cell r="A244">
            <v>883</v>
          </cell>
          <cell r="B244" t="str">
            <v>883 Jewson Leeds Area Workshop</v>
          </cell>
        </row>
        <row r="245">
          <cell r="A245">
            <v>884</v>
          </cell>
          <cell r="B245" t="str">
            <v>884 Jewson Basingstoke TH-W</v>
          </cell>
        </row>
        <row r="246">
          <cell r="A246">
            <v>885</v>
          </cell>
          <cell r="B246" t="str">
            <v>885 Jewson Bridgend TH-W</v>
          </cell>
        </row>
        <row r="247">
          <cell r="A247">
            <v>886</v>
          </cell>
          <cell r="B247" t="str">
            <v>886 Jewson Newton Abbot TH-W</v>
          </cell>
        </row>
        <row r="248">
          <cell r="A248">
            <v>893</v>
          </cell>
          <cell r="B248" t="str">
            <v>893 Jewson Penzance</v>
          </cell>
        </row>
        <row r="249">
          <cell r="A249">
            <v>896</v>
          </cell>
          <cell r="B249" t="str">
            <v>896 Jewson Bangor</v>
          </cell>
        </row>
        <row r="250">
          <cell r="A250">
            <v>897</v>
          </cell>
          <cell r="B250" t="str">
            <v>897 Jewson Holyhead</v>
          </cell>
        </row>
        <row r="251">
          <cell r="A251">
            <v>907</v>
          </cell>
          <cell r="B251" t="str">
            <v>907 Jewson Letchworth</v>
          </cell>
        </row>
        <row r="252">
          <cell r="A252">
            <v>908</v>
          </cell>
          <cell r="B252" t="str">
            <v>908 Jewson Royston</v>
          </cell>
        </row>
        <row r="253">
          <cell r="A253">
            <v>911</v>
          </cell>
          <cell r="B253" t="str">
            <v>911 Jewson Cricklewood</v>
          </cell>
        </row>
        <row r="254">
          <cell r="A254">
            <v>922</v>
          </cell>
          <cell r="B254" t="str">
            <v>922 Jewson Leytonstone</v>
          </cell>
        </row>
        <row r="255">
          <cell r="A255">
            <v>924</v>
          </cell>
          <cell r="B255" t="str">
            <v>924 Jewson Sittingbourne</v>
          </cell>
        </row>
        <row r="256">
          <cell r="A256">
            <v>931</v>
          </cell>
          <cell r="B256" t="str">
            <v>931 Jewson Milton Keynes</v>
          </cell>
        </row>
        <row r="257">
          <cell r="A257">
            <v>940</v>
          </cell>
          <cell r="B257" t="str">
            <v>940 Jewson Huntingdon</v>
          </cell>
        </row>
        <row r="258">
          <cell r="A258">
            <v>942</v>
          </cell>
          <cell r="B258" t="str">
            <v>942 Jewson Charlton Ponteland</v>
          </cell>
        </row>
        <row r="259">
          <cell r="A259">
            <v>944</v>
          </cell>
          <cell r="B259" t="str">
            <v>944 Jewson Dagenham</v>
          </cell>
        </row>
        <row r="260">
          <cell r="A260">
            <v>945</v>
          </cell>
          <cell r="B260" t="str">
            <v>945 Jewson Honiton</v>
          </cell>
        </row>
        <row r="261">
          <cell r="A261">
            <v>949</v>
          </cell>
          <cell r="B261" t="str">
            <v>949 Jewson Bridgnorth</v>
          </cell>
        </row>
        <row r="262">
          <cell r="A262">
            <v>951</v>
          </cell>
          <cell r="B262" t="str">
            <v>951 Jewson Norwich Heavyside</v>
          </cell>
        </row>
        <row r="263">
          <cell r="A263">
            <v>952</v>
          </cell>
          <cell r="B263" t="str">
            <v>952 Jewson Dereham (Greens Rd)</v>
          </cell>
        </row>
        <row r="264">
          <cell r="A264">
            <v>954</v>
          </cell>
          <cell r="B264" t="str">
            <v>954 Jewson Kings Lynn</v>
          </cell>
        </row>
        <row r="265">
          <cell r="A265">
            <v>983</v>
          </cell>
          <cell r="B265" t="str">
            <v>983 Jewson Erdington</v>
          </cell>
        </row>
        <row r="266">
          <cell r="A266">
            <v>990</v>
          </cell>
          <cell r="B266" t="str">
            <v>990 Jewson Forfar</v>
          </cell>
        </row>
        <row r="267">
          <cell r="A267">
            <v>3015</v>
          </cell>
          <cell r="B267" t="str">
            <v>3015 Jewson Daventry Tool Hire</v>
          </cell>
        </row>
        <row r="268">
          <cell r="A268">
            <v>3022</v>
          </cell>
          <cell r="B268" t="str">
            <v>3022 Jewson Paisley TH-W</v>
          </cell>
        </row>
        <row r="269">
          <cell r="A269">
            <v>3046</v>
          </cell>
          <cell r="B269" t="str">
            <v>3046 Jewson Havant</v>
          </cell>
        </row>
        <row r="270">
          <cell r="A270">
            <v>3071</v>
          </cell>
          <cell r="B270" t="str">
            <v>3071 Jewson Glasgow David St.</v>
          </cell>
        </row>
        <row r="271">
          <cell r="A271">
            <v>3077</v>
          </cell>
          <cell r="B271" t="str">
            <v>3077 Jewson Mansfield</v>
          </cell>
        </row>
        <row r="272">
          <cell r="A272">
            <v>3091</v>
          </cell>
          <cell r="B272" t="str">
            <v>3091 Jewson Barnsley</v>
          </cell>
        </row>
        <row r="273">
          <cell r="A273">
            <v>3105</v>
          </cell>
          <cell r="B273" t="str">
            <v>3105 Jewson Woodbridge</v>
          </cell>
        </row>
        <row r="274">
          <cell r="A274">
            <v>3109</v>
          </cell>
          <cell r="B274" t="str">
            <v>3109 Jewson Tewkesbury</v>
          </cell>
        </row>
        <row r="275">
          <cell r="A275">
            <v>3120</v>
          </cell>
          <cell r="B275" t="str">
            <v>3120 Jewson Keighley</v>
          </cell>
        </row>
        <row r="276">
          <cell r="A276">
            <v>3133</v>
          </cell>
          <cell r="B276" t="str">
            <v>3133 Jewson Chichester NJB</v>
          </cell>
        </row>
        <row r="277">
          <cell r="A277">
            <v>3136</v>
          </cell>
          <cell r="B277" t="str">
            <v>3136 Jewson Ormskirk</v>
          </cell>
        </row>
        <row r="278">
          <cell r="A278">
            <v>3253</v>
          </cell>
          <cell r="B278" t="str">
            <v>3253 Jewson Kilmarnock</v>
          </cell>
        </row>
        <row r="279">
          <cell r="A279">
            <v>3256</v>
          </cell>
          <cell r="B279" t="str">
            <v>3256 Jewson Inverness</v>
          </cell>
        </row>
        <row r="280">
          <cell r="A280">
            <v>3284</v>
          </cell>
          <cell r="B280" t="str">
            <v>3284 Jewson Leiston</v>
          </cell>
        </row>
        <row r="281">
          <cell r="A281">
            <v>3293</v>
          </cell>
          <cell r="B281" t="str">
            <v>3293 Jewson Horn Lane Acton</v>
          </cell>
        </row>
        <row r="282">
          <cell r="A282">
            <v>3296</v>
          </cell>
          <cell r="B282" t="str">
            <v>3296 Jewson Croydon</v>
          </cell>
        </row>
        <row r="283">
          <cell r="A283">
            <v>3304</v>
          </cell>
          <cell r="B283" t="str">
            <v>3304 Jewson Orpington</v>
          </cell>
        </row>
        <row r="284">
          <cell r="A284">
            <v>3307</v>
          </cell>
          <cell r="B284" t="str">
            <v>3307 Jewson Durham</v>
          </cell>
        </row>
        <row r="285">
          <cell r="A285">
            <v>3427</v>
          </cell>
          <cell r="B285" t="str">
            <v>3427 Jewson TH Sales Centre</v>
          </cell>
        </row>
        <row r="286">
          <cell r="A286">
            <v>3487</v>
          </cell>
          <cell r="B286" t="str">
            <v>3487 Jewson Pinewood Studios</v>
          </cell>
        </row>
        <row r="287">
          <cell r="A287">
            <v>3505</v>
          </cell>
          <cell r="B287" t="str">
            <v>3505 Jewson West Wickham</v>
          </cell>
        </row>
        <row r="288">
          <cell r="A288">
            <v>3618</v>
          </cell>
          <cell r="B288" t="str">
            <v>3618 Jewson East Dulwich</v>
          </cell>
        </row>
        <row r="289">
          <cell r="A289">
            <v>3620</v>
          </cell>
          <cell r="B289" t="str">
            <v>3620 Jewson Highgate</v>
          </cell>
        </row>
        <row r="290">
          <cell r="A290">
            <v>3621</v>
          </cell>
          <cell r="B290" t="str">
            <v>3621 Jewson Hinchley Wood</v>
          </cell>
        </row>
        <row r="291">
          <cell r="A291">
            <v>3622</v>
          </cell>
          <cell r="B291" t="str">
            <v>3622 Jewson Leatherhead</v>
          </cell>
        </row>
        <row r="292">
          <cell r="A292">
            <v>3625</v>
          </cell>
          <cell r="B292" t="str">
            <v>3625 Jewson Redhill</v>
          </cell>
        </row>
        <row r="293">
          <cell r="A293">
            <v>3627</v>
          </cell>
          <cell r="B293" t="str">
            <v>3627 Jewson Ruislip</v>
          </cell>
        </row>
        <row r="294">
          <cell r="A294">
            <v>3629</v>
          </cell>
          <cell r="B294" t="str">
            <v>3629 Jewson Bath</v>
          </cell>
        </row>
        <row r="295">
          <cell r="A295">
            <v>3630</v>
          </cell>
          <cell r="B295" t="str">
            <v>3630 Jewson Bodmin</v>
          </cell>
        </row>
        <row r="296">
          <cell r="A296">
            <v>3635</v>
          </cell>
          <cell r="B296" t="str">
            <v>3635 Jewson Paignton</v>
          </cell>
        </row>
        <row r="297">
          <cell r="A297">
            <v>3640</v>
          </cell>
          <cell r="B297" t="str">
            <v>3640 Jewson Hanley</v>
          </cell>
        </row>
        <row r="298">
          <cell r="A298">
            <v>3643</v>
          </cell>
          <cell r="B298" t="str">
            <v>3643 Jewson Rugby</v>
          </cell>
        </row>
        <row r="299">
          <cell r="A299">
            <v>3644</v>
          </cell>
          <cell r="B299" t="str">
            <v>3644 Jewson Telford</v>
          </cell>
        </row>
        <row r="300">
          <cell r="A300">
            <v>3646</v>
          </cell>
          <cell r="B300" t="str">
            <v>3646 Jewson Bracknell</v>
          </cell>
        </row>
        <row r="301">
          <cell r="A301">
            <v>3657</v>
          </cell>
          <cell r="B301" t="str">
            <v>3657 Jewson Alfreton</v>
          </cell>
        </row>
        <row r="302">
          <cell r="A302">
            <v>3659</v>
          </cell>
          <cell r="B302" t="str">
            <v>3659 Jewson Chesterfield</v>
          </cell>
        </row>
        <row r="303">
          <cell r="A303">
            <v>3664</v>
          </cell>
          <cell r="B303" t="str">
            <v>3664 Jewson Retford</v>
          </cell>
        </row>
        <row r="304">
          <cell r="A304">
            <v>3665</v>
          </cell>
          <cell r="B304" t="str">
            <v>3665 Jewson Rotherham</v>
          </cell>
        </row>
        <row r="305">
          <cell r="A305">
            <v>3669</v>
          </cell>
          <cell r="B305" t="str">
            <v>3669 Jewson York</v>
          </cell>
        </row>
        <row r="306">
          <cell r="A306">
            <v>3670</v>
          </cell>
          <cell r="B306" t="str">
            <v>3670 Jewson Altrincham</v>
          </cell>
        </row>
        <row r="307">
          <cell r="A307">
            <v>3672</v>
          </cell>
          <cell r="B307" t="str">
            <v>3672 Jewson Middlewich</v>
          </cell>
        </row>
        <row r="308">
          <cell r="A308">
            <v>3674</v>
          </cell>
          <cell r="B308" t="str">
            <v>3674 Jewson Aberdeen</v>
          </cell>
        </row>
        <row r="309">
          <cell r="A309">
            <v>3682</v>
          </cell>
          <cell r="B309" t="str">
            <v>3682 Jewson Galashiels</v>
          </cell>
        </row>
        <row r="310">
          <cell r="A310">
            <v>3684</v>
          </cell>
          <cell r="B310" t="str">
            <v>3684 Jewson Grangemouth</v>
          </cell>
        </row>
        <row r="311">
          <cell r="A311">
            <v>3751</v>
          </cell>
          <cell r="B311" t="str">
            <v>3751 Jewson Deal</v>
          </cell>
        </row>
        <row r="312">
          <cell r="A312">
            <v>3777</v>
          </cell>
          <cell r="B312" t="str">
            <v>3777 Jewson Newport I.O.W</v>
          </cell>
        </row>
        <row r="313">
          <cell r="A313">
            <v>3791</v>
          </cell>
          <cell r="B313" t="str">
            <v>3791 Jewson Horsham</v>
          </cell>
        </row>
        <row r="314">
          <cell r="A314">
            <v>3792</v>
          </cell>
          <cell r="B314" t="str">
            <v>3792 Jewson Haywards Heath</v>
          </cell>
        </row>
        <row r="315">
          <cell r="A315">
            <v>3796</v>
          </cell>
          <cell r="B315" t="str">
            <v>3796 Jewson Hayling Island</v>
          </cell>
        </row>
        <row r="316">
          <cell r="A316">
            <v>3812</v>
          </cell>
          <cell r="B316" t="str">
            <v>3812 Jewson Hailsham</v>
          </cell>
        </row>
        <row r="317">
          <cell r="A317">
            <v>3817</v>
          </cell>
          <cell r="B317" t="str">
            <v>3817 Jewson East Grinstead</v>
          </cell>
        </row>
        <row r="318">
          <cell r="A318">
            <v>3819</v>
          </cell>
          <cell r="B318" t="str">
            <v>3819 Jewson Hastings</v>
          </cell>
        </row>
        <row r="319">
          <cell r="A319">
            <v>4010</v>
          </cell>
          <cell r="B319" t="str">
            <v>4010 Jewson Cardiff</v>
          </cell>
        </row>
        <row r="320">
          <cell r="A320">
            <v>4032</v>
          </cell>
          <cell r="B320" t="str">
            <v>4032 Jewson Ilfracombe</v>
          </cell>
        </row>
        <row r="321">
          <cell r="A321">
            <v>4040</v>
          </cell>
          <cell r="B321" t="str">
            <v>4040 Jewson Wrexham</v>
          </cell>
        </row>
        <row r="322">
          <cell r="A322">
            <v>4042</v>
          </cell>
          <cell r="B322" t="str">
            <v>4042 Jewson Llangefni</v>
          </cell>
        </row>
        <row r="323">
          <cell r="A323">
            <v>4048</v>
          </cell>
          <cell r="B323" t="str">
            <v>4048 Jewson Ramsey I.O.M.</v>
          </cell>
        </row>
        <row r="324">
          <cell r="A324">
            <v>4316</v>
          </cell>
          <cell r="B324" t="str">
            <v>4316 Jewson Oswestry</v>
          </cell>
        </row>
        <row r="325">
          <cell r="A325">
            <v>4322</v>
          </cell>
          <cell r="B325" t="str">
            <v>4322 Jewson Colne Timber</v>
          </cell>
        </row>
        <row r="326">
          <cell r="A326">
            <v>4336</v>
          </cell>
          <cell r="B326" t="str">
            <v>4336 Jewson Loughborough Tmbr</v>
          </cell>
        </row>
        <row r="327">
          <cell r="A327">
            <v>5555</v>
          </cell>
          <cell r="B327" t="str">
            <v>5555 Jewson TH Asset Holding</v>
          </cell>
        </row>
        <row r="328">
          <cell r="A328">
            <v>5805</v>
          </cell>
          <cell r="B328" t="str">
            <v>5805 Jewson Littlehampton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6"/>
  <sheetViews>
    <sheetView tabSelected="1" workbookViewId="0">
      <selection activeCell="D14" sqref="D14"/>
    </sheetView>
  </sheetViews>
  <sheetFormatPr defaultColWidth="15.140625" defaultRowHeight="15" x14ac:dyDescent="0.25"/>
  <cols>
    <col min="1" max="1" width="14.140625" customWidth="1"/>
    <col min="2" max="2" width="9.5703125" bestFit="1" customWidth="1"/>
    <col min="3" max="3" width="7.140625" bestFit="1" customWidth="1"/>
    <col min="4" max="4" width="26.7109375" bestFit="1" customWidth="1"/>
    <col min="5" max="5" width="12.5703125" bestFit="1" customWidth="1"/>
    <col min="6" max="6" width="3.85546875" customWidth="1"/>
    <col min="7" max="7" width="15.42578125" customWidth="1"/>
    <col min="8" max="8" width="10.5703125" bestFit="1" customWidth="1"/>
    <col min="9" max="9" width="11.5703125" bestFit="1" customWidth="1"/>
    <col min="10" max="10" width="10.5703125" bestFit="1" customWidth="1"/>
    <col min="11" max="11" width="6.140625" bestFit="1" customWidth="1"/>
    <col min="12" max="12" width="2.5703125" customWidth="1"/>
    <col min="13" max="13" width="11.5703125" bestFit="1" customWidth="1"/>
    <col min="14" max="14" width="12.28515625" bestFit="1" customWidth="1"/>
    <col min="15" max="15" width="11.42578125" bestFit="1" customWidth="1"/>
    <col min="16" max="16" width="10.7109375" bestFit="1" customWidth="1"/>
  </cols>
  <sheetData>
    <row r="1" spans="1:19" ht="15.75" x14ac:dyDescent="0.25">
      <c r="A1" s="1" t="s">
        <v>0</v>
      </c>
      <c r="B1" s="1"/>
      <c r="C1" s="2"/>
      <c r="D1" s="2"/>
      <c r="E1" s="2"/>
      <c r="F1" s="2"/>
      <c r="G1" s="36" t="s">
        <v>1</v>
      </c>
      <c r="H1" s="36"/>
      <c r="I1" s="36"/>
      <c r="J1" s="36"/>
      <c r="K1" s="36"/>
      <c r="L1" s="2"/>
      <c r="M1" s="36" t="s">
        <v>2</v>
      </c>
      <c r="N1" s="36"/>
      <c r="O1" s="36"/>
      <c r="P1" s="36"/>
      <c r="Q1" s="2"/>
      <c r="R1" s="2"/>
    </row>
    <row r="2" spans="1:19" x14ac:dyDescent="0.25">
      <c r="A2" s="2"/>
      <c r="B2" s="2"/>
      <c r="C2" s="2"/>
      <c r="D2" s="2"/>
      <c r="E2" s="2"/>
      <c r="F2" s="2"/>
      <c r="G2" s="36" t="s">
        <v>3</v>
      </c>
      <c r="H2" s="36"/>
      <c r="I2" s="36"/>
      <c r="J2" s="37" t="s">
        <v>4</v>
      </c>
      <c r="K2" s="39" t="s">
        <v>5</v>
      </c>
      <c r="L2" s="2"/>
      <c r="M2" s="36" t="s">
        <v>3</v>
      </c>
      <c r="N2" s="36"/>
      <c r="O2" s="36"/>
      <c r="P2" s="36"/>
      <c r="Q2" s="2"/>
      <c r="R2" s="2"/>
    </row>
    <row r="3" spans="1:19" ht="30" x14ac:dyDescent="0.25">
      <c r="A3" s="53" t="s">
        <v>14</v>
      </c>
      <c r="B3" s="53" t="s">
        <v>6</v>
      </c>
      <c r="C3" s="53" t="s">
        <v>7</v>
      </c>
      <c r="D3" s="54" t="s">
        <v>8</v>
      </c>
      <c r="E3" s="53" t="s">
        <v>9</v>
      </c>
      <c r="F3" s="3"/>
      <c r="G3" s="4" t="s">
        <v>10</v>
      </c>
      <c r="H3" s="4" t="s">
        <v>11</v>
      </c>
      <c r="I3" s="5" t="s">
        <v>12</v>
      </c>
      <c r="J3" s="38"/>
      <c r="K3" s="40"/>
      <c r="L3" s="3"/>
      <c r="M3" s="5" t="s">
        <v>10</v>
      </c>
      <c r="N3" s="5" t="s">
        <v>11</v>
      </c>
      <c r="O3" s="5" t="s">
        <v>12</v>
      </c>
      <c r="P3" s="5" t="s">
        <v>13</v>
      </c>
      <c r="Q3" s="2"/>
      <c r="R3" s="6"/>
    </row>
    <row r="4" spans="1:19" x14ac:dyDescent="0.25">
      <c r="A4" s="32">
        <v>427</v>
      </c>
      <c r="B4" s="32"/>
      <c r="C4" s="32" t="s">
        <v>40</v>
      </c>
      <c r="D4" s="33"/>
      <c r="E4" s="34">
        <v>43566</v>
      </c>
      <c r="F4" s="22"/>
      <c r="G4" s="19">
        <f>'0427'!C3</f>
        <v>2134.64</v>
      </c>
      <c r="H4" s="19">
        <f>'0427'!D3</f>
        <v>426.93</v>
      </c>
      <c r="I4" s="21">
        <f>G4+H4</f>
        <v>2561.5699999999997</v>
      </c>
      <c r="J4" s="19">
        <f>'0427'!B17</f>
        <v>213.95999999999998</v>
      </c>
      <c r="K4" s="19">
        <v>0</v>
      </c>
      <c r="L4" s="24"/>
      <c r="M4" s="19">
        <f>O4/1.2</f>
        <v>2313.0416666666665</v>
      </c>
      <c r="N4" s="19">
        <f>M4*0.2</f>
        <v>462.60833333333335</v>
      </c>
      <c r="O4" s="26">
        <f>'0427'!E17</f>
        <v>2775.6499999999996</v>
      </c>
      <c r="P4" s="28">
        <f>O4-I4-J4</f>
        <v>0.1199999999999477</v>
      </c>
      <c r="Q4" s="2"/>
      <c r="R4" s="2"/>
    </row>
    <row r="5" spans="1:19" x14ac:dyDescent="0.25">
      <c r="A5" s="30">
        <v>428</v>
      </c>
      <c r="B5" s="30" t="s">
        <v>39</v>
      </c>
      <c r="C5" s="30" t="s">
        <v>40</v>
      </c>
      <c r="D5" s="31"/>
      <c r="E5" s="35"/>
      <c r="F5" s="7"/>
      <c r="G5" s="19">
        <f>'0428'!C3</f>
        <v>1402.71</v>
      </c>
      <c r="H5" s="19">
        <f>'0428'!D3</f>
        <v>280.54000000000002</v>
      </c>
      <c r="I5" s="21">
        <f>G5+H5</f>
        <v>1683.25</v>
      </c>
      <c r="J5" s="25">
        <f>'0428'!B17</f>
        <v>84.58</v>
      </c>
      <c r="K5" s="25">
        <v>0</v>
      </c>
      <c r="L5" s="20"/>
      <c r="M5" s="19">
        <f>O5/1.2</f>
        <v>1473.1666666666667</v>
      </c>
      <c r="N5" s="19">
        <f>M5*0.2</f>
        <v>294.63333333333338</v>
      </c>
      <c r="O5" s="26">
        <f>'0428'!E17</f>
        <v>1767.8</v>
      </c>
      <c r="P5" s="29">
        <f>O5-I5-J5</f>
        <v>-3.0000000000043769E-2</v>
      </c>
      <c r="Q5" s="7"/>
      <c r="R5" s="7"/>
      <c r="S5" s="7"/>
    </row>
    <row r="6" spans="1:19" x14ac:dyDescent="0.25">
      <c r="A6" s="32">
        <v>439</v>
      </c>
      <c r="B6" s="32"/>
      <c r="C6" s="32" t="s">
        <v>40</v>
      </c>
      <c r="D6" s="33"/>
      <c r="E6" s="35"/>
      <c r="F6" s="7"/>
      <c r="G6" s="25">
        <f>'0439'!C3</f>
        <v>1829.57</v>
      </c>
      <c r="H6" s="25">
        <f>'0439'!D3</f>
        <v>365.91</v>
      </c>
      <c r="I6" s="21">
        <f>G6+H6</f>
        <v>2195.48</v>
      </c>
      <c r="J6" s="25">
        <f>'0439'!B17</f>
        <v>0</v>
      </c>
      <c r="K6" s="25">
        <v>0</v>
      </c>
      <c r="L6" s="20"/>
      <c r="M6" s="25">
        <f>O6/1.2</f>
        <v>1829.5916666666665</v>
      </c>
      <c r="N6" s="25">
        <f>M6*0.2</f>
        <v>365.91833333333329</v>
      </c>
      <c r="O6" s="27">
        <f>'0439'!E17</f>
        <v>2195.5099999999998</v>
      </c>
      <c r="P6" s="29">
        <f>O6-I6-J6</f>
        <v>2.9999999999745341E-2</v>
      </c>
      <c r="Q6" s="7"/>
      <c r="R6" s="7"/>
      <c r="S6" s="7"/>
    </row>
    <row r="7" spans="1:19" x14ac:dyDescent="0.25">
      <c r="A7" s="32">
        <v>687</v>
      </c>
      <c r="B7" s="32"/>
      <c r="C7" s="32" t="s">
        <v>40</v>
      </c>
      <c r="D7" s="33"/>
      <c r="E7" s="35"/>
      <c r="F7" s="7"/>
      <c r="G7" s="25">
        <f>'0687'!C3</f>
        <v>688</v>
      </c>
      <c r="H7" s="25">
        <f>'0687'!D3</f>
        <v>137.6</v>
      </c>
      <c r="I7" s="21">
        <f>G7+H7</f>
        <v>825.6</v>
      </c>
      <c r="J7" s="25">
        <f>'0687'!B17</f>
        <v>5085.8099999999995</v>
      </c>
      <c r="K7" s="25">
        <v>0</v>
      </c>
      <c r="L7" s="20"/>
      <c r="M7" s="25">
        <f>O7/1.2</f>
        <v>4926.1916666666675</v>
      </c>
      <c r="N7" s="25">
        <f>M7*0.2</f>
        <v>985.23833333333357</v>
      </c>
      <c r="O7" s="27">
        <f>'0687'!E17</f>
        <v>5911.43</v>
      </c>
      <c r="P7" s="29">
        <f>O7-I7-J7</f>
        <v>2.0000000000436557E-2</v>
      </c>
      <c r="Q7" s="7"/>
      <c r="R7" s="7"/>
      <c r="S7" s="7"/>
    </row>
    <row r="8" spans="1:19" x14ac:dyDescent="0.25">
      <c r="A8" s="30">
        <v>688</v>
      </c>
      <c r="B8" s="30" t="s">
        <v>39</v>
      </c>
      <c r="C8" s="30" t="s">
        <v>40</v>
      </c>
      <c r="D8" s="31"/>
      <c r="E8" s="35"/>
      <c r="F8" s="7"/>
      <c r="G8" s="25">
        <f>'0688'!C3</f>
        <v>18877.48</v>
      </c>
      <c r="H8" s="25">
        <f>'0688'!D3</f>
        <v>3775.49</v>
      </c>
      <c r="I8" s="21">
        <f>G8+H8</f>
        <v>22652.97</v>
      </c>
      <c r="J8" s="25">
        <f>'0688'!B17</f>
        <v>831.69</v>
      </c>
      <c r="K8" s="25">
        <v>0</v>
      </c>
      <c r="L8" s="20"/>
      <c r="M8" s="25">
        <f>O8/1.2</f>
        <v>19532.375</v>
      </c>
      <c r="N8" s="25">
        <f>M8*0.2</f>
        <v>3906.4750000000004</v>
      </c>
      <c r="O8" s="27">
        <f>'0688'!E17</f>
        <v>23438.85</v>
      </c>
      <c r="P8" s="29">
        <f>O8-I8-J8</f>
        <v>-45.810000000002674</v>
      </c>
      <c r="Q8" s="7"/>
      <c r="R8" s="7"/>
      <c r="S8" s="7"/>
    </row>
    <row r="9" spans="1:19" x14ac:dyDescent="0.25">
      <c r="A9" s="30">
        <v>700</v>
      </c>
      <c r="B9" s="30" t="s">
        <v>39</v>
      </c>
      <c r="C9" s="30" t="s">
        <v>40</v>
      </c>
      <c r="D9" s="31"/>
      <c r="E9" s="35"/>
      <c r="F9" s="7"/>
      <c r="G9" s="25">
        <f>'0700'!C3</f>
        <v>12294.41</v>
      </c>
      <c r="H9" s="25">
        <f>'0700'!D3</f>
        <v>2458.9</v>
      </c>
      <c r="I9" s="23">
        <f>G9+H9</f>
        <v>14753.31</v>
      </c>
      <c r="J9" s="25">
        <f>'0700'!B17</f>
        <v>8439.7899999999991</v>
      </c>
      <c r="K9" s="25">
        <v>0</v>
      </c>
      <c r="L9" s="20"/>
      <c r="M9" s="25">
        <f>O9/1.2</f>
        <v>19327.650000000001</v>
      </c>
      <c r="N9" s="25">
        <f>M9*0.2</f>
        <v>3865.5300000000007</v>
      </c>
      <c r="O9" s="27">
        <f>'0700'!E17</f>
        <v>23193.18</v>
      </c>
      <c r="P9" s="29">
        <f>O9-I9-J9</f>
        <v>8.000000000174623E-2</v>
      </c>
      <c r="Q9" s="7"/>
      <c r="R9" s="7"/>
      <c r="S9" s="7"/>
    </row>
    <row r="10" spans="1:19" x14ac:dyDescent="0.25">
      <c r="A10" s="30">
        <v>776</v>
      </c>
      <c r="B10" s="30" t="s">
        <v>39</v>
      </c>
      <c r="C10" s="30" t="s">
        <v>40</v>
      </c>
      <c r="D10" s="31"/>
      <c r="E10" s="35"/>
      <c r="F10" s="7"/>
      <c r="G10" s="25">
        <f>'0776'!C3</f>
        <v>2948.68</v>
      </c>
      <c r="H10" s="25">
        <f>'0776'!D3</f>
        <v>589.74</v>
      </c>
      <c r="I10" s="23">
        <f>G10+H10</f>
        <v>3538.42</v>
      </c>
      <c r="J10" s="25">
        <f>'0776'!B17</f>
        <v>0</v>
      </c>
      <c r="K10" s="25">
        <v>0</v>
      </c>
      <c r="L10" s="20"/>
      <c r="M10" s="25">
        <f>O10/1.2</f>
        <v>2948.7333333333336</v>
      </c>
      <c r="N10" s="25">
        <f>M10*0.2</f>
        <v>589.74666666666678</v>
      </c>
      <c r="O10" s="27">
        <f>'0776'!E17</f>
        <v>3538.48</v>
      </c>
      <c r="P10" s="29">
        <f>O10-I10-J10</f>
        <v>5.999999999994543E-2</v>
      </c>
      <c r="Q10" s="7"/>
      <c r="R10" s="7"/>
      <c r="S10" s="7"/>
    </row>
    <row r="11" spans="1:19" x14ac:dyDescent="0.25">
      <c r="A11" s="30">
        <v>790</v>
      </c>
      <c r="B11" s="30" t="s">
        <v>39</v>
      </c>
      <c r="C11" s="30" t="s">
        <v>40</v>
      </c>
      <c r="D11" s="31"/>
      <c r="E11" s="35"/>
      <c r="F11" s="7"/>
      <c r="G11" s="25">
        <f>'0790'!C3</f>
        <v>3659.67</v>
      </c>
      <c r="H11" s="25">
        <f>'0790'!D3</f>
        <v>731.93</v>
      </c>
      <c r="I11" s="23">
        <f>G11+H11</f>
        <v>4391.6000000000004</v>
      </c>
      <c r="J11" s="25">
        <f>'0790'!B17</f>
        <v>11.81</v>
      </c>
      <c r="K11" s="25">
        <v>0</v>
      </c>
      <c r="L11" s="20"/>
      <c r="M11" s="25">
        <f>O11/1.2</f>
        <v>3669.6166666666668</v>
      </c>
      <c r="N11" s="25">
        <f>M11*0.2</f>
        <v>733.9233333333334</v>
      </c>
      <c r="O11" s="27">
        <f>'0790'!E17</f>
        <v>4403.54</v>
      </c>
      <c r="P11" s="29">
        <f>O11-I11-J11</f>
        <v>0.12999999999959932</v>
      </c>
      <c r="Q11" s="7"/>
      <c r="R11" s="7"/>
      <c r="S11" s="7"/>
    </row>
    <row r="12" spans="1:19" x14ac:dyDescent="0.25">
      <c r="A12" s="32">
        <v>792</v>
      </c>
      <c r="B12" s="32"/>
      <c r="C12" s="32" t="s">
        <v>40</v>
      </c>
      <c r="D12" s="33"/>
      <c r="E12" s="35"/>
      <c r="F12" s="7"/>
      <c r="G12" s="25">
        <f>'0792'!C3</f>
        <v>646.46</v>
      </c>
      <c r="H12" s="25">
        <f>'0792'!D3</f>
        <v>129.29</v>
      </c>
      <c r="I12" s="23">
        <f>G12+H12</f>
        <v>775.75</v>
      </c>
      <c r="J12" s="25">
        <f>'0792'!B17</f>
        <v>0</v>
      </c>
      <c r="K12" s="25">
        <v>0</v>
      </c>
      <c r="L12" s="20"/>
      <c r="M12" s="25">
        <f>O12/1.2</f>
        <v>646.47500000000002</v>
      </c>
      <c r="N12" s="25">
        <f>M12*0.2</f>
        <v>129.29500000000002</v>
      </c>
      <c r="O12" s="27">
        <f>'0792'!E17</f>
        <v>775.77</v>
      </c>
      <c r="P12" s="29">
        <f>O12-I12-J12</f>
        <v>1.999999999998181E-2</v>
      </c>
      <c r="Q12" s="7"/>
      <c r="R12" s="7"/>
      <c r="S12" s="7"/>
    </row>
    <row r="13" spans="1:19" x14ac:dyDescent="0.25">
      <c r="A13" s="30">
        <v>793</v>
      </c>
      <c r="B13" s="30" t="s">
        <v>39</v>
      </c>
      <c r="C13" s="30" t="s">
        <v>40</v>
      </c>
      <c r="D13" s="31"/>
      <c r="E13" s="35"/>
      <c r="F13" s="7"/>
      <c r="G13" s="25">
        <f>'0793'!C3</f>
        <v>3919.27</v>
      </c>
      <c r="H13" s="25">
        <f>'0793'!D3</f>
        <v>783.87</v>
      </c>
      <c r="I13" s="23">
        <f>G13+H13</f>
        <v>4703.1400000000003</v>
      </c>
      <c r="J13" s="25">
        <f>'0793'!B17</f>
        <v>0</v>
      </c>
      <c r="K13" s="25">
        <v>0</v>
      </c>
      <c r="L13" s="20"/>
      <c r="M13" s="25">
        <f>O13/1.2</f>
        <v>3919.3583333333331</v>
      </c>
      <c r="N13" s="25">
        <f>M13*0.2</f>
        <v>783.87166666666667</v>
      </c>
      <c r="O13" s="27">
        <f>'0793'!E17</f>
        <v>4703.2299999999996</v>
      </c>
      <c r="P13" s="29">
        <f>O13-I13-J13</f>
        <v>8.9999999999236024E-2</v>
      </c>
      <c r="Q13" s="7"/>
      <c r="R13" s="7"/>
      <c r="S13" s="7"/>
    </row>
    <row r="14" spans="1:19" x14ac:dyDescent="0.25">
      <c r="A14" s="30">
        <v>795</v>
      </c>
      <c r="B14" s="30" t="s">
        <v>39</v>
      </c>
      <c r="C14" s="30" t="s">
        <v>40</v>
      </c>
      <c r="D14" s="31"/>
      <c r="E14" s="35"/>
      <c r="F14" s="7"/>
      <c r="G14" s="25">
        <f>'0795'!C3</f>
        <v>2501.12</v>
      </c>
      <c r="H14" s="25">
        <f>'0795'!D3</f>
        <v>500.22</v>
      </c>
      <c r="I14" s="23">
        <f>G14+H14</f>
        <v>3001.34</v>
      </c>
      <c r="J14" s="25">
        <f>'0795'!B17</f>
        <v>0</v>
      </c>
      <c r="K14" s="25">
        <v>0</v>
      </c>
      <c r="L14" s="20"/>
      <c r="M14" s="25">
        <f>O14/1.2</f>
        <v>2501.1083333333336</v>
      </c>
      <c r="N14" s="25">
        <f>M14*0.2</f>
        <v>500.22166666666675</v>
      </c>
      <c r="O14" s="27">
        <f>'0795'!E17</f>
        <v>3001.33</v>
      </c>
      <c r="P14" s="29">
        <f>O14-I14-J14</f>
        <v>-1.0000000000218279E-2</v>
      </c>
      <c r="Q14" s="7"/>
      <c r="R14" s="7"/>
      <c r="S14" s="7"/>
    </row>
    <row r="15" spans="1:19" x14ac:dyDescent="0.25">
      <c r="A15" s="30">
        <v>806</v>
      </c>
      <c r="B15" s="30" t="s">
        <v>39</v>
      </c>
      <c r="C15" s="30" t="s">
        <v>40</v>
      </c>
      <c r="D15" s="31"/>
      <c r="E15" s="35"/>
      <c r="F15" s="7"/>
      <c r="G15" s="25">
        <f>'0806'!C3</f>
        <v>0</v>
      </c>
      <c r="H15" s="25">
        <f>'0806'!D3</f>
        <v>0</v>
      </c>
      <c r="I15" s="23">
        <f>G15+H15</f>
        <v>0</v>
      </c>
      <c r="J15" s="25">
        <f>'0806'!B17</f>
        <v>3.05</v>
      </c>
      <c r="K15" s="25">
        <v>0</v>
      </c>
      <c r="L15" s="20"/>
      <c r="M15" s="25">
        <f>O15/1.2</f>
        <v>2.6333333333333337</v>
      </c>
      <c r="N15" s="25">
        <f>M15*0.2</f>
        <v>0.52666666666666673</v>
      </c>
      <c r="O15" s="27">
        <f>'0806'!E17</f>
        <v>3.16</v>
      </c>
      <c r="P15" s="29">
        <f>O15-I15-J15</f>
        <v>0.11000000000000032</v>
      </c>
      <c r="Q15" s="7"/>
      <c r="R15" s="7"/>
      <c r="S15" s="7"/>
    </row>
    <row r="16" spans="1:19" x14ac:dyDescent="0.25">
      <c r="A16" s="30">
        <v>809</v>
      </c>
      <c r="B16" s="30" t="s">
        <v>39</v>
      </c>
      <c r="C16" s="30" t="s">
        <v>40</v>
      </c>
      <c r="D16" s="31"/>
      <c r="E16" s="35"/>
      <c r="F16" s="7"/>
      <c r="G16" s="25">
        <f>'0809'!C3</f>
        <v>362.68</v>
      </c>
      <c r="H16" s="25">
        <f>'0809'!D3</f>
        <v>72.540000000000006</v>
      </c>
      <c r="I16" s="23">
        <f>G16+H16</f>
        <v>435.22</v>
      </c>
      <c r="J16" s="25">
        <f>'0809'!B17</f>
        <v>104.51</v>
      </c>
      <c r="K16" s="25">
        <v>0</v>
      </c>
      <c r="L16" s="20"/>
      <c r="M16" s="25">
        <f>O16/1.2</f>
        <v>449.87500000000006</v>
      </c>
      <c r="N16" s="25">
        <f>M16*0.2</f>
        <v>89.975000000000023</v>
      </c>
      <c r="O16" s="27">
        <f>'0809'!E17</f>
        <v>539.85</v>
      </c>
      <c r="P16" s="29">
        <f>O16-I16-J16</f>
        <v>0.11999999999999034</v>
      </c>
      <c r="Q16" s="7"/>
      <c r="R16" s="7"/>
      <c r="S16" s="7"/>
    </row>
    <row r="17" spans="1:19" x14ac:dyDescent="0.25">
      <c r="A17" s="30">
        <v>886</v>
      </c>
      <c r="B17" s="30" t="s">
        <v>39</v>
      </c>
      <c r="C17" s="30" t="s">
        <v>40</v>
      </c>
      <c r="D17" s="31"/>
      <c r="E17" s="35"/>
      <c r="F17" s="7"/>
      <c r="G17" s="25">
        <f>'0886'!C3</f>
        <v>0</v>
      </c>
      <c r="H17" s="25">
        <f>'0886'!D3</f>
        <v>0</v>
      </c>
      <c r="I17" s="23">
        <f>G17+H17</f>
        <v>0</v>
      </c>
      <c r="J17" s="25">
        <f>'0886'!B17</f>
        <v>0</v>
      </c>
      <c r="K17" s="25">
        <v>0</v>
      </c>
      <c r="L17" s="20"/>
      <c r="M17" s="25">
        <f>O17/1.2</f>
        <v>0</v>
      </c>
      <c r="N17" s="25">
        <f>M17*0.2</f>
        <v>0</v>
      </c>
      <c r="O17" s="27">
        <f>'0886'!E17</f>
        <v>0</v>
      </c>
      <c r="P17" s="29">
        <f>O17-I17-J17</f>
        <v>0</v>
      </c>
      <c r="Q17" s="7"/>
      <c r="R17" s="7"/>
      <c r="S17" s="7"/>
    </row>
    <row r="18" spans="1:19" x14ac:dyDescent="0.25">
      <c r="A18" s="30">
        <v>945</v>
      </c>
      <c r="B18" s="30" t="s">
        <v>39</v>
      </c>
      <c r="C18" s="30" t="s">
        <v>40</v>
      </c>
      <c r="D18" s="31"/>
      <c r="E18" s="35"/>
      <c r="F18" s="7"/>
      <c r="G18" s="25">
        <f>'0945'!C3</f>
        <v>609.55999999999995</v>
      </c>
      <c r="H18" s="25">
        <f>'0945'!D3</f>
        <v>121.91</v>
      </c>
      <c r="I18" s="23">
        <f>G18+H18</f>
        <v>731.46999999999991</v>
      </c>
      <c r="J18" s="25">
        <f>'0945'!B17</f>
        <v>45</v>
      </c>
      <c r="K18" s="25">
        <v>0</v>
      </c>
      <c r="L18" s="20"/>
      <c r="M18" s="25">
        <f>O18/1.2</f>
        <v>647.04166666666674</v>
      </c>
      <c r="N18" s="25">
        <f>M18*0.2</f>
        <v>129.40833333333336</v>
      </c>
      <c r="O18" s="27">
        <f>'0945'!E17</f>
        <v>776.45</v>
      </c>
      <c r="P18" s="29">
        <f>O18-I18-J18</f>
        <v>-1.9999999999868123E-2</v>
      </c>
      <c r="Q18" s="7"/>
      <c r="R18" s="7"/>
      <c r="S18" s="7"/>
    </row>
    <row r="19" spans="1:19" x14ac:dyDescent="0.25">
      <c r="A19" s="30">
        <v>3635</v>
      </c>
      <c r="B19" s="30" t="s">
        <v>39</v>
      </c>
      <c r="C19" s="30" t="s">
        <v>40</v>
      </c>
      <c r="D19" s="31"/>
      <c r="E19" s="35"/>
      <c r="F19" s="7"/>
      <c r="G19" s="49">
        <f>'3635'!C3</f>
        <v>2667.97</v>
      </c>
      <c r="H19" s="49">
        <f>'3635'!D3</f>
        <v>533.6</v>
      </c>
      <c r="I19" s="48">
        <f>G19+H19</f>
        <v>3201.5699999999997</v>
      </c>
      <c r="J19" s="49">
        <f>'3635'!B17</f>
        <v>0</v>
      </c>
      <c r="K19" s="50">
        <v>0</v>
      </c>
      <c r="L19" s="7"/>
      <c r="M19" s="50">
        <f>O19/1.2</f>
        <v>2668.0750000000003</v>
      </c>
      <c r="N19" s="50">
        <f>M19*0.2</f>
        <v>533.61500000000012</v>
      </c>
      <c r="O19" s="51">
        <f>'3635'!E17</f>
        <v>3201.69</v>
      </c>
      <c r="P19" s="52">
        <f>O19-I19-J19</f>
        <v>0.12000000000034561</v>
      </c>
      <c r="Q19" s="7"/>
      <c r="R19" s="7"/>
      <c r="S19" s="7"/>
    </row>
    <row r="20" spans="1:19" x14ac:dyDescent="0.25">
      <c r="A20" s="2"/>
      <c r="B20" s="2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25">
      <c r="A21" s="2"/>
      <c r="B21" s="2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25">
      <c r="A22" s="2"/>
      <c r="B22" s="2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25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25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</row>
    <row r="25" spans="1:19" x14ac:dyDescent="0.25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</row>
    <row r="26" spans="1:19" x14ac:dyDescent="0.25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</row>
  </sheetData>
  <mergeCells count="7">
    <mergeCell ref="E4:E19"/>
    <mergeCell ref="G1:K1"/>
    <mergeCell ref="M1:P1"/>
    <mergeCell ref="G2:I2"/>
    <mergeCell ref="J2:J3"/>
    <mergeCell ref="K2:K3"/>
    <mergeCell ref="M2:P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99" r:id="rId4" name="Button 1079">
              <controlPr defaultSize="0" print="0" autoFill="0" autoPict="0" macro="[0]!CreateTabs">
                <anchor moveWithCells="1" sizeWithCells="1">
                  <from>
                    <xdr:col>3</xdr:col>
                    <xdr:colOff>714375</xdr:colOff>
                    <xdr:row>0</xdr:row>
                    <xdr:rowOff>28575</xdr:rowOff>
                  </from>
                  <to>
                    <xdr:col>4</xdr:col>
                    <xdr:colOff>1447800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32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7</v>
      </c>
      <c r="C3" s="11">
        <v>2667.97</v>
      </c>
      <c r="D3" s="11">
        <v>533.6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2855</v>
      </c>
      <c r="D6" s="10">
        <v>0</v>
      </c>
      <c r="E6" s="15">
        <v>53.54</v>
      </c>
      <c r="F6" s="10">
        <v>126</v>
      </c>
    </row>
    <row r="7" spans="1:6" x14ac:dyDescent="0.25">
      <c r="A7" s="10" t="s">
        <v>29</v>
      </c>
      <c r="B7" s="11">
        <v>0</v>
      </c>
      <c r="C7" s="10">
        <v>678</v>
      </c>
      <c r="D7" s="10">
        <v>0</v>
      </c>
      <c r="E7" s="15">
        <v>3148.15</v>
      </c>
      <c r="F7" s="10">
        <v>23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86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15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0</v>
      </c>
      <c r="C17" s="9">
        <f t="shared" si="0"/>
        <v>3634</v>
      </c>
      <c r="D17" s="9">
        <f t="shared" si="0"/>
        <v>0</v>
      </c>
      <c r="E17" s="18">
        <f t="shared" si="0"/>
        <v>3201.69</v>
      </c>
      <c r="F17" s="14">
        <f t="shared" si="0"/>
        <v>149</v>
      </c>
    </row>
    <row r="20" spans="1:7" x14ac:dyDescent="0.25">
      <c r="A20" t="s">
        <v>258</v>
      </c>
      <c r="G20" t="s">
        <v>253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259</v>
      </c>
      <c r="G24" t="s">
        <v>44</v>
      </c>
    </row>
    <row r="25" spans="1:7" x14ac:dyDescent="0.25">
      <c r="A25" t="s">
        <v>260</v>
      </c>
    </row>
    <row r="26" spans="1:7" x14ac:dyDescent="0.25">
      <c r="A26" t="s">
        <v>261</v>
      </c>
      <c r="G26" t="s">
        <v>214</v>
      </c>
    </row>
    <row r="27" spans="1:7" x14ac:dyDescent="0.25">
      <c r="A27" t="s">
        <v>262</v>
      </c>
      <c r="G27" t="s">
        <v>254</v>
      </c>
    </row>
    <row r="28" spans="1:7" x14ac:dyDescent="0.25">
      <c r="A28" t="s">
        <v>263</v>
      </c>
      <c r="G28" t="s">
        <v>255</v>
      </c>
    </row>
    <row r="29" spans="1:7" x14ac:dyDescent="0.25">
      <c r="A29" t="s">
        <v>264</v>
      </c>
      <c r="G29" t="s">
        <v>256</v>
      </c>
    </row>
    <row r="30" spans="1:7" x14ac:dyDescent="0.25">
      <c r="A30" t="s">
        <v>265</v>
      </c>
      <c r="G30" t="s">
        <v>257</v>
      </c>
    </row>
    <row r="31" spans="1:7" x14ac:dyDescent="0.25">
      <c r="A31" t="s">
        <v>57</v>
      </c>
    </row>
    <row r="32" spans="1:7" x14ac:dyDescent="0.25">
      <c r="A32" t="s">
        <v>266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29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2</v>
      </c>
      <c r="C3" s="11">
        <v>609.55999999999995</v>
      </c>
      <c r="D3" s="11">
        <v>121.91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1428</v>
      </c>
      <c r="D6" s="10">
        <v>0</v>
      </c>
      <c r="E6" s="15">
        <v>731.45</v>
      </c>
      <c r="F6" s="10">
        <v>30</v>
      </c>
    </row>
    <row r="7" spans="1:6" x14ac:dyDescent="0.25">
      <c r="A7" s="10" t="s">
        <v>29</v>
      </c>
      <c r="B7" s="11">
        <v>45</v>
      </c>
      <c r="C7" s="10">
        <v>673</v>
      </c>
      <c r="D7" s="10">
        <v>2</v>
      </c>
      <c r="E7" s="15">
        <v>45</v>
      </c>
      <c r="F7" s="10">
        <v>3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19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18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45</v>
      </c>
      <c r="C17" s="9">
        <f t="shared" si="0"/>
        <v>2138</v>
      </c>
      <c r="D17" s="9">
        <f t="shared" si="0"/>
        <v>2</v>
      </c>
      <c r="E17" s="18">
        <f t="shared" si="0"/>
        <v>776.45</v>
      </c>
      <c r="F17" s="14">
        <f t="shared" si="0"/>
        <v>33</v>
      </c>
    </row>
    <row r="20" spans="1:7" x14ac:dyDescent="0.25">
      <c r="A20" t="s">
        <v>249</v>
      </c>
      <c r="G20" t="s">
        <v>245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250</v>
      </c>
      <c r="G24" t="s">
        <v>44</v>
      </c>
    </row>
    <row r="25" spans="1:7" x14ac:dyDescent="0.25">
      <c r="A25" t="s">
        <v>251</v>
      </c>
    </row>
    <row r="26" spans="1:7" x14ac:dyDescent="0.25">
      <c r="A26" t="s">
        <v>57</v>
      </c>
      <c r="G26" t="s">
        <v>246</v>
      </c>
    </row>
    <row r="27" spans="1:7" x14ac:dyDescent="0.25">
      <c r="A27" t="s">
        <v>252</v>
      </c>
      <c r="G27" t="s">
        <v>247</v>
      </c>
    </row>
    <row r="28" spans="1:7" x14ac:dyDescent="0.25">
      <c r="G28" t="s">
        <v>230</v>
      </c>
    </row>
    <row r="29" spans="1:7" x14ac:dyDescent="0.25">
      <c r="G29" t="s">
        <v>248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26"/>
  <sheetViews>
    <sheetView workbookViewId="0">
      <selection activeCell="E3" sqref="E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0</v>
      </c>
      <c r="C3" s="11">
        <v>0</v>
      </c>
      <c r="D3" s="11">
        <v>0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/>
      <c r="C6" s="10"/>
      <c r="D6" s="10"/>
      <c r="E6" s="15"/>
      <c r="F6" s="10"/>
    </row>
    <row r="7" spans="1:6" x14ac:dyDescent="0.25">
      <c r="A7" s="10" t="s">
        <v>29</v>
      </c>
      <c r="B7" s="11"/>
      <c r="C7" s="10"/>
      <c r="D7" s="10"/>
      <c r="E7" s="15"/>
      <c r="F7" s="10"/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/>
      <c r="C9" s="10"/>
      <c r="D9" s="10"/>
      <c r="E9" s="15"/>
      <c r="F9" s="10"/>
    </row>
    <row r="10" spans="1:6" x14ac:dyDescent="0.25">
      <c r="A10" s="10" t="s">
        <v>32</v>
      </c>
      <c r="B10" s="11"/>
      <c r="C10" s="10"/>
      <c r="D10" s="10"/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0</v>
      </c>
      <c r="C17" s="9">
        <f t="shared" si="0"/>
        <v>0</v>
      </c>
      <c r="D17" s="9">
        <f t="shared" si="0"/>
        <v>0</v>
      </c>
      <c r="E17" s="18">
        <f t="shared" si="0"/>
        <v>0</v>
      </c>
      <c r="F17" s="14">
        <f t="shared" si="0"/>
        <v>0</v>
      </c>
    </row>
    <row r="20" spans="1:7" x14ac:dyDescent="0.25">
      <c r="A20" t="s">
        <v>243</v>
      </c>
      <c r="G20" t="s">
        <v>241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G24" t="s">
        <v>44</v>
      </c>
    </row>
    <row r="25" spans="1:7" x14ac:dyDescent="0.25">
      <c r="A25" t="s">
        <v>244</v>
      </c>
    </row>
    <row r="26" spans="1:7" x14ac:dyDescent="0.25">
      <c r="G26" t="s">
        <v>242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G29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3</v>
      </c>
      <c r="C3" s="11">
        <v>362.68</v>
      </c>
      <c r="D3" s="11">
        <v>72.540000000000006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104.51</v>
      </c>
      <c r="C6" s="10">
        <v>1137</v>
      </c>
      <c r="D6" s="10">
        <v>2</v>
      </c>
      <c r="E6" s="15">
        <v>190.99</v>
      </c>
      <c r="F6" s="10">
        <v>69</v>
      </c>
    </row>
    <row r="7" spans="1:6" x14ac:dyDescent="0.25">
      <c r="A7" s="10" t="s">
        <v>29</v>
      </c>
      <c r="B7" s="11">
        <v>0</v>
      </c>
      <c r="C7" s="10">
        <v>322</v>
      </c>
      <c r="D7" s="10">
        <v>0</v>
      </c>
      <c r="E7" s="15">
        <v>96.86</v>
      </c>
      <c r="F7" s="10">
        <v>4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15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13</v>
      </c>
      <c r="D10" s="10">
        <v>0</v>
      </c>
      <c r="E10" s="15">
        <v>252</v>
      </c>
      <c r="F10" s="10">
        <v>1</v>
      </c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104.51</v>
      </c>
      <c r="C17" s="9">
        <f t="shared" si="0"/>
        <v>1487</v>
      </c>
      <c r="D17" s="9">
        <f t="shared" si="0"/>
        <v>2</v>
      </c>
      <c r="E17" s="18">
        <f t="shared" si="0"/>
        <v>539.85</v>
      </c>
      <c r="F17" s="14">
        <f t="shared" si="0"/>
        <v>74</v>
      </c>
    </row>
    <row r="20" spans="1:7" x14ac:dyDescent="0.25">
      <c r="A20" t="s">
        <v>236</v>
      </c>
      <c r="G20" t="s">
        <v>233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237</v>
      </c>
      <c r="G24" t="s">
        <v>44</v>
      </c>
    </row>
    <row r="25" spans="1:7" x14ac:dyDescent="0.25">
      <c r="A25" t="s">
        <v>238</v>
      </c>
    </row>
    <row r="26" spans="1:7" x14ac:dyDescent="0.25">
      <c r="A26" t="s">
        <v>239</v>
      </c>
      <c r="G26" t="s">
        <v>234</v>
      </c>
    </row>
    <row r="27" spans="1:7" x14ac:dyDescent="0.25">
      <c r="A27" t="s">
        <v>57</v>
      </c>
      <c r="G27" t="s">
        <v>235</v>
      </c>
    </row>
    <row r="28" spans="1:7" x14ac:dyDescent="0.25">
      <c r="A28" t="s">
        <v>240</v>
      </c>
      <c r="G28" t="s">
        <v>183</v>
      </c>
    </row>
    <row r="29" spans="1:7" x14ac:dyDescent="0.25">
      <c r="G29" t="s">
        <v>184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29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0</v>
      </c>
      <c r="C3" s="11">
        <v>0</v>
      </c>
      <c r="D3" s="11">
        <v>0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3.05</v>
      </c>
      <c r="C6" s="10">
        <v>1962</v>
      </c>
      <c r="D6" s="10">
        <v>1</v>
      </c>
      <c r="E6" s="15">
        <v>3.14</v>
      </c>
      <c r="F6" s="10">
        <v>70</v>
      </c>
    </row>
    <row r="7" spans="1:6" x14ac:dyDescent="0.25">
      <c r="A7" s="10" t="s">
        <v>29</v>
      </c>
      <c r="B7" s="11">
        <v>0</v>
      </c>
      <c r="C7" s="10">
        <v>656</v>
      </c>
      <c r="D7" s="10">
        <v>0</v>
      </c>
      <c r="E7" s="15">
        <v>0.02</v>
      </c>
      <c r="F7" s="10">
        <v>20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19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24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3.05</v>
      </c>
      <c r="C17" s="9">
        <f t="shared" si="0"/>
        <v>2661</v>
      </c>
      <c r="D17" s="9">
        <f t="shared" si="0"/>
        <v>1</v>
      </c>
      <c r="E17" s="18">
        <f t="shared" si="0"/>
        <v>3.16</v>
      </c>
      <c r="F17" s="14">
        <f t="shared" si="0"/>
        <v>90</v>
      </c>
    </row>
    <row r="20" spans="1:7" x14ac:dyDescent="0.25">
      <c r="A20" t="s">
        <v>231</v>
      </c>
      <c r="G20" t="s">
        <v>227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G24" t="s">
        <v>44</v>
      </c>
    </row>
    <row r="25" spans="1:7" x14ac:dyDescent="0.25">
      <c r="A25" t="s">
        <v>232</v>
      </c>
    </row>
    <row r="26" spans="1:7" x14ac:dyDescent="0.25">
      <c r="G26" t="s">
        <v>228</v>
      </c>
    </row>
    <row r="27" spans="1:7" x14ac:dyDescent="0.25">
      <c r="G27" t="s">
        <v>229</v>
      </c>
    </row>
    <row r="28" spans="1:7" x14ac:dyDescent="0.25">
      <c r="G28" t="s">
        <v>230</v>
      </c>
    </row>
    <row r="29" spans="1:7" x14ac:dyDescent="0.25">
      <c r="G29" t="s">
        <v>63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1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6</v>
      </c>
      <c r="C3" s="11">
        <v>2501.12</v>
      </c>
      <c r="D3" s="11">
        <v>500.22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2044</v>
      </c>
      <c r="D6" s="10">
        <v>0</v>
      </c>
      <c r="E6" s="15">
        <v>444.97</v>
      </c>
      <c r="F6" s="10">
        <v>72</v>
      </c>
    </row>
    <row r="7" spans="1:6" x14ac:dyDescent="0.25">
      <c r="A7" s="10" t="s">
        <v>29</v>
      </c>
      <c r="B7" s="11">
        <v>0</v>
      </c>
      <c r="C7" s="10">
        <v>481</v>
      </c>
      <c r="D7" s="10">
        <v>0</v>
      </c>
      <c r="E7" s="15">
        <v>2556.36</v>
      </c>
      <c r="F7" s="10">
        <v>9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79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41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0</v>
      </c>
      <c r="C17" s="9">
        <f t="shared" si="0"/>
        <v>2645</v>
      </c>
      <c r="D17" s="9">
        <f t="shared" si="0"/>
        <v>0</v>
      </c>
      <c r="E17" s="18">
        <f t="shared" si="0"/>
        <v>3001.33</v>
      </c>
      <c r="F17" s="14">
        <f t="shared" si="0"/>
        <v>81</v>
      </c>
    </row>
    <row r="20" spans="1:7" x14ac:dyDescent="0.25">
      <c r="A20" t="s">
        <v>219</v>
      </c>
      <c r="G20" t="s">
        <v>213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220</v>
      </c>
      <c r="G24" t="s">
        <v>44</v>
      </c>
    </row>
    <row r="25" spans="1:7" x14ac:dyDescent="0.25">
      <c r="A25" t="s">
        <v>221</v>
      </c>
    </row>
    <row r="26" spans="1:7" x14ac:dyDescent="0.25">
      <c r="A26" t="s">
        <v>222</v>
      </c>
      <c r="G26" t="s">
        <v>214</v>
      </c>
    </row>
    <row r="27" spans="1:7" x14ac:dyDescent="0.25">
      <c r="A27" t="s">
        <v>223</v>
      </c>
      <c r="G27" t="s">
        <v>215</v>
      </c>
    </row>
    <row r="28" spans="1:7" x14ac:dyDescent="0.25">
      <c r="A28" t="s">
        <v>224</v>
      </c>
      <c r="G28" t="s">
        <v>216</v>
      </c>
    </row>
    <row r="29" spans="1:7" x14ac:dyDescent="0.25">
      <c r="A29" t="s">
        <v>225</v>
      </c>
      <c r="G29" t="s">
        <v>217</v>
      </c>
    </row>
    <row r="30" spans="1:7" x14ac:dyDescent="0.25">
      <c r="A30" t="s">
        <v>57</v>
      </c>
      <c r="G30" t="s">
        <v>218</v>
      </c>
    </row>
    <row r="31" spans="1:7" x14ac:dyDescent="0.25">
      <c r="A31" t="s">
        <v>226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8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13</v>
      </c>
      <c r="C3" s="11">
        <v>3919.27</v>
      </c>
      <c r="D3" s="11">
        <v>783.87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1800</v>
      </c>
      <c r="D6" s="10">
        <v>0</v>
      </c>
      <c r="E6" s="15">
        <v>418.9</v>
      </c>
      <c r="F6" s="10">
        <v>55</v>
      </c>
    </row>
    <row r="7" spans="1:6" x14ac:dyDescent="0.25">
      <c r="A7" s="10" t="s">
        <v>29</v>
      </c>
      <c r="B7" s="11">
        <v>0</v>
      </c>
      <c r="C7" s="10">
        <v>2076</v>
      </c>
      <c r="D7" s="10">
        <v>0</v>
      </c>
      <c r="E7" s="15">
        <v>3108.16</v>
      </c>
      <c r="F7" s="10">
        <v>29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213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141</v>
      </c>
      <c r="D10" s="10">
        <v>0</v>
      </c>
      <c r="E10" s="15">
        <v>1176.17</v>
      </c>
      <c r="F10" s="10">
        <v>1</v>
      </c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>
        <v>0</v>
      </c>
      <c r="C12" s="10">
        <v>2</v>
      </c>
      <c r="D12" s="10">
        <v>0</v>
      </c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0</v>
      </c>
      <c r="C17" s="9">
        <f t="shared" si="0"/>
        <v>4232</v>
      </c>
      <c r="D17" s="9">
        <f t="shared" si="0"/>
        <v>0</v>
      </c>
      <c r="E17" s="18">
        <f t="shared" si="0"/>
        <v>4703.2299999999996</v>
      </c>
      <c r="F17" s="14">
        <f t="shared" si="0"/>
        <v>85</v>
      </c>
    </row>
    <row r="20" spans="1:7" x14ac:dyDescent="0.25">
      <c r="A20" t="s">
        <v>198</v>
      </c>
      <c r="G20" t="s">
        <v>192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199</v>
      </c>
      <c r="G24" t="s">
        <v>44</v>
      </c>
    </row>
    <row r="25" spans="1:7" x14ac:dyDescent="0.25">
      <c r="A25" t="s">
        <v>200</v>
      </c>
    </row>
    <row r="26" spans="1:7" x14ac:dyDescent="0.25">
      <c r="A26" t="s">
        <v>201</v>
      </c>
      <c r="G26" t="s">
        <v>193</v>
      </c>
    </row>
    <row r="27" spans="1:7" x14ac:dyDescent="0.25">
      <c r="A27" t="s">
        <v>202</v>
      </c>
      <c r="G27" t="s">
        <v>194</v>
      </c>
    </row>
    <row r="28" spans="1:7" x14ac:dyDescent="0.25">
      <c r="A28" t="s">
        <v>203</v>
      </c>
      <c r="G28" t="s">
        <v>195</v>
      </c>
    </row>
    <row r="29" spans="1:7" x14ac:dyDescent="0.25">
      <c r="A29" t="s">
        <v>204</v>
      </c>
      <c r="G29" t="s">
        <v>196</v>
      </c>
    </row>
    <row r="30" spans="1:7" x14ac:dyDescent="0.25">
      <c r="A30" t="s">
        <v>205</v>
      </c>
      <c r="G30" t="s">
        <v>197</v>
      </c>
    </row>
    <row r="31" spans="1:7" x14ac:dyDescent="0.25">
      <c r="A31" t="s">
        <v>206</v>
      </c>
    </row>
    <row r="32" spans="1:7" x14ac:dyDescent="0.25">
      <c r="A32" t="s">
        <v>207</v>
      </c>
    </row>
    <row r="33" spans="1:1" x14ac:dyDescent="0.25">
      <c r="A33" t="s">
        <v>208</v>
      </c>
    </row>
    <row r="34" spans="1:1" x14ac:dyDescent="0.25">
      <c r="A34" t="s">
        <v>209</v>
      </c>
    </row>
    <row r="35" spans="1:1" x14ac:dyDescent="0.25">
      <c r="A35" t="s">
        <v>210</v>
      </c>
    </row>
    <row r="36" spans="1:1" x14ac:dyDescent="0.25">
      <c r="A36" t="s">
        <v>211</v>
      </c>
    </row>
    <row r="37" spans="1:1" x14ac:dyDescent="0.25">
      <c r="A37" t="s">
        <v>57</v>
      </c>
    </row>
    <row r="38" spans="1:1" x14ac:dyDescent="0.25">
      <c r="A38" t="s">
        <v>212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9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4</v>
      </c>
      <c r="C3" s="11">
        <v>646.46</v>
      </c>
      <c r="D3" s="11">
        <v>129.29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1836</v>
      </c>
      <c r="D6" s="10">
        <v>0</v>
      </c>
      <c r="E6" s="15">
        <v>45.53</v>
      </c>
      <c r="F6" s="10">
        <v>107</v>
      </c>
    </row>
    <row r="7" spans="1:6" x14ac:dyDescent="0.25">
      <c r="A7" s="10" t="s">
        <v>29</v>
      </c>
      <c r="B7" s="11">
        <v>0</v>
      </c>
      <c r="C7" s="10">
        <v>221</v>
      </c>
      <c r="D7" s="10">
        <v>0</v>
      </c>
      <c r="E7" s="15">
        <v>730.24</v>
      </c>
      <c r="F7" s="10">
        <v>19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15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13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0</v>
      </c>
      <c r="C17" s="9">
        <f t="shared" si="0"/>
        <v>2085</v>
      </c>
      <c r="D17" s="9">
        <f t="shared" si="0"/>
        <v>0</v>
      </c>
      <c r="E17" s="18">
        <f t="shared" si="0"/>
        <v>775.77</v>
      </c>
      <c r="F17" s="14">
        <f t="shared" si="0"/>
        <v>126</v>
      </c>
    </row>
    <row r="20" spans="1:7" x14ac:dyDescent="0.25">
      <c r="A20" t="s">
        <v>191</v>
      </c>
      <c r="G20" t="s">
        <v>190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185</v>
      </c>
      <c r="G24" t="s">
        <v>44</v>
      </c>
    </row>
    <row r="25" spans="1:7" x14ac:dyDescent="0.25">
      <c r="A25" t="s">
        <v>186</v>
      </c>
    </row>
    <row r="26" spans="1:7" x14ac:dyDescent="0.25">
      <c r="A26" t="s">
        <v>187</v>
      </c>
      <c r="G26" t="s">
        <v>181</v>
      </c>
    </row>
    <row r="27" spans="1:7" x14ac:dyDescent="0.25">
      <c r="A27" t="s">
        <v>188</v>
      </c>
      <c r="G27" t="s">
        <v>182</v>
      </c>
    </row>
    <row r="28" spans="1:7" x14ac:dyDescent="0.25">
      <c r="A28" t="s">
        <v>57</v>
      </c>
      <c r="G28" t="s">
        <v>183</v>
      </c>
    </row>
    <row r="29" spans="1:7" x14ac:dyDescent="0.25">
      <c r="A29" t="s">
        <v>189</v>
      </c>
      <c r="G29" t="s">
        <v>184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30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3</v>
      </c>
      <c r="C3" s="11">
        <v>3659.67</v>
      </c>
      <c r="D3" s="11">
        <v>731.93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4424</v>
      </c>
      <c r="D6" s="10">
        <v>0</v>
      </c>
      <c r="E6" s="15">
        <v>4085.14</v>
      </c>
      <c r="F6" s="10">
        <v>179</v>
      </c>
    </row>
    <row r="7" spans="1:6" x14ac:dyDescent="0.25">
      <c r="A7" s="10" t="s">
        <v>29</v>
      </c>
      <c r="B7" s="11">
        <v>11.81</v>
      </c>
      <c r="C7" s="10">
        <v>637</v>
      </c>
      <c r="D7" s="10">
        <v>1</v>
      </c>
      <c r="E7" s="15">
        <v>318.39999999999998</v>
      </c>
      <c r="F7" s="10">
        <v>11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27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29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>
        <v>0</v>
      </c>
      <c r="C12" s="10">
        <v>1</v>
      </c>
      <c r="D12" s="10">
        <v>0</v>
      </c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11.81</v>
      </c>
      <c r="C17" s="9">
        <f t="shared" si="0"/>
        <v>5118</v>
      </c>
      <c r="D17" s="9">
        <f t="shared" si="0"/>
        <v>1</v>
      </c>
      <c r="E17" s="18">
        <f t="shared" si="0"/>
        <v>4403.54</v>
      </c>
      <c r="F17" s="14">
        <f t="shared" si="0"/>
        <v>190</v>
      </c>
    </row>
    <row r="20" spans="1:7" x14ac:dyDescent="0.25">
      <c r="A20" t="s">
        <v>176</v>
      </c>
      <c r="G20" t="s">
        <v>171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177</v>
      </c>
      <c r="G24" t="s">
        <v>44</v>
      </c>
    </row>
    <row r="25" spans="1:7" x14ac:dyDescent="0.25">
      <c r="A25" t="s">
        <v>178</v>
      </c>
    </row>
    <row r="26" spans="1:7" x14ac:dyDescent="0.25">
      <c r="A26" t="s">
        <v>179</v>
      </c>
      <c r="G26" t="s">
        <v>172</v>
      </c>
    </row>
    <row r="27" spans="1:7" x14ac:dyDescent="0.25">
      <c r="A27" t="s">
        <v>57</v>
      </c>
      <c r="G27" t="s">
        <v>173</v>
      </c>
    </row>
    <row r="28" spans="1:7" x14ac:dyDescent="0.25">
      <c r="A28" t="s">
        <v>180</v>
      </c>
      <c r="G28" t="s">
        <v>174</v>
      </c>
    </row>
    <row r="29" spans="1:7" x14ac:dyDescent="0.25">
      <c r="G29" t="s">
        <v>175</v>
      </c>
    </row>
    <row r="30" spans="1:7" x14ac:dyDescent="0.25">
      <c r="G30" t="s">
        <v>50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0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5</v>
      </c>
      <c r="C3" s="11">
        <v>2948.68</v>
      </c>
      <c r="D3" s="11">
        <v>589.74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2448</v>
      </c>
      <c r="D6" s="10">
        <v>0</v>
      </c>
      <c r="E6" s="15">
        <v>496.66</v>
      </c>
      <c r="F6" s="10">
        <v>40</v>
      </c>
    </row>
    <row r="7" spans="1:6" x14ac:dyDescent="0.25">
      <c r="A7" s="10" t="s">
        <v>29</v>
      </c>
      <c r="B7" s="11">
        <v>0</v>
      </c>
      <c r="C7" s="10">
        <v>617</v>
      </c>
      <c r="D7" s="10">
        <v>0</v>
      </c>
      <c r="E7" s="15">
        <v>1344.75</v>
      </c>
      <c r="F7" s="10">
        <v>12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67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57</v>
      </c>
      <c r="D10" s="10">
        <v>0</v>
      </c>
      <c r="E10" s="15">
        <v>1697.07</v>
      </c>
      <c r="F10" s="10">
        <v>2</v>
      </c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0</v>
      </c>
      <c r="C17" s="9">
        <f t="shared" si="0"/>
        <v>3189</v>
      </c>
      <c r="D17" s="9">
        <f t="shared" si="0"/>
        <v>0</v>
      </c>
      <c r="E17" s="18">
        <f t="shared" si="0"/>
        <v>3538.48</v>
      </c>
      <c r="F17" s="14">
        <f t="shared" si="0"/>
        <v>54</v>
      </c>
    </row>
    <row r="20" spans="1:7" x14ac:dyDescent="0.25">
      <c r="A20" t="s">
        <v>164</v>
      </c>
      <c r="G20" t="s">
        <v>159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165</v>
      </c>
      <c r="G24" t="s">
        <v>44</v>
      </c>
    </row>
    <row r="25" spans="1:7" x14ac:dyDescent="0.25">
      <c r="A25" t="s">
        <v>166</v>
      </c>
    </row>
    <row r="26" spans="1:7" x14ac:dyDescent="0.25">
      <c r="A26" t="s">
        <v>167</v>
      </c>
      <c r="G26" t="s">
        <v>160</v>
      </c>
    </row>
    <row r="27" spans="1:7" x14ac:dyDescent="0.25">
      <c r="A27" t="s">
        <v>168</v>
      </c>
      <c r="G27" t="s">
        <v>161</v>
      </c>
    </row>
    <row r="28" spans="1:7" x14ac:dyDescent="0.25">
      <c r="A28" t="s">
        <v>169</v>
      </c>
      <c r="G28" t="s">
        <v>162</v>
      </c>
    </row>
    <row r="29" spans="1:7" x14ac:dyDescent="0.25">
      <c r="A29" t="s">
        <v>57</v>
      </c>
      <c r="G29" t="s">
        <v>163</v>
      </c>
    </row>
    <row r="30" spans="1:7" x14ac:dyDescent="0.25">
      <c r="A30" t="s">
        <v>170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42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17</v>
      </c>
      <c r="C3" s="11">
        <v>12294.41</v>
      </c>
      <c r="D3" s="11">
        <v>2458.9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7974.98</v>
      </c>
      <c r="C6" s="10">
        <v>1555</v>
      </c>
      <c r="D6" s="10">
        <v>3</v>
      </c>
      <c r="E6" s="15">
        <v>13437.57</v>
      </c>
      <c r="F6" s="10">
        <v>45</v>
      </c>
    </row>
    <row r="7" spans="1:6" x14ac:dyDescent="0.25">
      <c r="A7" s="10" t="s">
        <v>29</v>
      </c>
      <c r="B7" s="11">
        <v>464.81</v>
      </c>
      <c r="C7" s="10">
        <v>498</v>
      </c>
      <c r="D7" s="10">
        <v>2</v>
      </c>
      <c r="E7" s="15">
        <v>7748.88</v>
      </c>
      <c r="F7" s="10">
        <v>14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33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16</v>
      </c>
      <c r="D10" s="10">
        <v>0</v>
      </c>
      <c r="E10" s="15">
        <v>2006.73</v>
      </c>
      <c r="F10" s="10">
        <v>1</v>
      </c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8439.7899999999991</v>
      </c>
      <c r="C17" s="9">
        <f t="shared" si="0"/>
        <v>2102</v>
      </c>
      <c r="D17" s="9">
        <f t="shared" si="0"/>
        <v>5</v>
      </c>
      <c r="E17" s="18">
        <f t="shared" si="0"/>
        <v>23193.18</v>
      </c>
      <c r="F17" s="14">
        <f t="shared" si="0"/>
        <v>60</v>
      </c>
    </row>
    <row r="20" spans="1:7" x14ac:dyDescent="0.25">
      <c r="A20" t="s">
        <v>140</v>
      </c>
      <c r="G20" t="s">
        <v>135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141</v>
      </c>
      <c r="G24" t="s">
        <v>44</v>
      </c>
    </row>
    <row r="25" spans="1:7" x14ac:dyDescent="0.25">
      <c r="A25" t="s">
        <v>142</v>
      </c>
    </row>
    <row r="26" spans="1:7" x14ac:dyDescent="0.25">
      <c r="A26" t="s">
        <v>143</v>
      </c>
      <c r="G26" t="s">
        <v>136</v>
      </c>
    </row>
    <row r="27" spans="1:7" x14ac:dyDescent="0.25">
      <c r="A27" t="s">
        <v>144</v>
      </c>
      <c r="G27" t="s">
        <v>137</v>
      </c>
    </row>
    <row r="28" spans="1:7" x14ac:dyDescent="0.25">
      <c r="A28" t="s">
        <v>145</v>
      </c>
      <c r="G28" t="s">
        <v>138</v>
      </c>
    </row>
    <row r="29" spans="1:7" x14ac:dyDescent="0.25">
      <c r="A29" t="s">
        <v>146</v>
      </c>
      <c r="G29" t="s">
        <v>139</v>
      </c>
    </row>
    <row r="30" spans="1:7" x14ac:dyDescent="0.25">
      <c r="A30" t="s">
        <v>147</v>
      </c>
    </row>
    <row r="31" spans="1:7" x14ac:dyDescent="0.25">
      <c r="A31" t="s">
        <v>148</v>
      </c>
    </row>
    <row r="32" spans="1:7" x14ac:dyDescent="0.25">
      <c r="A32" t="s">
        <v>149</v>
      </c>
    </row>
    <row r="33" spans="1:1" x14ac:dyDescent="0.25">
      <c r="A33" t="s">
        <v>150</v>
      </c>
    </row>
    <row r="34" spans="1:1" x14ac:dyDescent="0.25">
      <c r="A34" t="s">
        <v>151</v>
      </c>
    </row>
    <row r="35" spans="1:1" x14ac:dyDescent="0.25">
      <c r="A35" t="s">
        <v>152</v>
      </c>
    </row>
    <row r="36" spans="1:1" x14ac:dyDescent="0.25">
      <c r="A36" t="s">
        <v>153</v>
      </c>
    </row>
    <row r="37" spans="1:1" x14ac:dyDescent="0.25">
      <c r="A37" t="s">
        <v>154</v>
      </c>
    </row>
    <row r="38" spans="1:1" x14ac:dyDescent="0.25">
      <c r="A38" t="s">
        <v>155</v>
      </c>
    </row>
    <row r="39" spans="1:1" x14ac:dyDescent="0.25">
      <c r="A39" t="s">
        <v>156</v>
      </c>
    </row>
    <row r="40" spans="1:1" x14ac:dyDescent="0.25">
      <c r="A40" t="s">
        <v>157</v>
      </c>
    </row>
    <row r="41" spans="1:1" x14ac:dyDescent="0.25">
      <c r="A41" t="s">
        <v>57</v>
      </c>
    </row>
    <row r="42" spans="1:1" x14ac:dyDescent="0.25">
      <c r="A42" t="s">
        <v>158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9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34</v>
      </c>
      <c r="C3" s="11">
        <v>18877.48</v>
      </c>
      <c r="D3" s="11">
        <v>3775.49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271.43</v>
      </c>
      <c r="C6" s="10">
        <v>5587</v>
      </c>
      <c r="D6" s="10">
        <v>2</v>
      </c>
      <c r="E6" s="15">
        <v>3431.47</v>
      </c>
      <c r="F6" s="10">
        <v>185</v>
      </c>
    </row>
    <row r="7" spans="1:6" x14ac:dyDescent="0.25">
      <c r="A7" s="10" t="s">
        <v>29</v>
      </c>
      <c r="B7" s="11">
        <v>560.26</v>
      </c>
      <c r="C7" s="10">
        <v>3436</v>
      </c>
      <c r="D7" s="10">
        <v>3</v>
      </c>
      <c r="E7" s="15">
        <v>9243.3700000000008</v>
      </c>
      <c r="F7" s="10">
        <v>58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137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444</v>
      </c>
      <c r="D10" s="10">
        <v>0</v>
      </c>
      <c r="E10" s="15">
        <v>10764.01</v>
      </c>
      <c r="F10" s="10">
        <v>4</v>
      </c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>
        <v>0</v>
      </c>
      <c r="C12" s="10">
        <v>4</v>
      </c>
      <c r="D12" s="10">
        <v>0</v>
      </c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831.69</v>
      </c>
      <c r="C17" s="9">
        <f t="shared" si="0"/>
        <v>9608</v>
      </c>
      <c r="D17" s="9">
        <f t="shared" si="0"/>
        <v>5</v>
      </c>
      <c r="E17" s="18">
        <f t="shared" si="0"/>
        <v>23438.85</v>
      </c>
      <c r="F17" s="14">
        <f t="shared" si="0"/>
        <v>247</v>
      </c>
    </row>
    <row r="20" spans="1:7" x14ac:dyDescent="0.25">
      <c r="A20" t="s">
        <v>134</v>
      </c>
      <c r="G20" t="s">
        <v>133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98</v>
      </c>
      <c r="G24" t="s">
        <v>44</v>
      </c>
    </row>
    <row r="25" spans="1:7" x14ac:dyDescent="0.25">
      <c r="A25" t="s">
        <v>99</v>
      </c>
    </row>
    <row r="26" spans="1:7" x14ac:dyDescent="0.25">
      <c r="A26" t="s">
        <v>100</v>
      </c>
      <c r="G26" t="s">
        <v>93</v>
      </c>
    </row>
    <row r="27" spans="1:7" x14ac:dyDescent="0.25">
      <c r="A27" t="s">
        <v>101</v>
      </c>
      <c r="G27" t="s">
        <v>94</v>
      </c>
    </row>
    <row r="28" spans="1:7" x14ac:dyDescent="0.25">
      <c r="A28" t="s">
        <v>102</v>
      </c>
      <c r="G28" t="s">
        <v>95</v>
      </c>
    </row>
    <row r="29" spans="1:7" x14ac:dyDescent="0.25">
      <c r="A29" t="s">
        <v>103</v>
      </c>
      <c r="G29" t="s">
        <v>96</v>
      </c>
    </row>
    <row r="30" spans="1:7" x14ac:dyDescent="0.25">
      <c r="A30" t="s">
        <v>104</v>
      </c>
      <c r="G30" t="s">
        <v>97</v>
      </c>
    </row>
    <row r="31" spans="1:7" x14ac:dyDescent="0.25">
      <c r="A31" t="s">
        <v>105</v>
      </c>
    </row>
    <row r="32" spans="1:7" x14ac:dyDescent="0.25">
      <c r="A32" t="s">
        <v>106</v>
      </c>
    </row>
    <row r="33" spans="1:1" x14ac:dyDescent="0.25">
      <c r="A33" t="s">
        <v>107</v>
      </c>
    </row>
    <row r="34" spans="1:1" x14ac:dyDescent="0.25">
      <c r="A34" t="s">
        <v>108</v>
      </c>
    </row>
    <row r="35" spans="1:1" x14ac:dyDescent="0.25">
      <c r="A35" t="s">
        <v>109</v>
      </c>
    </row>
    <row r="36" spans="1:1" x14ac:dyDescent="0.25">
      <c r="A36" t="s">
        <v>110</v>
      </c>
    </row>
    <row r="37" spans="1:1" x14ac:dyDescent="0.25">
      <c r="A37" t="s">
        <v>111</v>
      </c>
    </row>
    <row r="38" spans="1:1" x14ac:dyDescent="0.25">
      <c r="A38" t="s">
        <v>112</v>
      </c>
    </row>
    <row r="39" spans="1:1" x14ac:dyDescent="0.25">
      <c r="A39" t="s">
        <v>113</v>
      </c>
    </row>
    <row r="40" spans="1:1" x14ac:dyDescent="0.25">
      <c r="A40" t="s">
        <v>114</v>
      </c>
    </row>
    <row r="41" spans="1:1" x14ac:dyDescent="0.25">
      <c r="A41" t="s">
        <v>115</v>
      </c>
    </row>
    <row r="42" spans="1:1" x14ac:dyDescent="0.25">
      <c r="A42" t="s">
        <v>116</v>
      </c>
    </row>
    <row r="43" spans="1:1" x14ac:dyDescent="0.25">
      <c r="A43" t="s">
        <v>117</v>
      </c>
    </row>
    <row r="44" spans="1:1" x14ac:dyDescent="0.25">
      <c r="A44" t="s">
        <v>118</v>
      </c>
    </row>
    <row r="45" spans="1:1" x14ac:dyDescent="0.25">
      <c r="A45" t="s">
        <v>119</v>
      </c>
    </row>
    <row r="46" spans="1:1" x14ac:dyDescent="0.25">
      <c r="A46" t="s">
        <v>120</v>
      </c>
    </row>
    <row r="47" spans="1:1" x14ac:dyDescent="0.25">
      <c r="A47" t="s">
        <v>121</v>
      </c>
    </row>
    <row r="48" spans="1:1" x14ac:dyDescent="0.25">
      <c r="A48" t="s">
        <v>122</v>
      </c>
    </row>
    <row r="49" spans="1:1" x14ac:dyDescent="0.25">
      <c r="A49" t="s">
        <v>123</v>
      </c>
    </row>
    <row r="50" spans="1:1" x14ac:dyDescent="0.25">
      <c r="A50" t="s">
        <v>124</v>
      </c>
    </row>
    <row r="51" spans="1:1" x14ac:dyDescent="0.25">
      <c r="A51" t="s">
        <v>125</v>
      </c>
    </row>
    <row r="52" spans="1:1" x14ac:dyDescent="0.25">
      <c r="A52" t="s">
        <v>126</v>
      </c>
    </row>
    <row r="53" spans="1:1" x14ac:dyDescent="0.25">
      <c r="A53" t="s">
        <v>127</v>
      </c>
    </row>
    <row r="54" spans="1:1" x14ac:dyDescent="0.25">
      <c r="A54" t="s">
        <v>128</v>
      </c>
    </row>
    <row r="55" spans="1:1" x14ac:dyDescent="0.25">
      <c r="A55" t="s">
        <v>129</v>
      </c>
    </row>
    <row r="56" spans="1:1" x14ac:dyDescent="0.25">
      <c r="A56" t="s">
        <v>130</v>
      </c>
    </row>
    <row r="57" spans="1:1" x14ac:dyDescent="0.25">
      <c r="A57" t="s">
        <v>131</v>
      </c>
    </row>
    <row r="58" spans="1:1" x14ac:dyDescent="0.25">
      <c r="A58" t="s">
        <v>57</v>
      </c>
    </row>
    <row r="59" spans="1:1" x14ac:dyDescent="0.25">
      <c r="A59" t="s">
        <v>132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2</v>
      </c>
      <c r="C3" s="11">
        <v>688</v>
      </c>
      <c r="D3" s="11">
        <v>137.6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2174.54</v>
      </c>
      <c r="C6" s="10">
        <v>3458</v>
      </c>
      <c r="D6" s="10">
        <v>2</v>
      </c>
      <c r="E6" s="15">
        <v>2174.5</v>
      </c>
      <c r="F6" s="10">
        <v>136</v>
      </c>
    </row>
    <row r="7" spans="1:6" x14ac:dyDescent="0.25">
      <c r="A7" s="10" t="s">
        <v>29</v>
      </c>
      <c r="B7" s="11">
        <v>2911.27</v>
      </c>
      <c r="C7" s="10">
        <v>586</v>
      </c>
      <c r="D7" s="10">
        <v>3</v>
      </c>
      <c r="E7" s="15">
        <v>3631.34</v>
      </c>
      <c r="F7" s="10">
        <v>12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114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55</v>
      </c>
      <c r="D10" s="10">
        <v>0</v>
      </c>
      <c r="E10" s="15">
        <v>105.59</v>
      </c>
      <c r="F10" s="10">
        <v>2</v>
      </c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5085.8099999999995</v>
      </c>
      <c r="C17" s="9">
        <f t="shared" si="0"/>
        <v>4213</v>
      </c>
      <c r="D17" s="9">
        <f t="shared" si="0"/>
        <v>5</v>
      </c>
      <c r="E17" s="18">
        <f t="shared" si="0"/>
        <v>5911.43</v>
      </c>
      <c r="F17" s="14">
        <f t="shared" si="0"/>
        <v>150</v>
      </c>
    </row>
    <row r="20" spans="1:7" x14ac:dyDescent="0.25">
      <c r="A20" t="s">
        <v>92</v>
      </c>
      <c r="G20" t="s">
        <v>91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88</v>
      </c>
      <c r="G24" t="s">
        <v>44</v>
      </c>
    </row>
    <row r="25" spans="1:7" x14ac:dyDescent="0.25">
      <c r="A25" t="s">
        <v>89</v>
      </c>
    </row>
    <row r="26" spans="1:7" x14ac:dyDescent="0.25">
      <c r="A26" t="s">
        <v>57</v>
      </c>
      <c r="G26" t="s">
        <v>84</v>
      </c>
    </row>
    <row r="27" spans="1:7" x14ac:dyDescent="0.25">
      <c r="A27" t="s">
        <v>90</v>
      </c>
      <c r="G27" t="s">
        <v>85</v>
      </c>
    </row>
    <row r="28" spans="1:7" x14ac:dyDescent="0.25">
      <c r="G28" t="s">
        <v>86</v>
      </c>
    </row>
    <row r="29" spans="1:7" x14ac:dyDescent="0.25">
      <c r="G29" t="s">
        <v>87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29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3</v>
      </c>
      <c r="C3" s="11">
        <v>1829.57</v>
      </c>
      <c r="D3" s="11">
        <v>365.91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1680</v>
      </c>
      <c r="D6" s="10">
        <v>0</v>
      </c>
      <c r="E6" s="15">
        <v>0.06</v>
      </c>
      <c r="F6" s="10">
        <v>46</v>
      </c>
    </row>
    <row r="7" spans="1:6" x14ac:dyDescent="0.25">
      <c r="A7" s="10" t="s">
        <v>29</v>
      </c>
      <c r="B7" s="11">
        <v>0</v>
      </c>
      <c r="C7" s="10">
        <v>683</v>
      </c>
      <c r="D7" s="10">
        <v>0</v>
      </c>
      <c r="E7" s="15">
        <v>2195.4499999999998</v>
      </c>
      <c r="F7" s="10">
        <v>20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69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33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0</v>
      </c>
      <c r="C17" s="9">
        <f t="shared" si="0"/>
        <v>2465</v>
      </c>
      <c r="D17" s="9">
        <f t="shared" si="0"/>
        <v>0</v>
      </c>
      <c r="E17" s="18">
        <f t="shared" si="0"/>
        <v>2195.5099999999998</v>
      </c>
      <c r="F17" s="14">
        <f t="shared" si="0"/>
        <v>66</v>
      </c>
    </row>
    <row r="20" spans="1:7" x14ac:dyDescent="0.25">
      <c r="A20" t="s">
        <v>79</v>
      </c>
      <c r="G20" t="s">
        <v>74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80</v>
      </c>
      <c r="G24" t="s">
        <v>44</v>
      </c>
    </row>
    <row r="25" spans="1:7" x14ac:dyDescent="0.25">
      <c r="A25" t="s">
        <v>81</v>
      </c>
    </row>
    <row r="26" spans="1:7" x14ac:dyDescent="0.25">
      <c r="A26" t="s">
        <v>82</v>
      </c>
      <c r="G26" t="s">
        <v>75</v>
      </c>
    </row>
    <row r="27" spans="1:7" x14ac:dyDescent="0.25">
      <c r="A27" t="s">
        <v>57</v>
      </c>
      <c r="G27" t="s">
        <v>76</v>
      </c>
    </row>
    <row r="28" spans="1:7" x14ac:dyDescent="0.25">
      <c r="A28" t="s">
        <v>83</v>
      </c>
      <c r="G28" t="s">
        <v>77</v>
      </c>
    </row>
    <row r="29" spans="1:7" x14ac:dyDescent="0.25">
      <c r="G29" t="s">
        <v>78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3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8</v>
      </c>
      <c r="C3" s="11">
        <v>1402.71</v>
      </c>
      <c r="D3" s="11">
        <v>280.54000000000002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0</v>
      </c>
      <c r="C6" s="10">
        <v>1950</v>
      </c>
      <c r="D6" s="10">
        <v>0</v>
      </c>
      <c r="E6" s="15">
        <v>33</v>
      </c>
      <c r="F6" s="10">
        <v>55</v>
      </c>
    </row>
    <row r="7" spans="1:6" x14ac:dyDescent="0.25">
      <c r="A7" s="10" t="s">
        <v>29</v>
      </c>
      <c r="B7" s="11">
        <v>84.58</v>
      </c>
      <c r="C7" s="10">
        <v>232</v>
      </c>
      <c r="D7" s="10">
        <v>1</v>
      </c>
      <c r="E7" s="15">
        <v>1734.8</v>
      </c>
      <c r="F7" s="10">
        <v>11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22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24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84.58</v>
      </c>
      <c r="C17" s="9">
        <f t="shared" si="0"/>
        <v>2228</v>
      </c>
      <c r="D17" s="9">
        <f t="shared" si="0"/>
        <v>1</v>
      </c>
      <c r="E17" s="18">
        <f t="shared" si="0"/>
        <v>1767.8</v>
      </c>
      <c r="F17" s="14">
        <f t="shared" si="0"/>
        <v>66</v>
      </c>
    </row>
    <row r="20" spans="1:7" x14ac:dyDescent="0.25">
      <c r="A20" t="s">
        <v>64</v>
      </c>
      <c r="G20" t="s">
        <v>59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65</v>
      </c>
      <c r="G24" t="s">
        <v>44</v>
      </c>
    </row>
    <row r="25" spans="1:7" x14ac:dyDescent="0.25">
      <c r="A25" t="s">
        <v>66</v>
      </c>
    </row>
    <row r="26" spans="1:7" x14ac:dyDescent="0.25">
      <c r="A26" t="s">
        <v>67</v>
      </c>
      <c r="G26" t="s">
        <v>60</v>
      </c>
    </row>
    <row r="27" spans="1:7" x14ac:dyDescent="0.25">
      <c r="A27" t="s">
        <v>68</v>
      </c>
      <c r="G27" t="s">
        <v>61</v>
      </c>
    </row>
    <row r="28" spans="1:7" x14ac:dyDescent="0.25">
      <c r="A28" t="s">
        <v>69</v>
      </c>
      <c r="G28" t="s">
        <v>62</v>
      </c>
    </row>
    <row r="29" spans="1:7" x14ac:dyDescent="0.25">
      <c r="A29" t="s">
        <v>70</v>
      </c>
      <c r="G29" t="s">
        <v>63</v>
      </c>
    </row>
    <row r="30" spans="1:7" x14ac:dyDescent="0.25">
      <c r="A30" t="s">
        <v>71</v>
      </c>
    </row>
    <row r="31" spans="1:7" x14ac:dyDescent="0.25">
      <c r="A31" t="s">
        <v>72</v>
      </c>
    </row>
    <row r="32" spans="1:7" x14ac:dyDescent="0.25">
      <c r="A32" t="s">
        <v>57</v>
      </c>
    </row>
    <row r="33" spans="1:1" x14ac:dyDescent="0.25">
      <c r="A33" t="s">
        <v>73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1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>
        <v>3</v>
      </c>
      <c r="C3" s="11">
        <v>2134.64</v>
      </c>
      <c r="D3" s="11">
        <v>426.93</v>
      </c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>
        <v>58.8</v>
      </c>
      <c r="C6" s="10">
        <v>2333</v>
      </c>
      <c r="D6" s="10">
        <v>1</v>
      </c>
      <c r="E6" s="15">
        <v>58.93</v>
      </c>
      <c r="F6" s="10">
        <v>74</v>
      </c>
    </row>
    <row r="7" spans="1:6" x14ac:dyDescent="0.25">
      <c r="A7" s="10" t="s">
        <v>29</v>
      </c>
      <c r="B7" s="11">
        <v>155.16</v>
      </c>
      <c r="C7" s="10">
        <v>712</v>
      </c>
      <c r="D7" s="10">
        <v>2</v>
      </c>
      <c r="E7" s="15">
        <v>2716.72</v>
      </c>
      <c r="F7" s="10">
        <v>21</v>
      </c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>
        <v>0</v>
      </c>
      <c r="C9" s="10">
        <v>60</v>
      </c>
      <c r="D9" s="10">
        <v>0</v>
      </c>
      <c r="E9" s="15"/>
      <c r="F9" s="10"/>
    </row>
    <row r="10" spans="1:6" x14ac:dyDescent="0.25">
      <c r="A10" s="10" t="s">
        <v>32</v>
      </c>
      <c r="B10" s="11">
        <v>0</v>
      </c>
      <c r="C10" s="10">
        <v>64</v>
      </c>
      <c r="D10" s="10">
        <v>0</v>
      </c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>
        <v>0</v>
      </c>
      <c r="C12" s="10">
        <v>1</v>
      </c>
      <c r="D12" s="10">
        <v>0</v>
      </c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7" x14ac:dyDescent="0.25">
      <c r="A17" s="16" t="s">
        <v>12</v>
      </c>
      <c r="B17" s="17">
        <f t="shared" ref="B17:F17" si="0">SUM(B6:B16)</f>
        <v>213.95999999999998</v>
      </c>
      <c r="C17" s="9">
        <f t="shared" si="0"/>
        <v>3170</v>
      </c>
      <c r="D17" s="9">
        <f t="shared" si="0"/>
        <v>3</v>
      </c>
      <c r="E17" s="18">
        <f t="shared" si="0"/>
        <v>2775.6499999999996</v>
      </c>
      <c r="F17" s="14">
        <f t="shared" si="0"/>
        <v>95</v>
      </c>
    </row>
    <row r="20" spans="1:7" x14ac:dyDescent="0.25">
      <c r="A20" t="s">
        <v>51</v>
      </c>
      <c r="G20" t="s">
        <v>41</v>
      </c>
    </row>
    <row r="21" spans="1:7" x14ac:dyDescent="0.25">
      <c r="A21" t="s">
        <v>52</v>
      </c>
      <c r="G21" t="s">
        <v>42</v>
      </c>
    </row>
    <row r="23" spans="1:7" x14ac:dyDescent="0.25">
      <c r="A23" t="s">
        <v>53</v>
      </c>
      <c r="G23" t="s">
        <v>43</v>
      </c>
    </row>
    <row r="24" spans="1:7" x14ac:dyDescent="0.25">
      <c r="A24" t="s">
        <v>54</v>
      </c>
      <c r="G24" t="s">
        <v>44</v>
      </c>
    </row>
    <row r="25" spans="1:7" x14ac:dyDescent="0.25">
      <c r="A25" t="s">
        <v>55</v>
      </c>
    </row>
    <row r="26" spans="1:7" x14ac:dyDescent="0.25">
      <c r="A26" t="s">
        <v>56</v>
      </c>
      <c r="G26" t="s">
        <v>45</v>
      </c>
    </row>
    <row r="27" spans="1:7" x14ac:dyDescent="0.25">
      <c r="A27" t="s">
        <v>57</v>
      </c>
      <c r="G27" t="s">
        <v>46</v>
      </c>
    </row>
    <row r="28" spans="1:7" x14ac:dyDescent="0.25">
      <c r="A28" t="s">
        <v>58</v>
      </c>
      <c r="G28" t="s">
        <v>47</v>
      </c>
    </row>
    <row r="29" spans="1:7" x14ac:dyDescent="0.25">
      <c r="G29" t="s">
        <v>48</v>
      </c>
    </row>
    <row r="30" spans="1:7" x14ac:dyDescent="0.25">
      <c r="G30" t="s">
        <v>49</v>
      </c>
    </row>
    <row r="31" spans="1:7" x14ac:dyDescent="0.25">
      <c r="G31" t="s">
        <v>50</v>
      </c>
    </row>
  </sheetData>
  <mergeCells count="4">
    <mergeCell ref="A1:A2"/>
    <mergeCell ref="B1:D1"/>
    <mergeCell ref="B4:D4"/>
    <mergeCell ref="E4:F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7"/>
  <sheetViews>
    <sheetView workbookViewId="0">
      <selection activeCell="E13" sqref="E13"/>
    </sheetView>
  </sheetViews>
  <sheetFormatPr defaultColWidth="25.140625" defaultRowHeight="15" x14ac:dyDescent="0.25"/>
  <cols>
    <col min="1" max="1" width="31.28515625" bestFit="1" customWidth="1"/>
    <col min="2" max="2" width="12" bestFit="1" customWidth="1"/>
    <col min="3" max="3" width="14" bestFit="1" customWidth="1"/>
    <col min="4" max="4" width="12.28515625" bestFit="1" customWidth="1"/>
    <col min="5" max="5" width="13.140625" bestFit="1" customWidth="1"/>
    <col min="6" max="6" width="13.140625" customWidth="1"/>
  </cols>
  <sheetData>
    <row r="1" spans="1:6" x14ac:dyDescent="0.25">
      <c r="A1" s="41" t="s">
        <v>15</v>
      </c>
      <c r="B1" s="43" t="s">
        <v>16</v>
      </c>
      <c r="C1" s="44"/>
      <c r="D1" s="45"/>
      <c r="E1" s="8"/>
      <c r="F1" s="8"/>
    </row>
    <row r="2" spans="1:6" x14ac:dyDescent="0.25">
      <c r="A2" s="42"/>
      <c r="B2" s="9" t="s">
        <v>17</v>
      </c>
      <c r="C2" s="9" t="s">
        <v>18</v>
      </c>
      <c r="D2" s="9" t="s">
        <v>19</v>
      </c>
      <c r="E2" s="8"/>
      <c r="F2" s="8"/>
    </row>
    <row r="3" spans="1:6" x14ac:dyDescent="0.25">
      <c r="A3" s="10" t="s">
        <v>20</v>
      </c>
      <c r="B3" s="10"/>
      <c r="C3" s="11"/>
      <c r="D3" s="11"/>
      <c r="E3" s="8"/>
      <c r="F3" s="8"/>
    </row>
    <row r="4" spans="1:6" x14ac:dyDescent="0.25">
      <c r="A4" s="12" t="s">
        <v>21</v>
      </c>
      <c r="B4" s="43" t="s">
        <v>16</v>
      </c>
      <c r="C4" s="44"/>
      <c r="D4" s="45"/>
      <c r="E4" s="46" t="s">
        <v>22</v>
      </c>
      <c r="F4" s="47"/>
    </row>
    <row r="5" spans="1:6" x14ac:dyDescent="0.25">
      <c r="A5" s="12"/>
      <c r="B5" s="9" t="s">
        <v>23</v>
      </c>
      <c r="C5" s="9" t="s">
        <v>24</v>
      </c>
      <c r="D5" s="9" t="s">
        <v>25</v>
      </c>
      <c r="E5" s="13" t="s">
        <v>26</v>
      </c>
      <c r="F5" s="14" t="s">
        <v>27</v>
      </c>
    </row>
    <row r="6" spans="1:6" x14ac:dyDescent="0.25">
      <c r="A6" s="10" t="s">
        <v>28</v>
      </c>
      <c r="B6" s="11"/>
      <c r="C6" s="10"/>
      <c r="D6" s="10"/>
      <c r="E6" s="15"/>
      <c r="F6" s="10"/>
    </row>
    <row r="7" spans="1:6" x14ac:dyDescent="0.25">
      <c r="A7" s="10" t="s">
        <v>29</v>
      </c>
      <c r="B7" s="11"/>
      <c r="C7" s="10"/>
      <c r="D7" s="10"/>
      <c r="E7" s="15"/>
      <c r="F7" s="10"/>
    </row>
    <row r="8" spans="1:6" x14ac:dyDescent="0.25">
      <c r="A8" s="10" t="s">
        <v>30</v>
      </c>
      <c r="B8" s="11"/>
      <c r="C8" s="10"/>
      <c r="D8" s="10"/>
      <c r="E8" s="15"/>
      <c r="F8" s="10"/>
    </row>
    <row r="9" spans="1:6" x14ac:dyDescent="0.25">
      <c r="A9" s="10" t="s">
        <v>31</v>
      </c>
      <c r="B9" s="11"/>
      <c r="C9" s="10"/>
      <c r="D9" s="10"/>
      <c r="E9" s="15"/>
      <c r="F9" s="10"/>
    </row>
    <row r="10" spans="1:6" x14ac:dyDescent="0.25">
      <c r="A10" s="10" t="s">
        <v>32</v>
      </c>
      <c r="B10" s="11"/>
      <c r="C10" s="10"/>
      <c r="D10" s="10"/>
      <c r="E10" s="15"/>
      <c r="F10" s="10"/>
    </row>
    <row r="11" spans="1:6" x14ac:dyDescent="0.25">
      <c r="A11" s="10" t="s">
        <v>33</v>
      </c>
      <c r="B11" s="11"/>
      <c r="C11" s="10"/>
      <c r="D11" s="10"/>
      <c r="E11" s="15"/>
      <c r="F11" s="10"/>
    </row>
    <row r="12" spans="1:6" x14ac:dyDescent="0.25">
      <c r="A12" s="10" t="s">
        <v>34</v>
      </c>
      <c r="B12" s="11"/>
      <c r="C12" s="10"/>
      <c r="D12" s="10"/>
      <c r="E12" s="15"/>
      <c r="F12" s="10"/>
    </row>
    <row r="13" spans="1:6" x14ac:dyDescent="0.25">
      <c r="A13" s="10" t="s">
        <v>35</v>
      </c>
      <c r="B13" s="11"/>
      <c r="C13" s="10"/>
      <c r="D13" s="10"/>
      <c r="E13" s="15"/>
      <c r="F13" s="10"/>
    </row>
    <row r="14" spans="1:6" x14ac:dyDescent="0.25">
      <c r="A14" s="10" t="s">
        <v>36</v>
      </c>
      <c r="B14" s="11"/>
      <c r="C14" s="10"/>
      <c r="D14" s="10"/>
      <c r="E14" s="15"/>
      <c r="F14" s="10"/>
    </row>
    <row r="15" spans="1:6" x14ac:dyDescent="0.25">
      <c r="A15" s="10" t="s">
        <v>37</v>
      </c>
      <c r="B15" s="11"/>
      <c r="C15" s="10"/>
      <c r="D15" s="10"/>
      <c r="E15" s="15"/>
      <c r="F15" s="10"/>
    </row>
    <row r="16" spans="1:6" x14ac:dyDescent="0.25">
      <c r="A16" s="10" t="s">
        <v>38</v>
      </c>
      <c r="B16" s="11"/>
      <c r="C16" s="10"/>
      <c r="D16" s="10"/>
      <c r="E16" s="15"/>
      <c r="F16" s="10"/>
    </row>
    <row r="17" spans="1:6" x14ac:dyDescent="0.25">
      <c r="A17" s="16" t="s">
        <v>12</v>
      </c>
      <c r="B17" s="17">
        <f t="shared" ref="B17:F17" si="0">SUM(B6:B16)</f>
        <v>0</v>
      </c>
      <c r="C17" s="9">
        <f t="shared" si="0"/>
        <v>0</v>
      </c>
      <c r="D17" s="9">
        <f t="shared" si="0"/>
        <v>0</v>
      </c>
      <c r="E17" s="18">
        <f t="shared" si="0"/>
        <v>0</v>
      </c>
      <c r="F17" s="14">
        <f t="shared" si="0"/>
        <v>0</v>
      </c>
    </row>
  </sheetData>
  <mergeCells count="4">
    <mergeCell ref="A1:A2"/>
    <mergeCell ref="B1:D1"/>
    <mergeCell ref="E4:F4"/>
    <mergeCell ref="B4:D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Branches</vt:lpstr>
      <vt:lpstr>3635</vt:lpstr>
      <vt:lpstr>0945</vt:lpstr>
      <vt:lpstr>0886</vt:lpstr>
      <vt:lpstr>0809</vt:lpstr>
      <vt:lpstr>0806</vt:lpstr>
      <vt:lpstr>0795</vt:lpstr>
      <vt:lpstr>0793</vt:lpstr>
      <vt:lpstr>0792</vt:lpstr>
      <vt:lpstr>0790</vt:lpstr>
      <vt:lpstr>0776</vt:lpstr>
      <vt:lpstr>0700</vt:lpstr>
      <vt:lpstr>0688</vt:lpstr>
      <vt:lpstr>0687</vt:lpstr>
      <vt:lpstr>0439</vt:lpstr>
      <vt:lpstr>0428</vt:lpstr>
      <vt:lpstr>0427</vt:lpstr>
      <vt:lpstr>example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Ralph, Dean</dc:creator>
  <cp:lastModifiedBy>Ralph, Dean</cp:lastModifiedBy>
  <dcterms:created xsi:type="dcterms:W3CDTF">2018-09-06T09:42:40Z</dcterms:created>
  <dcterms:modified xsi:type="dcterms:W3CDTF">2019-04-11T12:43:13Z</dcterms:modified>
</cp:coreProperties>
</file>