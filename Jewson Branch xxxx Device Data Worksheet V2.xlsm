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d5611119\Documents\Macros\"/>
    </mc:Choice>
  </mc:AlternateContent>
  <bookViews>
    <workbookView xWindow="0" yWindow="0" windowWidth="28800" windowHeight="12300" activeTab="1"/>
  </bookViews>
  <sheets>
    <sheet name="Instructions - Read Me First" sheetId="8" r:id="rId1"/>
    <sheet name="Branch input" sheetId="4" r:id="rId2"/>
    <sheet name="More Details" sheetId="9" r:id="rId3"/>
    <sheet name="Mapping" sheetId="1" state="hidden" r:id="rId4"/>
    <sheet name="Validation List" sheetId="3" state="hidden" r:id="rId5"/>
    <sheet name="DX Import Sheet" sheetId="10" state="hidden" r:id="rId6"/>
  </sheets>
  <definedNames>
    <definedName name="BranchIno">'Branch input'!$C$5,'Branch input'!$C$7:$C$13,'Branch input'!$H$8:$H$11,'Branch input'!$K$8:$K$13,'Branch input'!$B$18:$Q$38,'Branch input'!$C$2,'Branch input'!$E$2,'Branch input'!$C$3</definedName>
    <definedName name="PEDs">Table6[EFT PED]</definedName>
    <definedName name="_xlnm.Print_Area" localSheetId="0">'Instructions - Read Me First'!$A$1:$A$20</definedName>
    <definedName name="Printers">Table5[Printer]</definedName>
    <definedName name="TillNo">Table4[Till No.]</definedName>
    <definedName name="Tills">Table4[Till]</definedName>
  </definedNames>
  <calcPr calcId="162913" concurrentCalc="0"/>
</workbook>
</file>

<file path=xl/calcChain.xml><?xml version="1.0" encoding="utf-8"?>
<calcChain xmlns="http://schemas.openxmlformats.org/spreadsheetml/2006/main">
  <c r="A3" i="10" l="1"/>
  <c r="C3" i="10"/>
  <c r="D3" i="10"/>
  <c r="E3" i="10"/>
  <c r="F3" i="10"/>
  <c r="G3" i="10"/>
  <c r="H3" i="10"/>
  <c r="I3" i="10"/>
  <c r="J3" i="10"/>
  <c r="K3" i="10"/>
  <c r="L3" i="10"/>
  <c r="M3" i="10"/>
  <c r="N3" i="10"/>
  <c r="O3" i="10"/>
  <c r="P3" i="10"/>
  <c r="A4" i="10"/>
  <c r="C4" i="10"/>
  <c r="D4" i="10"/>
  <c r="E4" i="10"/>
  <c r="F4" i="10"/>
  <c r="G4" i="10"/>
  <c r="H4" i="10"/>
  <c r="I4" i="10"/>
  <c r="J4" i="10"/>
  <c r="K4" i="10"/>
  <c r="L4" i="10"/>
  <c r="M4" i="10"/>
  <c r="N4" i="10"/>
  <c r="O4" i="10"/>
  <c r="P4" i="10"/>
  <c r="A5" i="10"/>
  <c r="C5" i="10"/>
  <c r="D5" i="10"/>
  <c r="E5" i="10"/>
  <c r="F5" i="10"/>
  <c r="G5" i="10"/>
  <c r="H5" i="10"/>
  <c r="I5" i="10"/>
  <c r="J5" i="10"/>
  <c r="K5" i="10"/>
  <c r="L5" i="10"/>
  <c r="M5" i="10"/>
  <c r="N5" i="10"/>
  <c r="O5" i="10"/>
  <c r="P5" i="10"/>
  <c r="A6" i="10"/>
  <c r="C6" i="10"/>
  <c r="D6" i="10"/>
  <c r="E6" i="10"/>
  <c r="F6" i="10"/>
  <c r="G6" i="10"/>
  <c r="H6" i="10"/>
  <c r="I6" i="10"/>
  <c r="J6" i="10"/>
  <c r="K6" i="10"/>
  <c r="L6" i="10"/>
  <c r="M6" i="10"/>
  <c r="N6" i="10"/>
  <c r="O6" i="10"/>
  <c r="P6" i="10"/>
  <c r="A7" i="10"/>
  <c r="C7" i="10"/>
  <c r="D7" i="10"/>
  <c r="E7" i="10"/>
  <c r="F7" i="10"/>
  <c r="G7" i="10"/>
  <c r="H7" i="10"/>
  <c r="I7" i="10"/>
  <c r="J7" i="10"/>
  <c r="K7" i="10"/>
  <c r="L7" i="10"/>
  <c r="M7" i="10"/>
  <c r="N7" i="10"/>
  <c r="O7" i="10"/>
  <c r="P7" i="10"/>
  <c r="A8" i="10"/>
  <c r="C8" i="10"/>
  <c r="D8" i="10"/>
  <c r="E8" i="10"/>
  <c r="F8" i="10"/>
  <c r="G8" i="10"/>
  <c r="H8" i="10"/>
  <c r="I8" i="10"/>
  <c r="J8" i="10"/>
  <c r="K8" i="10"/>
  <c r="L8" i="10"/>
  <c r="M8" i="10"/>
  <c r="N8" i="10"/>
  <c r="O8" i="10"/>
  <c r="P8" i="10"/>
  <c r="A9" i="10"/>
  <c r="C9" i="10"/>
  <c r="D9" i="10"/>
  <c r="E9" i="10"/>
  <c r="F9" i="10"/>
  <c r="G9" i="10"/>
  <c r="H9" i="10"/>
  <c r="I9" i="10"/>
  <c r="J9" i="10"/>
  <c r="K9" i="10"/>
  <c r="L9" i="10"/>
  <c r="M9" i="10"/>
  <c r="N9" i="10"/>
  <c r="O9" i="10"/>
  <c r="P9" i="10"/>
  <c r="A10" i="10"/>
  <c r="C10" i="10"/>
  <c r="D10" i="10"/>
  <c r="E10" i="10"/>
  <c r="F10" i="10"/>
  <c r="G10" i="10"/>
  <c r="H10" i="10"/>
  <c r="I10" i="10"/>
  <c r="J10" i="10"/>
  <c r="K10" i="10"/>
  <c r="L10" i="10"/>
  <c r="M10" i="10"/>
  <c r="N10" i="10"/>
  <c r="O10" i="10"/>
  <c r="P10" i="10"/>
  <c r="A11" i="10"/>
  <c r="C11" i="10"/>
  <c r="D11" i="10"/>
  <c r="E11" i="10"/>
  <c r="F11" i="10"/>
  <c r="G11" i="10"/>
  <c r="H11" i="10"/>
  <c r="I11" i="10"/>
  <c r="J11" i="10"/>
  <c r="K11" i="10"/>
  <c r="L11" i="10"/>
  <c r="M11" i="10"/>
  <c r="N11" i="10"/>
  <c r="O11" i="10"/>
  <c r="P11" i="10"/>
  <c r="A12" i="10"/>
  <c r="C12" i="10"/>
  <c r="D12" i="10"/>
  <c r="E12" i="10"/>
  <c r="F12" i="10"/>
  <c r="G12" i="10"/>
  <c r="H12" i="10"/>
  <c r="I12" i="10"/>
  <c r="J12" i="10"/>
  <c r="K12" i="10"/>
  <c r="L12" i="10"/>
  <c r="M12" i="10"/>
  <c r="N12" i="10"/>
  <c r="O12" i="10"/>
  <c r="P12" i="10"/>
  <c r="A13" i="10"/>
  <c r="C13" i="10"/>
  <c r="D13" i="10"/>
  <c r="E13" i="10"/>
  <c r="F13" i="10"/>
  <c r="G13" i="10"/>
  <c r="H13" i="10"/>
  <c r="I13" i="10"/>
  <c r="J13" i="10"/>
  <c r="K13" i="10"/>
  <c r="L13" i="10"/>
  <c r="M13" i="10"/>
  <c r="N13" i="10"/>
  <c r="O13" i="10"/>
  <c r="P13" i="10"/>
  <c r="A14" i="10"/>
  <c r="C14" i="10"/>
  <c r="D14" i="10"/>
  <c r="E14" i="10"/>
  <c r="F14" i="10"/>
  <c r="G14" i="10"/>
  <c r="H14" i="10"/>
  <c r="I14" i="10"/>
  <c r="J14" i="10"/>
  <c r="K14" i="10"/>
  <c r="L14" i="10"/>
  <c r="M14" i="10"/>
  <c r="N14" i="10"/>
  <c r="O14" i="10"/>
  <c r="P14" i="10"/>
  <c r="A15" i="10"/>
  <c r="C15" i="10"/>
  <c r="D15" i="10"/>
  <c r="E15" i="10"/>
  <c r="F15" i="10"/>
  <c r="G15" i="10"/>
  <c r="H15" i="10"/>
  <c r="I15" i="10"/>
  <c r="J15" i="10"/>
  <c r="K15" i="10"/>
  <c r="L15" i="10"/>
  <c r="M15" i="10"/>
  <c r="N15" i="10"/>
  <c r="O15" i="10"/>
  <c r="P15" i="10"/>
  <c r="A16" i="10"/>
  <c r="C16" i="10"/>
  <c r="D16" i="10"/>
  <c r="E16" i="10"/>
  <c r="F16" i="10"/>
  <c r="G16" i="10"/>
  <c r="H16" i="10"/>
  <c r="I16" i="10"/>
  <c r="J16" i="10"/>
  <c r="K16" i="10"/>
  <c r="L16" i="10"/>
  <c r="M16" i="10"/>
  <c r="N16" i="10"/>
  <c r="O16" i="10"/>
  <c r="P16" i="10"/>
  <c r="A17" i="10"/>
  <c r="C17" i="10"/>
  <c r="D17" i="10"/>
  <c r="E17" i="10"/>
  <c r="F17" i="10"/>
  <c r="G17" i="10"/>
  <c r="H17" i="10"/>
  <c r="I17" i="10"/>
  <c r="J17" i="10"/>
  <c r="K17" i="10"/>
  <c r="L17" i="10"/>
  <c r="M17" i="10"/>
  <c r="N17" i="10"/>
  <c r="O17" i="10"/>
  <c r="P17" i="10"/>
  <c r="A18" i="10"/>
  <c r="C18" i="10"/>
  <c r="D18" i="10"/>
  <c r="E18" i="10"/>
  <c r="F18" i="10"/>
  <c r="G18" i="10"/>
  <c r="H18" i="10"/>
  <c r="I18" i="10"/>
  <c r="J18" i="10"/>
  <c r="K18" i="10"/>
  <c r="L18" i="10"/>
  <c r="M18" i="10"/>
  <c r="N18" i="10"/>
  <c r="O18" i="10"/>
  <c r="P18" i="10"/>
  <c r="A19" i="10"/>
  <c r="C19" i="10"/>
  <c r="D19" i="10"/>
  <c r="E19" i="10"/>
  <c r="F19" i="10"/>
  <c r="G19" i="10"/>
  <c r="H19" i="10"/>
  <c r="I19" i="10"/>
  <c r="J19" i="10"/>
  <c r="K19" i="10"/>
  <c r="L19" i="10"/>
  <c r="M19" i="10"/>
  <c r="N19" i="10"/>
  <c r="O19" i="10"/>
  <c r="P19" i="10"/>
  <c r="A20" i="10"/>
  <c r="C20" i="10"/>
  <c r="D20" i="10"/>
  <c r="E20" i="10"/>
  <c r="F20" i="10"/>
  <c r="G20" i="10"/>
  <c r="H20" i="10"/>
  <c r="I20" i="10"/>
  <c r="J20" i="10"/>
  <c r="K20" i="10"/>
  <c r="L20" i="10"/>
  <c r="M20" i="10"/>
  <c r="N20" i="10"/>
  <c r="O20" i="10"/>
  <c r="P20" i="10"/>
  <c r="A21" i="10"/>
  <c r="C21" i="10"/>
  <c r="D21" i="10"/>
  <c r="E21" i="10"/>
  <c r="F21" i="10"/>
  <c r="G21" i="10"/>
  <c r="H21" i="10"/>
  <c r="I21" i="10"/>
  <c r="J21" i="10"/>
  <c r="K21" i="10"/>
  <c r="L21" i="10"/>
  <c r="M21" i="10"/>
  <c r="N21" i="10"/>
  <c r="O21" i="10"/>
  <c r="P21" i="10"/>
  <c r="A22" i="10"/>
  <c r="C22" i="10"/>
  <c r="D22" i="10"/>
  <c r="E22" i="10"/>
  <c r="F22" i="10"/>
  <c r="G22" i="10"/>
  <c r="H22" i="10"/>
  <c r="I22" i="10"/>
  <c r="J22" i="10"/>
  <c r="K22" i="10"/>
  <c r="L22" i="10"/>
  <c r="M22" i="10"/>
  <c r="N22" i="10"/>
  <c r="O22" i="10"/>
  <c r="P22" i="10"/>
  <c r="A23" i="10"/>
  <c r="C23" i="10"/>
  <c r="D23" i="10"/>
  <c r="E23" i="10"/>
  <c r="F23" i="10"/>
  <c r="G23" i="10"/>
  <c r="H23" i="10"/>
  <c r="I23" i="10"/>
  <c r="J23" i="10"/>
  <c r="K23" i="10"/>
  <c r="L23" i="10"/>
  <c r="M23" i="10"/>
  <c r="N23" i="10"/>
  <c r="O23" i="10"/>
  <c r="P23" i="10"/>
  <c r="A24" i="10"/>
  <c r="C24" i="10"/>
  <c r="D24" i="10"/>
  <c r="E24" i="10"/>
  <c r="F24" i="10"/>
  <c r="G24" i="10"/>
  <c r="H24" i="10"/>
  <c r="I24" i="10"/>
  <c r="J24" i="10"/>
  <c r="K24" i="10"/>
  <c r="L24" i="10"/>
  <c r="M24" i="10"/>
  <c r="N24" i="10"/>
  <c r="O24" i="10"/>
  <c r="P24" i="10"/>
  <c r="A25" i="10"/>
  <c r="C25" i="10"/>
  <c r="D25" i="10"/>
  <c r="E25" i="10"/>
  <c r="F25" i="10"/>
  <c r="G25" i="10"/>
  <c r="H25" i="10"/>
  <c r="I25" i="10"/>
  <c r="J25" i="10"/>
  <c r="K25" i="10"/>
  <c r="L25" i="10"/>
  <c r="M25" i="10"/>
  <c r="N25" i="10"/>
  <c r="O25" i="10"/>
  <c r="P25" i="10"/>
  <c r="A26" i="10"/>
  <c r="C26" i="10"/>
  <c r="D26" i="10"/>
  <c r="E26" i="10"/>
  <c r="F26" i="10"/>
  <c r="G26" i="10"/>
  <c r="H26" i="10"/>
  <c r="I26" i="10"/>
  <c r="J26" i="10"/>
  <c r="K26" i="10"/>
  <c r="L26" i="10"/>
  <c r="M26" i="10"/>
  <c r="N26" i="10"/>
  <c r="O26" i="10"/>
  <c r="P26" i="10"/>
  <c r="A27" i="10"/>
  <c r="C27" i="10"/>
  <c r="D27" i="10"/>
  <c r="E27" i="10"/>
  <c r="F27" i="10"/>
  <c r="G27" i="10"/>
  <c r="H27" i="10"/>
  <c r="I27" i="10"/>
  <c r="J27" i="10"/>
  <c r="K27" i="10"/>
  <c r="L27" i="10"/>
  <c r="M27" i="10"/>
  <c r="N27" i="10"/>
  <c r="O27" i="10"/>
  <c r="P27" i="10"/>
  <c r="A28" i="10"/>
  <c r="C28" i="10"/>
  <c r="D28" i="10"/>
  <c r="E28" i="10"/>
  <c r="F28" i="10"/>
  <c r="G28" i="10"/>
  <c r="H28" i="10"/>
  <c r="I28" i="10"/>
  <c r="J28" i="10"/>
  <c r="K28" i="10"/>
  <c r="L28" i="10"/>
  <c r="M28" i="10"/>
  <c r="N28" i="10"/>
  <c r="O28" i="10"/>
  <c r="P28" i="10"/>
  <c r="A29" i="10"/>
  <c r="C29" i="10"/>
  <c r="D29" i="10"/>
  <c r="E29" i="10"/>
  <c r="F29" i="10"/>
  <c r="G29" i="10"/>
  <c r="H29" i="10"/>
  <c r="I29" i="10"/>
  <c r="J29" i="10"/>
  <c r="K29" i="10"/>
  <c r="L29" i="10"/>
  <c r="M29" i="10"/>
  <c r="N29" i="10"/>
  <c r="O29" i="10"/>
  <c r="P29" i="10"/>
  <c r="A30" i="10"/>
  <c r="C30" i="10"/>
  <c r="D30" i="10"/>
  <c r="E30" i="10"/>
  <c r="F30" i="10"/>
  <c r="G30" i="10"/>
  <c r="H30" i="10"/>
  <c r="I30" i="10"/>
  <c r="J30" i="10"/>
  <c r="K30" i="10"/>
  <c r="L30" i="10"/>
  <c r="M30" i="10"/>
  <c r="N30" i="10"/>
  <c r="O30" i="10"/>
  <c r="P30" i="10"/>
  <c r="A31" i="10"/>
  <c r="C31" i="10"/>
  <c r="D31" i="10"/>
  <c r="E31" i="10"/>
  <c r="F31" i="10"/>
  <c r="G31" i="10"/>
  <c r="H31" i="10"/>
  <c r="I31" i="10"/>
  <c r="J31" i="10"/>
  <c r="K31" i="10"/>
  <c r="L31" i="10"/>
  <c r="M31" i="10"/>
  <c r="N31" i="10"/>
  <c r="O31" i="10"/>
  <c r="P31" i="10"/>
  <c r="A32" i="10"/>
  <c r="C32" i="10"/>
  <c r="D32" i="10"/>
  <c r="E32" i="10"/>
  <c r="F32" i="10"/>
  <c r="G32" i="10"/>
  <c r="H32" i="10"/>
  <c r="I32" i="10"/>
  <c r="J32" i="10"/>
  <c r="K32" i="10"/>
  <c r="L32" i="10"/>
  <c r="M32" i="10"/>
  <c r="N32" i="10"/>
  <c r="O32" i="10"/>
  <c r="P32" i="10"/>
  <c r="P2" i="10"/>
  <c r="O2" i="10"/>
  <c r="B9" i="4"/>
  <c r="B7" i="4"/>
  <c r="J13" i="4"/>
  <c r="J12" i="4"/>
  <c r="B13" i="4"/>
  <c r="B12" i="4"/>
  <c r="F9" i="4"/>
  <c r="F10" i="4"/>
  <c r="F11" i="4"/>
  <c r="G11" i="4"/>
  <c r="G10" i="4"/>
  <c r="G9" i="4"/>
  <c r="G8" i="4"/>
  <c r="N2" i="10"/>
  <c r="B11" i="4"/>
  <c r="B10" i="4"/>
  <c r="B8" i="4"/>
  <c r="J11" i="4"/>
  <c r="J10" i="4"/>
  <c r="J9" i="4"/>
  <c r="J8" i="4"/>
  <c r="D2" i="10"/>
  <c r="E2" i="10"/>
  <c r="F2" i="10"/>
  <c r="G2" i="10"/>
  <c r="H2" i="10"/>
  <c r="I2" i="10"/>
  <c r="J2" i="10"/>
  <c r="K2" i="10"/>
  <c r="L2" i="10"/>
  <c r="M2" i="10"/>
  <c r="C2" i="10"/>
  <c r="A2" i="10"/>
  <c r="F8" i="4"/>
  <c r="F1" i="1"/>
  <c r="E1" i="1"/>
  <c r="D1" i="1"/>
  <c r="D14" i="1"/>
  <c r="D13" i="1"/>
  <c r="D12" i="1"/>
  <c r="D11" i="1"/>
  <c r="D10" i="1"/>
  <c r="D18" i="1"/>
  <c r="D17" i="1"/>
  <c r="D16" i="1"/>
  <c r="D15" i="1"/>
  <c r="D25" i="1"/>
  <c r="D24" i="1"/>
  <c r="D23" i="1"/>
  <c r="D22" i="1"/>
  <c r="D21" i="1"/>
  <c r="D20" i="1"/>
  <c r="D19" i="1"/>
  <c r="D31" i="1"/>
  <c r="D30" i="1"/>
  <c r="D29" i="1"/>
  <c r="D28" i="1"/>
  <c r="D27" i="1"/>
  <c r="D26" i="1"/>
  <c r="D9" i="1"/>
  <c r="D8" i="1"/>
  <c r="D7" i="1"/>
  <c r="D6" i="1"/>
  <c r="D5" i="1"/>
  <c r="D4" i="1"/>
  <c r="D3" i="1"/>
  <c r="D2" i="1"/>
</calcChain>
</file>

<file path=xl/sharedStrings.xml><?xml version="1.0" encoding="utf-8"?>
<sst xmlns="http://schemas.openxmlformats.org/spreadsheetml/2006/main" count="296" uniqueCount="216">
  <si>
    <t>PICKING</t>
  </si>
  <si>
    <t>Picking notes</t>
  </si>
  <si>
    <t>ADVICE</t>
  </si>
  <si>
    <t>Advice notes</t>
  </si>
  <si>
    <t>INVOICE</t>
  </si>
  <si>
    <t>QUOTES</t>
  </si>
  <si>
    <t>Quotations</t>
  </si>
  <si>
    <t>ADJUSTS</t>
  </si>
  <si>
    <t>Stock adjustments</t>
  </si>
  <si>
    <t>SOPOTHER</t>
  </si>
  <si>
    <t>Other SOP documents</t>
  </si>
  <si>
    <t>PURORDER</t>
  </si>
  <si>
    <t>Purchase orders</t>
  </si>
  <si>
    <t>RECDNOTE</t>
  </si>
  <si>
    <t>Goods received notes</t>
  </si>
  <si>
    <t>RETNNOTE</t>
  </si>
  <si>
    <t>Goods returned notes</t>
  </si>
  <si>
    <t>NOTIFY</t>
  </si>
  <si>
    <t>Notifications</t>
  </si>
  <si>
    <t>PUTAWAY</t>
  </si>
  <si>
    <t>Putaway tickets</t>
  </si>
  <si>
    <t>PCOTHER</t>
  </si>
  <si>
    <t>Other PC documents</t>
  </si>
  <si>
    <t>ACKNOWLEDGEMENT</t>
  </si>
  <si>
    <t>Acknowledgements</t>
  </si>
  <si>
    <t>COLLECTION</t>
  </si>
  <si>
    <t>Collection note</t>
  </si>
  <si>
    <t>CUSTOMER</t>
  </si>
  <si>
    <t>{Cus} / driver PO copy</t>
  </si>
  <si>
    <t>WMSTASKS</t>
  </si>
  <si>
    <t>Warehouse tasks</t>
  </si>
  <si>
    <t>PICKBOXLABS</t>
  </si>
  <si>
    <t>Pick box labels</t>
  </si>
  <si>
    <t>PACKING</t>
  </si>
  <si>
    <t>Packing lists</t>
  </si>
  <si>
    <t>ADVBOXLABELS</t>
  </si>
  <si>
    <t>{Abx} labels</t>
  </si>
  <si>
    <t>DEBITPRINT</t>
  </si>
  <si>
    <t>Debit/Abeyance Notes printer</t>
  </si>
  <si>
    <t>COLLATION</t>
  </si>
  <si>
    <t>Collation labels</t>
  </si>
  <si>
    <t>EXTRASOP</t>
  </si>
  <si>
    <t>Extra documents</t>
  </si>
  <si>
    <t>JOBCARDS</t>
  </si>
  <si>
    <t>Job cards</t>
  </si>
  <si>
    <t>DMLOADING</t>
  </si>
  <si>
    <t>Loading manifest</t>
  </si>
  <si>
    <t>DMDRIVERS</t>
  </si>
  <si>
    <t>Drivers manifest</t>
  </si>
  <si>
    <t>DMCOLLECT</t>
  </si>
  <si>
    <t>Collection advice</t>
  </si>
  <si>
    <t>DMDELIVERY</t>
  </si>
  <si>
    <t>Delivery advice</t>
  </si>
  <si>
    <t>DMOTHER</t>
  </si>
  <si>
    <t>Other DM documents</t>
  </si>
  <si>
    <t>DMRETURNS</t>
  </si>
  <si>
    <t>Returns advice</t>
  </si>
  <si>
    <t>CTRLPICKNOTES</t>
  </si>
  <si>
    <t>Control pick notes</t>
  </si>
  <si>
    <t>THQUOTE</t>
  </si>
  <si>
    <t>{Th} quotation</t>
  </si>
  <si>
    <t>THBOOKING</t>
  </si>
  <si>
    <t>{Th} booking</t>
  </si>
  <si>
    <t>THCONTRACT</t>
  </si>
  <si>
    <t>{Th} contract</t>
  </si>
  <si>
    <t>THDELIVERY</t>
  </si>
  <si>
    <t>{Th} delivery note</t>
  </si>
  <si>
    <t>THCOLLECT</t>
  </si>
  <si>
    <t>{Th} collection note</t>
  </si>
  <si>
    <t>THONHIRE</t>
  </si>
  <si>
    <t>{Th} on hire notification</t>
  </si>
  <si>
    <t>THOFFHIRE</t>
  </si>
  <si>
    <t>{Th} off hire notification</t>
  </si>
  <si>
    <t>THONSTAND</t>
  </si>
  <si>
    <t>{Th} on-stand notification</t>
  </si>
  <si>
    <t>THOFFSTAND</t>
  </si>
  <si>
    <t>{Th} off-stand notifiction</t>
  </si>
  <si>
    <t>THTRANSFER</t>
  </si>
  <si>
    <t>{Th} transfer note</t>
  </si>
  <si>
    <t>THEXCHANGE</t>
  </si>
  <si>
    <t>{Th} exchange note</t>
  </si>
  <si>
    <t>THSAFETY</t>
  </si>
  <si>
    <t>{Th} safety information</t>
  </si>
  <si>
    <t>THSTOLEN</t>
  </si>
  <si>
    <t>{Th} stolen notification</t>
  </si>
  <si>
    <t>THPROFORMA</t>
  </si>
  <si>
    <t>{Th} pro-forma invoice</t>
  </si>
  <si>
    <t>THTASKLIST</t>
  </si>
  <si>
    <t>{Th} workshop task list</t>
  </si>
  <si>
    <t>THATTACHMENT</t>
  </si>
  <si>
    <t>{Th} attachments</t>
  </si>
  <si>
    <t>THRETURN</t>
  </si>
  <si>
    <t>{Th} return to supplier</t>
  </si>
  <si>
    <t>Toolhire</t>
  </si>
  <si>
    <t>Sales</t>
  </si>
  <si>
    <t>Purchase</t>
  </si>
  <si>
    <t>Works</t>
  </si>
  <si>
    <t>Delivery</t>
  </si>
  <si>
    <t>ORDERCAT</t>
  </si>
  <si>
    <t>Order category</t>
  </si>
  <si>
    <t>DELMETH</t>
  </si>
  <si>
    <t>Delivery method</t>
  </si>
  <si>
    <t>QUOTECAT</t>
  </si>
  <si>
    <t>Quote category</t>
  </si>
  <si>
    <t>QUOTEDEL</t>
  </si>
  <si>
    <t>Quote delivery methd</t>
  </si>
  <si>
    <t>TILLNUMBER</t>
  </si>
  <si>
    <t>Till number</t>
  </si>
  <si>
    <t>TILLPRINTER</t>
  </si>
  <si>
    <t>Till printer</t>
  </si>
  <si>
    <t>CASH</t>
  </si>
  <si>
    <t>Cash sales</t>
  </si>
  <si>
    <t>Terminal Defaults</t>
  </si>
  <si>
    <t xml:space="preserve">Collect Now </t>
  </si>
  <si>
    <t>Collect Later</t>
  </si>
  <si>
    <t>With auto-drawer</t>
  </si>
  <si>
    <t>Normal cash drawer</t>
  </si>
  <si>
    <t>Raise only</t>
  </si>
  <si>
    <t>Branch Number</t>
  </si>
  <si>
    <t>Branch Name</t>
  </si>
  <si>
    <t>Location</t>
  </si>
  <si>
    <t>Printer</t>
  </si>
  <si>
    <t>Till</t>
  </si>
  <si>
    <t>EFT PED</t>
  </si>
  <si>
    <t>Hostname</t>
  </si>
  <si>
    <t>Default Till</t>
  </si>
  <si>
    <t>Default EFT PED</t>
  </si>
  <si>
    <t>Terminal Type</t>
  </si>
  <si>
    <t>Default Printer</t>
  </si>
  <si>
    <t>Default Quotation Type</t>
  </si>
  <si>
    <t>Pick Notes</t>
  </si>
  <si>
    <t>Customer Sales Documents</t>
  </si>
  <si>
    <t>Purchase Documents</t>
  </si>
  <si>
    <t>Delivery Documents</t>
  </si>
  <si>
    <t>Not Printing</t>
  </si>
  <si>
    <t>Re-map as per existing</t>
  </si>
  <si>
    <t>Sales invoices &amp; credits</t>
  </si>
  <si>
    <t>Default Sales order type</t>
  </si>
  <si>
    <t>Telephone Extension</t>
  </si>
  <si>
    <t>Counter</t>
  </si>
  <si>
    <t>Desk</t>
  </si>
  <si>
    <t>Cash Sales with till?</t>
  </si>
  <si>
    <t>John Brown</t>
  </si>
  <si>
    <t>System User/
Desk Name</t>
  </si>
  <si>
    <t>HOSTNAME</t>
  </si>
  <si>
    <t>Delivered</t>
  </si>
  <si>
    <t>DEFAULT</t>
  </si>
  <si>
    <t>N/A</t>
  </si>
  <si>
    <t>Till No.</t>
  </si>
  <si>
    <t>Available from desktop screen</t>
  </si>
  <si>
    <t>Enter operative name or desk location</t>
  </si>
  <si>
    <t>Printers</t>
  </si>
  <si>
    <t>Cash Drawers /Tills</t>
  </si>
  <si>
    <t>Chip &amp; Pin Devices</t>
  </si>
  <si>
    <t>Hardware Scheduled for this  Branch</t>
  </si>
  <si>
    <t>Instructions</t>
  </si>
  <si>
    <t>PLEASE READ THESE INSTRUCTIONS FIRST BEFORE COMPLETING THIS WORKBOOK</t>
  </si>
  <si>
    <t>So please complete the Branch Input sheet as follows:-</t>
  </si>
  <si>
    <t>Example Only</t>
  </si>
  <si>
    <t>Field</t>
  </si>
  <si>
    <t>Description</t>
  </si>
  <si>
    <t xml:space="preserve">System User/Desk Name </t>
  </si>
  <si>
    <r>
      <t xml:space="preserve">Devices in a public space need to be set to request a logon every time a user starts a sale, this isn’t the case in non-public areas. Select </t>
    </r>
    <r>
      <rPr>
        <b/>
        <i/>
        <sz val="11"/>
        <color theme="1"/>
        <rFont val="Calibri"/>
        <family val="2"/>
        <scheme val="minor"/>
      </rPr>
      <t>Counter</t>
    </r>
    <r>
      <rPr>
        <sz val="11"/>
        <color theme="1"/>
        <rFont val="Calibri"/>
        <family val="2"/>
        <scheme val="minor"/>
      </rPr>
      <t xml:space="preserve"> for any device in a public space or </t>
    </r>
    <r>
      <rPr>
        <b/>
        <i/>
        <sz val="11"/>
        <color theme="1"/>
        <rFont val="Calibri"/>
        <family val="2"/>
        <scheme val="minor"/>
      </rPr>
      <t>Desk</t>
    </r>
    <r>
      <rPr>
        <sz val="11"/>
        <color theme="1"/>
        <rFont val="Calibri"/>
        <family val="2"/>
        <scheme val="minor"/>
      </rPr>
      <t xml:space="preserve"> for any device away from public view. </t>
    </r>
  </si>
  <si>
    <t>Default Sales Order Type</t>
  </si>
  <si>
    <r>
      <t xml:space="preserve">This defines if a new sales order will start as a collect or delivered by default. Usually they are set as collect for counters and delivered for all other locations. Select </t>
    </r>
    <r>
      <rPr>
        <b/>
        <i/>
        <sz val="11"/>
        <color theme="1"/>
        <rFont val="Calibri"/>
        <family val="2"/>
        <scheme val="minor"/>
      </rPr>
      <t>Collect Now</t>
    </r>
    <r>
      <rPr>
        <sz val="11"/>
        <color theme="1"/>
        <rFont val="Calibri"/>
        <family val="2"/>
        <scheme val="minor"/>
      </rPr>
      <t xml:space="preserve">, </t>
    </r>
    <r>
      <rPr>
        <b/>
        <i/>
        <sz val="11"/>
        <color theme="1"/>
        <rFont val="Calibri"/>
        <family val="2"/>
        <scheme val="minor"/>
      </rPr>
      <t>Collect Later</t>
    </r>
    <r>
      <rPr>
        <sz val="11"/>
        <color theme="1"/>
        <rFont val="Calibri"/>
        <family val="2"/>
        <scheme val="minor"/>
      </rPr>
      <t xml:space="preserve"> or </t>
    </r>
    <r>
      <rPr>
        <b/>
        <i/>
        <sz val="11"/>
        <color theme="1"/>
        <rFont val="Calibri"/>
        <family val="2"/>
        <scheme val="minor"/>
      </rPr>
      <t>Delivered</t>
    </r>
  </si>
  <si>
    <r>
      <t xml:space="preserve">The same as Sales Order Types above, but for Quotations. Select </t>
    </r>
    <r>
      <rPr>
        <b/>
        <i/>
        <sz val="11"/>
        <color theme="1"/>
        <rFont val="Calibri"/>
        <family val="2"/>
        <scheme val="minor"/>
      </rPr>
      <t>Collect Now</t>
    </r>
    <r>
      <rPr>
        <sz val="11"/>
        <color theme="1"/>
        <rFont val="Calibri"/>
        <family val="2"/>
        <scheme val="minor"/>
      </rPr>
      <t xml:space="preserve">, </t>
    </r>
    <r>
      <rPr>
        <b/>
        <i/>
        <sz val="11"/>
        <color theme="1"/>
        <rFont val="Calibri"/>
        <family val="2"/>
        <scheme val="minor"/>
      </rPr>
      <t>Collect Later</t>
    </r>
    <r>
      <rPr>
        <sz val="11"/>
        <color theme="1"/>
        <rFont val="Calibri"/>
        <family val="2"/>
        <scheme val="minor"/>
      </rPr>
      <t xml:space="preserve"> or </t>
    </r>
    <r>
      <rPr>
        <b/>
        <i/>
        <sz val="11"/>
        <color theme="1"/>
        <rFont val="Calibri"/>
        <family val="2"/>
        <scheme val="minor"/>
      </rPr>
      <t>Delivered</t>
    </r>
  </si>
  <si>
    <t>Cash Sales With Till</t>
  </si>
  <si>
    <t>Select which till in the branch the terminal should default to. Any cash sales processed on that terminal will be included in cashing up for that till.</t>
  </si>
  <si>
    <t>Which printer should picking notes be sent to for this terminal. Select the appropriate printer based on the locations you have defined.</t>
  </si>
  <si>
    <t>Which printer should picking notes be sent to for this terminal. Select the appropriate printer based on the locations you have defined</t>
  </si>
  <si>
    <t>To be used for "Click to Dial"</t>
  </si>
  <si>
    <t>See More Details</t>
  </si>
  <si>
    <t>So, for instance all branch devices could DEFAULT to using the chip &amp; Pin device called PED1 for card payments, but you need Jim's to be different because he is in the showroom and closer to PED2. IT cannot capture this centrally and there is no-one better to decide this than the branch themselves.</t>
  </si>
  <si>
    <t>Whose desk does this terminal sit on or where in the branch is it if it used by several people. Enter the Users Name or the branch location (Counter Left or Transport Office for instance).</t>
  </si>
  <si>
    <t>Which Chip &amp; Pin device should this terminal use by default? Select the appropriate PED number based on the locations you have defined.</t>
  </si>
  <si>
    <t>Different documents can be set to print on different printers depending on their document type. Laser printers are not preloaded with multi part paper and as such any print can be sent to any printer. The default printer is usually the reports printer but can be defined differently by terminal, particularly relevant for separate offices or floors. Select the appropriate printer based on the locations you have defined.</t>
  </si>
  <si>
    <t>Which printer should customer sales documents (advice notes, cash invoices etc.…) be sent to for this terminal. Select the appropriate printer based on the locations you have defined.</t>
  </si>
  <si>
    <t>Which printer should delivery documents (despatch notes, delivery manifests etc.…)  be sent to for this terminal. Select the appropriate printer based on the locations you have defined</t>
  </si>
  <si>
    <r>
      <rPr>
        <b/>
        <sz val="12"/>
        <color theme="1"/>
        <rFont val="Calibri"/>
        <family val="2"/>
        <scheme val="minor"/>
      </rPr>
      <t xml:space="preserve">2 - </t>
    </r>
    <r>
      <rPr>
        <sz val="12"/>
        <color theme="1"/>
        <rFont val="Calibri"/>
        <family val="2"/>
        <scheme val="minor"/>
      </rPr>
      <t>Please define the DEFAULT record you want in your branch by completing the DEFAULT row (row 16 on the sheet). There are 11 different fields that need to be completed for the DEFAULT settings Each field represents a different individual setting and each of these is explained in the "More Details" sheet in this workbook.</t>
    </r>
  </si>
  <si>
    <r>
      <rPr>
        <b/>
        <sz val="12"/>
        <color theme="1"/>
        <rFont val="Calibri"/>
        <family val="2"/>
        <scheme val="minor"/>
      </rPr>
      <t xml:space="preserve">3 - </t>
    </r>
    <r>
      <rPr>
        <sz val="12"/>
        <color theme="1"/>
        <rFont val="Calibri"/>
        <family val="2"/>
        <scheme val="minor"/>
      </rPr>
      <t>For each terminal in the branch consider if you need anything different from the DEFAULT you have defined, if not then please only complete the green filled boxes for each terminal. If you wish to set any device to be different from the branch DEFAULT then please set all of the fields for that device, even if some are the same as the DEFAULT setings.</t>
    </r>
  </si>
  <si>
    <t>Sheet 2 (Branch Input) shows at the top how many Laser Printers, Cash Drawers (tills) and EFT PED (Chip &amp; Pin machines) your branch will be allocated. In ICON, each branch needs to be setup to default which devices you wish the branch terminals to use as standard, this is called the DEFAULT settings. If we wish, we can then setup specific records for some terminals to use a unique set of devices due to their location in the branch. If a unique setup isn't defined for a terminal it will use the branch DEFAULT settings.</t>
  </si>
  <si>
    <t>The PC's allocated to your branch have already been added to the sheet and can be identified using the field "Host Name". This can be found on the screen of your branch PC's on the main desktop screen at the right hand side in white text. If you discover a device in your branch that is not listed on the sheet please add it and define any settings you need for it that are different to the default record.</t>
  </si>
  <si>
    <t>FLD_HOSTNAME</t>
  </si>
  <si>
    <t>FLD_TERMID</t>
  </si>
  <si>
    <t>FLD_TERMTYPE</t>
  </si>
  <si>
    <t>FLD_DEFSOTYPE</t>
  </si>
  <si>
    <t>FLD_DEFQTTYPE</t>
  </si>
  <si>
    <t>FLD_CASHSALES</t>
  </si>
  <si>
    <t>FLD_DEFTILL</t>
  </si>
  <si>
    <t>FLD_DEFPED</t>
  </si>
  <si>
    <t>FLD_DEFPRINTER</t>
  </si>
  <si>
    <t>FLD_SALES</t>
  </si>
  <si>
    <t>FLD_PICK</t>
  </si>
  <si>
    <t>FLD_PURCH</t>
  </si>
  <si>
    <t>FLD_DELIVERY</t>
  </si>
  <si>
    <t>FLD_MFP</t>
  </si>
  <si>
    <t>xxxxK01</t>
  </si>
  <si>
    <t>xxxxPED01</t>
  </si>
  <si>
    <t>MFP Hostname</t>
  </si>
  <si>
    <t>xxxxCD01</t>
  </si>
  <si>
    <r>
      <t xml:space="preserve">If you have any difficulties in completing this spreadsheet please call </t>
    </r>
    <r>
      <rPr>
        <b/>
        <sz val="13.5"/>
        <color rgb="FFFF0000"/>
        <rFont val="Calibri"/>
        <family val="2"/>
        <scheme val="minor"/>
      </rPr>
      <t xml:space="preserve">01484 439 444 </t>
    </r>
    <r>
      <rPr>
        <b/>
        <sz val="13.5"/>
        <color theme="1"/>
        <rFont val="Calibri"/>
        <family val="2"/>
        <scheme val="minor"/>
      </rPr>
      <t>for assistance.</t>
    </r>
  </si>
  <si>
    <t>DT0123456</t>
  </si>
  <si>
    <t>Wacom device hostname</t>
  </si>
  <si>
    <t>To be used for "Sign on glass"</t>
  </si>
  <si>
    <t>Toolhire Documents</t>
  </si>
  <si>
    <t>FLD_WACOM</t>
  </si>
  <si>
    <t>FLD_TOOLHIRE</t>
  </si>
  <si>
    <r>
      <t xml:space="preserve">Defines if this terminal can take cash and whether a branch till should automatically open. </t>
    </r>
    <r>
      <rPr>
        <b/>
        <i/>
        <sz val="11"/>
        <color theme="1"/>
        <rFont val="Calibri"/>
        <family val="2"/>
        <scheme val="minor"/>
      </rPr>
      <t>Raise Only</t>
    </r>
    <r>
      <rPr>
        <sz val="11"/>
        <color theme="1"/>
        <rFont val="Calibri"/>
        <family val="2"/>
        <scheme val="minor"/>
      </rPr>
      <t xml:space="preserve"> allows for cash sales to be started but they cannot be completed on this terminal, only saved or suspended and completed on another terminal. </t>
    </r>
    <r>
      <rPr>
        <b/>
        <i/>
        <sz val="11"/>
        <color theme="1"/>
        <rFont val="Calibri"/>
        <family val="2"/>
        <scheme val="minor"/>
      </rPr>
      <t>With Auto-Drawer</t>
    </r>
    <r>
      <rPr>
        <sz val="11"/>
        <color theme="1"/>
        <rFont val="Calibri"/>
        <family val="2"/>
        <scheme val="minor"/>
      </rPr>
      <t xml:space="preserve"> is usually used on the counter terminals only and automatically opens that terminals default till. </t>
    </r>
    <r>
      <rPr>
        <b/>
        <i/>
        <sz val="11"/>
        <color theme="1"/>
        <rFont val="Calibri"/>
        <family val="2"/>
        <scheme val="minor"/>
      </rPr>
      <t>Normal Cash Drawer</t>
    </r>
    <r>
      <rPr>
        <sz val="11"/>
        <color theme="1"/>
        <rFont val="Calibri"/>
        <family val="2"/>
        <scheme val="minor"/>
      </rPr>
      <t xml:space="preserve"> allows the sale to be processed but does not open the till, therefore the takings must be placed in the till using the key to open it.</t>
    </r>
  </si>
  <si>
    <t>Wacom Device Hostname</t>
  </si>
  <si>
    <t>Wacom devices (signature capture screens) are only connected to a few terminals, however every terminal may need to capture a customers signature at some point. Please identify the hostname of the PC that has a wacom connected which you wish to use to capture a signature. If the PC has a wacom device connected to it please put it's own hostname in the field.</t>
  </si>
  <si>
    <r>
      <rPr>
        <b/>
        <sz val="12"/>
        <color theme="1"/>
        <rFont val="Calibri"/>
        <family val="2"/>
        <scheme val="minor"/>
      </rPr>
      <t xml:space="preserve">1 - </t>
    </r>
    <r>
      <rPr>
        <sz val="12"/>
        <color theme="1"/>
        <rFont val="Calibri"/>
        <family val="2"/>
        <scheme val="minor"/>
      </rPr>
      <t>Firstly, please complete the fields in the upper section of the form next to each of the devices listed (Printers, Tills and PED's) to say where they are in the branch. In the main these will be thier existing locations due to the power and cabling required, "Counter Left" etc.. But you can chose the location they are referred to on the ICON system. Pr01 will always be the Branch Reports printer in every branch and is already filled in on the sheet. Toolhire branches must always have till1 as toolhire and not the branch as these already exist on ICON.</t>
    </r>
  </si>
  <si>
    <r>
      <t xml:space="preserve">This spreadsheet is used to set some of the ICON branch settings that are specific to your branch on the system. Please can you fill in the Branch Input sheet in this workbook and click on the Submit button on the Branch input sheet to email it to Trading Systems Support. </t>
    </r>
    <r>
      <rPr>
        <b/>
        <sz val="18"/>
        <color theme="1"/>
        <rFont val="Calibri"/>
        <family val="2"/>
        <scheme val="minor"/>
      </rPr>
      <t>Please do not email this yourself, always use the Submit button</t>
    </r>
  </si>
  <si>
    <t>Once you are happy that this sheet has been filled out as required, please click on the Validate and Email button to the left of this box. This will check that the form has the necessary information and will email it to the Conversion Team for you. Please correct any issues that pop up and retry if necessary. A copy of your submitted sheet can be found in the sent items folder in your mailbox.</t>
  </si>
  <si>
    <t>xxxx</t>
  </si>
  <si>
    <t>xxxx Jewson xxxx</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</si>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</sst>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11"/>
      <name val="Calibri"/>
      <family val="2"/>
      <scheme val="minor"/>
    </font>
    <font>
      <sz val="8"/>
      <color theme="0"/>
      <name val="Calibri"/>
      <family val="2"/>
      <scheme val="minor"/>
    </font>
    <font>
      <b/>
      <sz val="8"/>
      <color theme="0"/>
      <name val="Calibri"/>
      <family val="2"/>
      <scheme val="minor"/>
    </font>
    <font>
      <sz val="11"/>
      <color rgb="FFFF0000"/>
      <name val="Calibri"/>
      <family val="2"/>
      <scheme val="minor"/>
    </font>
    <font>
      <b/>
      <sz val="12"/>
      <color theme="1"/>
      <name val="Calibri"/>
      <family val="2"/>
      <scheme val="minor"/>
    </font>
    <font>
      <b/>
      <sz val="14"/>
      <color theme="1"/>
      <name val="Calibri"/>
      <family val="2"/>
      <scheme val="minor"/>
    </font>
    <font>
      <sz val="10"/>
      <name val="Calibri"/>
      <family val="2"/>
      <scheme val="minor"/>
    </font>
    <font>
      <sz val="10"/>
      <color theme="1"/>
      <name val="Calibri"/>
      <family val="2"/>
      <scheme val="minor"/>
    </font>
    <font>
      <b/>
      <i/>
      <sz val="11"/>
      <color theme="1"/>
      <name val="Calibri"/>
      <family val="2"/>
      <scheme val="minor"/>
    </font>
    <font>
      <b/>
      <sz val="11"/>
      <color rgb="FFFF0000"/>
      <name val="Calibri"/>
      <family val="2"/>
      <scheme val="minor"/>
    </font>
    <font>
      <sz val="12"/>
      <color theme="1"/>
      <name val="Calibri"/>
      <family val="2"/>
      <scheme val="minor"/>
    </font>
    <font>
      <b/>
      <u/>
      <sz val="14"/>
      <color theme="1"/>
      <name val="Calibri"/>
      <family val="2"/>
      <scheme val="minor"/>
    </font>
    <font>
      <b/>
      <sz val="13.5"/>
      <color theme="1"/>
      <name val="Calibri"/>
      <family val="2"/>
      <scheme val="minor"/>
    </font>
    <font>
      <b/>
      <sz val="13.5"/>
      <color rgb="FFFF0000"/>
      <name val="Calibri"/>
      <family val="2"/>
      <scheme val="minor"/>
    </font>
    <font>
      <sz val="11"/>
      <color rgb="FF000000"/>
      <name val="Calibri"/>
      <family val="2"/>
    </font>
    <font>
      <b/>
      <sz val="18"/>
      <color theme="1"/>
      <name val="Calibri"/>
      <family val="2"/>
      <scheme val="minor"/>
    </font>
    <font>
      <b/>
      <sz val="12"/>
      <color theme="1"/>
      <name val="Calibri Light"/>
      <family val="2"/>
    </font>
  </fonts>
  <fills count="13">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rgb="FF92D050"/>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00B0F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theme="1"/>
      </left>
      <right style="thin">
        <color theme="1"/>
      </right>
      <top style="thin">
        <color theme="1"/>
      </top>
      <bottom/>
      <diagonal/>
    </border>
    <border>
      <left style="thin">
        <color theme="1"/>
      </left>
      <right style="thin">
        <color theme="1"/>
      </right>
      <top style="thin">
        <color theme="1"/>
      </top>
      <bottom style="thin">
        <color theme="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1"/>
      </left>
      <right style="thin">
        <color indexed="64"/>
      </right>
      <top style="thin">
        <color theme="1"/>
      </top>
      <bottom style="thin">
        <color theme="1"/>
      </bottom>
      <diagonal/>
    </border>
    <border>
      <left style="thin">
        <color theme="1"/>
      </left>
      <right style="thin">
        <color indexed="64"/>
      </right>
      <top/>
      <bottom style="thin">
        <color theme="1"/>
      </bottom>
      <diagonal/>
    </border>
    <border>
      <left style="thin">
        <color theme="1"/>
      </left>
      <right style="thin">
        <color indexed="64"/>
      </right>
      <top style="thin">
        <color theme="1"/>
      </top>
      <bottom/>
      <diagonal/>
    </border>
    <border>
      <left style="thin">
        <color theme="1"/>
      </left>
      <right/>
      <top style="thin">
        <color theme="1"/>
      </top>
      <bottom/>
      <diagonal/>
    </border>
    <border>
      <left style="thin">
        <color theme="1"/>
      </left>
      <right/>
      <top style="thin">
        <color theme="1"/>
      </top>
      <bottom style="thin">
        <color theme="1"/>
      </bottom>
      <diagonal/>
    </border>
    <border>
      <left style="double">
        <color rgb="FFFF0000"/>
      </left>
      <right/>
      <top style="double">
        <color rgb="FFFF0000"/>
      </top>
      <bottom/>
      <diagonal/>
    </border>
    <border>
      <left/>
      <right/>
      <top style="double">
        <color rgb="FFFF0000"/>
      </top>
      <bottom/>
      <diagonal/>
    </border>
    <border>
      <left/>
      <right style="double">
        <color rgb="FFFF0000"/>
      </right>
      <top style="double">
        <color rgb="FFFF0000"/>
      </top>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s>
  <cellStyleXfs count="1">
    <xf numFmtId="0" fontId="0" fillId="0" borderId="0"/>
  </cellStyleXfs>
  <cellXfs count="97">
    <xf numFmtId="0" fontId="0" fillId="0" borderId="0" xfId="0"/>
    <xf numFmtId="0" fontId="2" fillId="0" borderId="0" xfId="0" applyFont="1"/>
    <xf numFmtId="0" fontId="0" fillId="0" borderId="0" xfId="0" applyFill="1"/>
    <xf numFmtId="0" fontId="2" fillId="0" borderId="0" xfId="0" applyFont="1" applyFill="1"/>
    <xf numFmtId="0" fontId="0" fillId="0" borderId="1" xfId="0" applyBorder="1"/>
    <xf numFmtId="0" fontId="0" fillId="8" borderId="1" xfId="0" applyFill="1" applyBorder="1"/>
    <xf numFmtId="0" fontId="0" fillId="2" borderId="1" xfId="0" applyFill="1" applyBorder="1"/>
    <xf numFmtId="0" fontId="0" fillId="4" borderId="1" xfId="0" applyFill="1" applyBorder="1"/>
    <xf numFmtId="0" fontId="0" fillId="6" borderId="1" xfId="0" applyFill="1" applyBorder="1"/>
    <xf numFmtId="0" fontId="0" fillId="5" borderId="1" xfId="0" applyFill="1" applyBorder="1"/>
    <xf numFmtId="0" fontId="0" fillId="0" borderId="0" xfId="0" applyAlignment="1">
      <alignment vertical="center"/>
    </xf>
    <xf numFmtId="0" fontId="0" fillId="0" borderId="1" xfId="0" applyFill="1" applyBorder="1" applyAlignment="1" applyProtection="1">
      <alignment horizontal="center" vertical="center" wrapText="1"/>
      <protection locked="0"/>
    </xf>
    <xf numFmtId="0" fontId="0" fillId="0" borderId="1" xfId="0" applyFill="1" applyBorder="1" applyAlignment="1" applyProtection="1">
      <alignment horizontal="center" vertical="center"/>
      <protection locked="0"/>
    </xf>
    <xf numFmtId="0" fontId="0" fillId="0" borderId="11" xfId="0" applyFill="1" applyBorder="1" applyAlignment="1" applyProtection="1">
      <alignment horizontal="center" vertical="center"/>
      <protection locked="0"/>
    </xf>
    <xf numFmtId="0" fontId="1" fillId="9" borderId="11" xfId="0" applyFont="1" applyFill="1" applyBorder="1" applyAlignment="1" applyProtection="1">
      <alignment horizontal="center" vertical="center"/>
    </xf>
    <xf numFmtId="0" fontId="1" fillId="9" borderId="12" xfId="0" applyFont="1" applyFill="1" applyBorder="1" applyAlignment="1" applyProtection="1">
      <alignment horizontal="center" vertical="center"/>
    </xf>
    <xf numFmtId="0" fontId="2" fillId="9" borderId="12" xfId="0" applyFont="1" applyFill="1" applyBorder="1" applyAlignment="1" applyProtection="1">
      <alignment horizontal="center" vertical="center"/>
    </xf>
    <xf numFmtId="0" fontId="3" fillId="3" borderId="8" xfId="0" applyFont="1" applyFill="1" applyBorder="1" applyAlignment="1" applyProtection="1">
      <alignment horizontal="center" vertical="center" wrapText="1"/>
    </xf>
    <xf numFmtId="0" fontId="3" fillId="3" borderId="12" xfId="0" applyFont="1" applyFill="1" applyBorder="1" applyAlignment="1" applyProtection="1">
      <alignment horizontal="center" vertical="center" textRotation="90" wrapText="1"/>
    </xf>
    <xf numFmtId="0" fontId="3" fillId="3" borderId="7" xfId="0" applyFont="1" applyFill="1" applyBorder="1" applyAlignment="1" applyProtection="1">
      <alignment horizontal="center" vertical="center" textRotation="90" wrapText="1"/>
    </xf>
    <xf numFmtId="0" fontId="0" fillId="7" borderId="0" xfId="0" applyFill="1" applyAlignment="1" applyProtection="1">
      <alignment horizontal="center" vertical="center"/>
      <protection locked="0"/>
    </xf>
    <xf numFmtId="0" fontId="0" fillId="7" borderId="0" xfId="0" applyFill="1" applyBorder="1" applyAlignment="1" applyProtection="1">
      <alignment horizontal="center" vertical="center"/>
      <protection locked="0"/>
    </xf>
    <xf numFmtId="0" fontId="0" fillId="7" borderId="0" xfId="0" applyFill="1" applyAlignment="1" applyProtection="1">
      <alignment horizontal="center" vertical="center" wrapText="1"/>
      <protection locked="0"/>
    </xf>
    <xf numFmtId="0" fontId="0" fillId="7" borderId="0" xfId="0" applyFont="1" applyFill="1" applyAlignment="1" applyProtection="1">
      <alignment horizontal="center" vertical="center" wrapText="1"/>
      <protection locked="0"/>
    </xf>
    <xf numFmtId="0" fontId="2" fillId="7" borderId="0" xfId="0" applyFont="1" applyFill="1" applyAlignment="1" applyProtection="1">
      <alignment horizontal="center" vertical="center"/>
      <protection locked="0"/>
    </xf>
    <xf numFmtId="0" fontId="2" fillId="9" borderId="7"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2" fillId="3" borderId="14"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2" fillId="3" borderId="15" xfId="0" applyFont="1" applyFill="1" applyBorder="1" applyAlignment="1" applyProtection="1">
      <alignment horizontal="center" vertical="center"/>
    </xf>
    <xf numFmtId="0" fontId="5" fillId="10" borderId="1" xfId="0" applyFont="1" applyFill="1" applyBorder="1" applyAlignment="1">
      <alignment vertical="center"/>
    </xf>
    <xf numFmtId="0" fontId="6" fillId="10" borderId="1" xfId="0" applyFont="1" applyFill="1" applyBorder="1" applyAlignment="1" applyProtection="1">
      <alignment horizontal="center" vertical="center"/>
      <protection locked="0"/>
    </xf>
    <xf numFmtId="0" fontId="0" fillId="0" borderId="0" xfId="0" applyAlignment="1">
      <alignment horizontal="left" wrapText="1"/>
    </xf>
    <xf numFmtId="0" fontId="0" fillId="0" borderId="0" xfId="0" applyAlignment="1"/>
    <xf numFmtId="0" fontId="0" fillId="0" borderId="0" xfId="0" applyAlignment="1">
      <alignment horizontal="left" vertical="top" wrapText="1"/>
    </xf>
    <xf numFmtId="0" fontId="2" fillId="3" borderId="16" xfId="0" applyFont="1" applyFill="1" applyBorder="1" applyAlignment="1" applyProtection="1">
      <alignment horizontal="center" vertical="center"/>
    </xf>
    <xf numFmtId="0" fontId="2" fillId="3" borderId="17" xfId="0" applyFont="1" applyFill="1" applyBorder="1" applyAlignment="1" applyProtection="1">
      <alignment horizontal="center" vertical="center"/>
    </xf>
    <xf numFmtId="0" fontId="2" fillId="3" borderId="5" xfId="0" applyFont="1" applyFill="1" applyBorder="1" applyAlignment="1" applyProtection="1">
      <alignment horizontal="center" vertical="center"/>
    </xf>
    <xf numFmtId="0" fontId="2" fillId="0" borderId="0" xfId="0" applyFont="1" applyAlignment="1">
      <alignment horizontal="left" vertical="top"/>
    </xf>
    <xf numFmtId="0" fontId="0" fillId="0" borderId="0" xfId="0" applyAlignment="1">
      <alignment vertical="top" wrapText="1"/>
    </xf>
    <xf numFmtId="0" fontId="0" fillId="3" borderId="0" xfId="0" applyFill="1"/>
    <xf numFmtId="0" fontId="0" fillId="3" borderId="0" xfId="0" applyFill="1" applyAlignment="1">
      <alignment horizontal="left" vertical="top" wrapText="1"/>
    </xf>
    <xf numFmtId="0" fontId="0" fillId="3" borderId="0" xfId="0" applyFill="1" applyAlignment="1">
      <alignment horizontal="left" wrapText="1"/>
    </xf>
    <xf numFmtId="0" fontId="9" fillId="3" borderId="0" xfId="0" applyFont="1" applyFill="1" applyAlignment="1">
      <alignment vertical="center"/>
    </xf>
    <xf numFmtId="0" fontId="11" fillId="3" borderId="10" xfId="0" applyFont="1" applyFill="1" applyBorder="1" applyAlignment="1" applyProtection="1">
      <alignment horizontal="center" vertical="center" wrapText="1"/>
    </xf>
    <xf numFmtId="0" fontId="10" fillId="3" borderId="1" xfId="0" applyFont="1" applyFill="1" applyBorder="1" applyAlignment="1" applyProtection="1">
      <alignment horizontal="center" vertical="center" wrapText="1"/>
    </xf>
    <xf numFmtId="0" fontId="4" fillId="3" borderId="1" xfId="0" applyFont="1" applyFill="1" applyBorder="1" applyAlignment="1" applyProtection="1">
      <alignment horizontal="center" vertical="center" wrapText="1"/>
    </xf>
    <xf numFmtId="0" fontId="7" fillId="0" borderId="11"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9" fillId="0" borderId="0" xfId="0" applyFont="1" applyAlignment="1">
      <alignment horizontal="center" vertical="center"/>
    </xf>
    <xf numFmtId="0" fontId="14" fillId="0" borderId="0" xfId="0" applyFont="1" applyAlignment="1">
      <alignment horizontal="left" vertical="top" wrapText="1"/>
    </xf>
    <xf numFmtId="0" fontId="15" fillId="0" borderId="0" xfId="0" applyFont="1"/>
    <xf numFmtId="0" fontId="15" fillId="0" borderId="0" xfId="0" applyFont="1" applyAlignment="1">
      <alignment horizontal="left"/>
    </xf>
    <xf numFmtId="0" fontId="16" fillId="0" borderId="0" xfId="0" applyFont="1" applyAlignment="1">
      <alignment horizontal="center" vertical="center" wrapText="1"/>
    </xf>
    <xf numFmtId="0" fontId="4" fillId="0" borderId="9" xfId="0" applyFont="1" applyFill="1" applyBorder="1" applyAlignment="1" applyProtection="1">
      <alignment horizontal="center" vertical="center" wrapText="1"/>
      <protection locked="0"/>
    </xf>
    <xf numFmtId="0" fontId="4" fillId="0" borderId="5" xfId="0" applyFont="1" applyFill="1" applyBorder="1" applyAlignment="1" applyProtection="1">
      <alignment horizontal="center" vertical="center" wrapText="1"/>
      <protection locked="0"/>
    </xf>
    <xf numFmtId="0" fontId="4" fillId="0" borderId="11" xfId="0" applyFont="1" applyFill="1" applyBorder="1" applyAlignment="1" applyProtection="1">
      <alignment horizontal="center" vertical="center"/>
      <protection locked="0"/>
    </xf>
    <xf numFmtId="0" fontId="0" fillId="12" borderId="1" xfId="0" applyFill="1" applyBorder="1"/>
    <xf numFmtId="0" fontId="1" fillId="9" borderId="1" xfId="0" applyFont="1" applyFill="1" applyBorder="1" applyAlignment="1">
      <alignment horizontal="center" vertical="center"/>
    </xf>
    <xf numFmtId="0" fontId="7" fillId="0" borderId="1" xfId="0" applyFont="1" applyFill="1" applyBorder="1" applyAlignment="1" applyProtection="1">
      <alignment horizontal="center" vertical="center"/>
      <protection locked="0"/>
    </xf>
    <xf numFmtId="49" fontId="2" fillId="3" borderId="10" xfId="0" applyNumberFormat="1"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wrapText="1"/>
      <protection locked="0"/>
    </xf>
    <xf numFmtId="0" fontId="2" fillId="0" borderId="10" xfId="0" applyFont="1" applyFill="1" applyBorder="1" applyAlignment="1" applyProtection="1">
      <alignment horizontal="center" vertical="center"/>
      <protection locked="0"/>
    </xf>
    <xf numFmtId="0" fontId="2" fillId="3" borderId="15" xfId="0" applyNumberFormat="1" applyFont="1" applyFill="1" applyBorder="1" applyAlignment="1" applyProtection="1">
      <alignment horizontal="center" vertical="center"/>
    </xf>
    <xf numFmtId="0" fontId="13" fillId="3" borderId="10" xfId="0" applyFont="1" applyFill="1" applyBorder="1" applyAlignment="1" applyProtection="1">
      <alignment horizontal="center" vertical="center"/>
    </xf>
    <xf numFmtId="0" fontId="7" fillId="11" borderId="1" xfId="0" applyFont="1" applyFill="1" applyBorder="1" applyAlignment="1" applyProtection="1">
      <alignment horizontal="center" vertical="center" wrapText="1"/>
    </xf>
    <xf numFmtId="0" fontId="7" fillId="3" borderId="1" xfId="0" applyFont="1" applyFill="1" applyBorder="1" applyAlignment="1" applyProtection="1">
      <alignment horizontal="center" vertical="center"/>
    </xf>
    <xf numFmtId="0" fontId="7" fillId="11" borderId="1" xfId="0" applyFont="1" applyFill="1" applyBorder="1" applyAlignment="1" applyProtection="1">
      <alignment horizontal="center" vertical="center"/>
    </xf>
    <xf numFmtId="0" fontId="7" fillId="3" borderId="9" xfId="0" applyFont="1" applyFill="1" applyBorder="1" applyAlignment="1" applyProtection="1">
      <alignment horizontal="center" vertical="center"/>
    </xf>
    <xf numFmtId="0" fontId="7" fillId="0" borderId="1" xfId="0" applyFont="1" applyFill="1" applyBorder="1" applyAlignment="1" applyProtection="1">
      <alignment horizontal="center" vertical="center"/>
    </xf>
    <xf numFmtId="0" fontId="2" fillId="0" borderId="10" xfId="0" applyFont="1" applyFill="1" applyBorder="1" applyAlignment="1" applyProtection="1">
      <alignment horizontal="center" vertical="center"/>
    </xf>
    <xf numFmtId="0" fontId="0" fillId="0" borderId="1" xfId="0" applyFill="1" applyBorder="1" applyAlignment="1" applyProtection="1">
      <alignment horizontal="center" vertical="center"/>
    </xf>
    <xf numFmtId="0" fontId="0" fillId="0" borderId="5" xfId="0" applyFill="1" applyBorder="1" applyAlignment="1" applyProtection="1">
      <alignment horizontal="center" vertical="center" wrapText="1"/>
    </xf>
    <xf numFmtId="0" fontId="4" fillId="0" borderId="1" xfId="0" applyFont="1" applyFill="1" applyBorder="1" applyAlignment="1" applyProtection="1">
      <alignment horizontal="center" vertical="center" wrapText="1"/>
      <protection locked="0"/>
    </xf>
    <xf numFmtId="0" fontId="4" fillId="0" borderId="1" xfId="0" applyFont="1" applyFill="1" applyBorder="1" applyAlignment="1" applyProtection="1">
      <alignment horizontal="center" vertical="center"/>
      <protection locked="0"/>
    </xf>
    <xf numFmtId="49" fontId="2" fillId="0" borderId="1" xfId="0" quotePrefix="1"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wrapText="1"/>
    </xf>
    <xf numFmtId="0" fontId="2" fillId="0" borderId="6" xfId="0" applyFont="1" applyFill="1" applyBorder="1" applyAlignment="1" applyProtection="1">
      <alignment horizontal="center" vertical="center"/>
      <protection locked="0"/>
    </xf>
    <xf numFmtId="0" fontId="4" fillId="0" borderId="11" xfId="0" applyFont="1" applyFill="1" applyBorder="1" applyAlignment="1" applyProtection="1">
      <alignment horizontal="center" vertical="center" wrapText="1"/>
      <protection locked="0"/>
    </xf>
    <xf numFmtId="0" fontId="13" fillId="0" borderId="6" xfId="0" applyFont="1" applyFill="1" applyBorder="1" applyAlignment="1" applyProtection="1">
      <alignment horizontal="center" vertical="center"/>
      <protection locked="0"/>
    </xf>
    <xf numFmtId="0" fontId="7" fillId="0" borderId="11" xfId="0" applyFont="1" applyFill="1" applyBorder="1" applyAlignment="1" applyProtection="1">
      <alignment horizontal="center" vertical="center" wrapText="1"/>
      <protection locked="0"/>
    </xf>
    <xf numFmtId="0" fontId="5" fillId="10" borderId="9" xfId="0" applyFont="1" applyFill="1" applyBorder="1" applyAlignment="1">
      <alignment horizontal="center" vertical="center"/>
    </xf>
    <xf numFmtId="0" fontId="5" fillId="10" borderId="10" xfId="0" applyFont="1" applyFill="1" applyBorder="1" applyAlignment="1">
      <alignment horizontal="center" vertical="center"/>
    </xf>
    <xf numFmtId="0" fontId="2" fillId="3" borderId="1" xfId="0" applyFont="1" applyFill="1" applyBorder="1" applyAlignment="1" applyProtection="1">
      <alignment horizontal="center" vertical="center"/>
      <protection locked="0"/>
    </xf>
    <xf numFmtId="0" fontId="20" fillId="0" borderId="18" xfId="0" applyFont="1" applyFill="1" applyBorder="1" applyAlignment="1" applyProtection="1">
      <alignment horizontal="center" vertical="center" wrapText="1"/>
    </xf>
    <xf numFmtId="0" fontId="20" fillId="0" borderId="19" xfId="0" applyFont="1" applyFill="1" applyBorder="1" applyAlignment="1" applyProtection="1">
      <alignment horizontal="center" vertical="center" wrapText="1"/>
    </xf>
    <xf numFmtId="0" fontId="20" fillId="0" borderId="20" xfId="0" applyFont="1" applyFill="1" applyBorder="1" applyAlignment="1" applyProtection="1">
      <alignment horizontal="center" vertical="center" wrapText="1"/>
    </xf>
    <xf numFmtId="0" fontId="20" fillId="0" borderId="21" xfId="0" applyFont="1" applyFill="1" applyBorder="1" applyAlignment="1" applyProtection="1">
      <alignment horizontal="center" vertical="center" wrapText="1"/>
    </xf>
    <xf numFmtId="0" fontId="20" fillId="0" borderId="0" xfId="0" applyFont="1" applyFill="1" applyBorder="1" applyAlignment="1" applyProtection="1">
      <alignment horizontal="center" vertical="center" wrapText="1"/>
    </xf>
    <xf numFmtId="0" fontId="20" fillId="0" borderId="22" xfId="0" applyFont="1" applyFill="1" applyBorder="1" applyAlignment="1" applyProtection="1">
      <alignment horizontal="center" vertical="center" wrapText="1"/>
    </xf>
    <xf numFmtId="0" fontId="20" fillId="0" borderId="23" xfId="0" applyFont="1" applyFill="1" applyBorder="1" applyAlignment="1" applyProtection="1">
      <alignment horizontal="center" vertical="center" wrapText="1"/>
    </xf>
    <xf numFmtId="0" fontId="20" fillId="0" borderId="24" xfId="0" applyFont="1" applyFill="1" applyBorder="1" applyAlignment="1" applyProtection="1">
      <alignment horizontal="center" vertical="center" wrapText="1"/>
    </xf>
    <xf numFmtId="0" fontId="20" fillId="0" borderId="25" xfId="0" applyFont="1" applyFill="1" applyBorder="1" applyAlignment="1" applyProtection="1">
      <alignment horizontal="center" vertical="center" wrapText="1"/>
    </xf>
    <xf numFmtId="0" fontId="0" fillId="0" borderId="2" xfId="0" applyBorder="1" applyAlignment="1">
      <alignment horizontal="center" vertical="center" wrapText="1"/>
    </xf>
    <xf numFmtId="0" fontId="0" fillId="0" borderId="2" xfId="0" applyBorder="1" applyAlignment="1">
      <alignment horizontal="center" vertical="center"/>
    </xf>
  </cellXfs>
  <cellStyles count="1">
    <cellStyle name="Normal" xfId="0" builtinId="0"/>
  </cellStyles>
  <dxfs count="42">
    <dxf>
      <alignment horizontal="general" vertical="bottom" textRotation="0" wrapText="1" indent="0" justifyLastLine="0" shrinkToFit="0" readingOrder="0"/>
    </dxf>
    <dxf>
      <font>
        <b/>
      </font>
      <alignment horizontal="left" vertical="top"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center" vertical="center" textRotation="90" wrapText="1"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indent="0" justifyLastLine="0" shrinkToFit="0" readingOrder="0"/>
      <border diagonalUp="0" diagonalDown="0">
        <left style="thin">
          <color theme="1"/>
        </left>
        <right style="thin">
          <color indexed="64"/>
        </right>
        <top style="thin">
          <color theme="1"/>
        </top>
        <bottom style="thin">
          <color theme="1"/>
        </bottom>
      </border>
      <protection locked="1" hidden="0"/>
    </dxf>
    <dxf>
      <border outline="0">
        <right style="thin">
          <color indexed="64"/>
        </right>
        <top style="thin">
          <color indexed="64"/>
        </top>
        <bottom style="thin">
          <color indexed="64"/>
        </bottom>
      </border>
    </dxf>
    <dxf>
      <alignment horizontal="center" vertical="center"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1"/>
        </patternFill>
      </fill>
      <alignment horizontal="center" vertical="center" indent="0" justifyLastLine="0" shrinkToFit="0" readingOrder="0"/>
      <border diagonalUp="0" diagonalDown="0">
        <left style="thin">
          <color indexed="64"/>
        </left>
        <right style="thin">
          <color indexed="64"/>
        </right>
        <top/>
        <bottom/>
      </border>
      <protection locked="0" hidden="0"/>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0" formatCode="General"/>
      <fill>
        <patternFill patternType="solid">
          <fgColor indexed="64"/>
          <bgColor theme="0" tint="-4.9989318521683403E-2"/>
        </patternFill>
      </fill>
      <alignment horizontal="center" vertical="center" indent="0" justifyLastLine="0" shrinkToFit="0" readingOrder="0"/>
      <border diagonalUp="0" diagonalDown="0">
        <left style="thin">
          <color theme="1"/>
        </left>
        <right style="thin">
          <color indexed="64"/>
        </right>
        <top style="thin">
          <color theme="1"/>
        </top>
        <bottom style="thin">
          <color theme="1"/>
        </bottom>
      </border>
      <protection locked="1" hidden="0"/>
    </dxf>
    <dxf>
      <border outline="0">
        <right style="thin">
          <color indexed="64"/>
        </right>
        <top style="thin">
          <color indexed="64"/>
        </top>
        <bottom style="thin">
          <color indexed="64"/>
        </bottom>
      </border>
    </dxf>
    <dxf>
      <alignment horizontal="center" vertical="center"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1"/>
        </patternFill>
      </fill>
      <alignment horizontal="center" vertical="center"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sz val="11"/>
        <color auto="1"/>
        <name val="Calibri"/>
        <scheme val="minor"/>
      </font>
      <fill>
        <patternFill patternType="none">
          <fgColor indexed="64"/>
          <bgColor auto="1"/>
        </patternFill>
      </fill>
      <alignment horizontal="center" vertical="center" indent="0" justifyLastLine="0" shrinkToFit="0" readingOrder="0"/>
      <border diagonalUp="0" diagonalDown="0">
        <left style="thin">
          <color indexed="64"/>
        </left>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indent="0" justifyLastLine="0" shrinkToFit="0" readingOrder="0"/>
      <border diagonalUp="0" diagonalDown="0">
        <left style="thin">
          <color theme="1"/>
        </left>
        <right style="thin">
          <color indexed="64"/>
        </right>
        <top style="thin">
          <color theme="1"/>
        </top>
        <bottom style="thin">
          <color theme="1"/>
        </bottom>
      </border>
      <protection locked="1"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indent="0" justifyLastLine="0" shrinkToFit="0" readingOrder="0"/>
      <border diagonalUp="0" diagonalDown="0">
        <left style="thin">
          <color theme="1"/>
        </left>
        <right style="thin">
          <color indexed="64"/>
        </right>
        <top style="thin">
          <color theme="1"/>
        </top>
        <bottom style="thin">
          <color theme="1"/>
        </bottom>
      </border>
      <protection locked="1" hidden="0"/>
    </dxf>
    <dxf>
      <border outline="0">
        <right style="thin">
          <color indexed="64"/>
        </right>
        <top style="thin">
          <color indexed="64"/>
        </top>
        <bottom style="thin">
          <color indexed="64"/>
        </bottom>
      </border>
    </dxf>
    <dxf>
      <alignment horizontal="center" vertical="center"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1"/>
        </patternFill>
      </fill>
      <alignment horizontal="center" vertical="center"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xdr:row>
          <xdr:rowOff>66675</xdr:rowOff>
        </xdr:from>
        <xdr:to>
          <xdr:col>10</xdr:col>
          <xdr:colOff>1047750</xdr:colOff>
          <xdr:row>4</xdr:row>
          <xdr:rowOff>171450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and Email</a:t>
              </a:r>
            </a:p>
          </xdr:txBody>
        </xdr:sp>
        <xdr:clientData fPrintsWithSheet="0"/>
      </xdr:twoCellAnchor>
    </mc:Choice>
    <mc:Fallback/>
  </mc:AlternateContent>
</xdr:wsDr>
</file>

<file path=xl/tables/table1.xml><?xml version="1.0" encoding="utf-8"?>
<table xmlns="http://schemas.openxmlformats.org/spreadsheetml/2006/main" id="4" name="Table4" displayName="Table4" ref="F7:H11" totalsRowShown="0" headerRowDxfId="41" dataDxfId="39" headerRowBorderDxfId="40" tableBorderDxfId="38">
  <tableColumns count="3">
    <tableColumn id="3" name="Till No." dataDxfId="37"/>
    <tableColumn id="1" name="Till" dataDxfId="36"/>
    <tableColumn id="2" name="Location" dataDxfId="35"/>
  </tableColumns>
  <tableStyleInfo name="TableStyleLight8" showFirstColumn="0" showLastColumn="0" showRowStripes="1" showColumnStripes="0"/>
</table>
</file>

<file path=xl/tables/table2.xml><?xml version="1.0" encoding="utf-8"?>
<table xmlns="http://schemas.openxmlformats.org/spreadsheetml/2006/main" id="5" name="Table5" displayName="Table5" ref="B6:C13" totalsRowShown="0" headerRowDxfId="34" dataDxfId="32" headerRowBorderDxfId="33" tableBorderDxfId="31">
  <tableColumns count="2">
    <tableColumn id="1" name="Printer" dataDxfId="30"/>
    <tableColumn id="2" name="Location" dataDxfId="29"/>
  </tableColumns>
  <tableStyleInfo name="TableStyleLight8" showFirstColumn="0" showLastColumn="0" showRowStripes="1" showColumnStripes="0"/>
</table>
</file>

<file path=xl/tables/table3.xml><?xml version="1.0" encoding="utf-8"?>
<table xmlns="http://schemas.openxmlformats.org/spreadsheetml/2006/main" id="6" name="Table6" displayName="Table6" ref="J7:K13" totalsRowShown="0" headerRowDxfId="28" dataDxfId="26" headerRowBorderDxfId="27" tableBorderDxfId="25">
  <tableColumns count="2">
    <tableColumn id="1" name="EFT PED" dataDxfId="24"/>
    <tableColumn id="2" name="Location" dataDxfId="23"/>
  </tableColumns>
  <tableStyleInfo name="TableStyleLight8" showFirstColumn="0" showLastColumn="0" showRowStripes="1" showColumnStripes="0"/>
</table>
</file>

<file path=xl/tables/table4.xml><?xml version="1.0" encoding="utf-8"?>
<table xmlns="http://schemas.openxmlformats.org/spreadsheetml/2006/main" id="8" name="Table8" displayName="Table8" ref="B15:Q38" totalsRowShown="0" headerRowDxfId="22" dataDxfId="20" headerRowBorderDxfId="21" tableBorderDxfId="19" totalsRowBorderDxfId="18">
  <tableColumns count="16">
    <tableColumn id="1" name="Hostname" dataDxfId="17"/>
    <tableColumn id="2" name="System User/_x000a_Desk Name" dataDxfId="16"/>
    <tableColumn id="3" name="Telephone Extension" dataDxfId="15"/>
    <tableColumn id="15" name="Wacom device hostname" dataDxfId="14"/>
    <tableColumn id="4" name="Terminal Type" dataDxfId="13"/>
    <tableColumn id="5" name="Default Sales order type" dataDxfId="12"/>
    <tableColumn id="6" name="Default Quotation Type" dataDxfId="11"/>
    <tableColumn id="7" name="Cash Sales with till?" dataDxfId="10"/>
    <tableColumn id="8" name="Default Till" dataDxfId="9"/>
    <tableColumn id="9" name="Default EFT PED" dataDxfId="8"/>
    <tableColumn id="10" name="Default Printer" dataDxfId="7"/>
    <tableColumn id="11" name="Customer Sales Documents" dataDxfId="6"/>
    <tableColumn id="12" name="Pick Notes" dataDxfId="5"/>
    <tableColumn id="13" name="Purchase Documents" dataDxfId="4"/>
    <tableColumn id="14" name="Delivery Documents" dataDxfId="3"/>
    <tableColumn id="16" name="Toolhire Documents" dataDxfId="2"/>
  </tableColumns>
  <tableStyleInfo name="TableStyleLight8" showFirstColumn="0" showLastColumn="0" showRowStripes="1" showColumnStripes="0"/>
</table>
</file>

<file path=xl/tables/table5.xml><?xml version="1.0" encoding="utf-8"?>
<table xmlns="http://schemas.openxmlformats.org/spreadsheetml/2006/main" id="1" name="Table1" displayName="Table1" ref="A1:B14" totalsRowShown="0">
  <tableColumns count="2">
    <tableColumn id="1" name="Field" dataDxfId="1"/>
    <tableColumn id="2"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A21"/>
  <sheetViews>
    <sheetView workbookViewId="0"/>
  </sheetViews>
  <sheetFormatPr defaultRowHeight="15" x14ac:dyDescent="0.25"/>
  <cols>
    <col min="1" max="1" width="117.28515625" customWidth="1"/>
    <col min="2" max="2" width="107.85546875" customWidth="1"/>
    <col min="3" max="13" width="124.7109375" customWidth="1"/>
  </cols>
  <sheetData>
    <row r="1" spans="1:1" ht="18.75" x14ac:dyDescent="0.25">
      <c r="A1" s="51" t="s">
        <v>156</v>
      </c>
    </row>
    <row r="2" spans="1:1" ht="18.75" x14ac:dyDescent="0.25">
      <c r="A2" s="45"/>
    </row>
    <row r="3" spans="1:1" ht="53.25" x14ac:dyDescent="0.35">
      <c r="A3" s="34" t="s">
        <v>211</v>
      </c>
    </row>
    <row r="4" spans="1:1" x14ac:dyDescent="0.25">
      <c r="A4" s="42"/>
    </row>
    <row r="5" spans="1:1" ht="18.75" x14ac:dyDescent="0.3">
      <c r="A5" s="53" t="s">
        <v>155</v>
      </c>
    </row>
    <row r="6" spans="1:1" ht="75" x14ac:dyDescent="0.25">
      <c r="A6" s="34" t="s">
        <v>180</v>
      </c>
    </row>
    <row r="7" spans="1:1" x14ac:dyDescent="0.25">
      <c r="A7" s="42"/>
    </row>
    <row r="8" spans="1:1" ht="45" x14ac:dyDescent="0.25">
      <c r="A8" s="34" t="s">
        <v>172</v>
      </c>
    </row>
    <row r="9" spans="1:1" x14ac:dyDescent="0.25">
      <c r="A9" s="44"/>
    </row>
    <row r="10" spans="1:1" ht="63" customHeight="1" x14ac:dyDescent="0.25">
      <c r="A10" s="34" t="s">
        <v>181</v>
      </c>
    </row>
    <row r="11" spans="1:1" x14ac:dyDescent="0.25">
      <c r="A11" s="42"/>
    </row>
    <row r="12" spans="1:1" ht="18.75" x14ac:dyDescent="0.3">
      <c r="A12" s="54" t="s">
        <v>157</v>
      </c>
    </row>
    <row r="13" spans="1:1" ht="78.75" x14ac:dyDescent="0.25">
      <c r="A13" s="52" t="s">
        <v>210</v>
      </c>
    </row>
    <row r="14" spans="1:1" x14ac:dyDescent="0.25">
      <c r="A14" s="42"/>
    </row>
    <row r="15" spans="1:1" s="35" customFormat="1" ht="47.25" x14ac:dyDescent="0.25">
      <c r="A15" s="52" t="s">
        <v>178</v>
      </c>
    </row>
    <row r="16" spans="1:1" s="35" customFormat="1" x14ac:dyDescent="0.25">
      <c r="A16" s="43"/>
    </row>
    <row r="17" spans="1:1" s="35" customFormat="1" ht="47.25" x14ac:dyDescent="0.25">
      <c r="A17" s="52" t="s">
        <v>179</v>
      </c>
    </row>
    <row r="18" spans="1:1" s="35" customFormat="1" x14ac:dyDescent="0.25">
      <c r="A18" s="43"/>
    </row>
    <row r="19" spans="1:1" s="35" customFormat="1" ht="18" x14ac:dyDescent="0.25">
      <c r="A19" s="55" t="s">
        <v>200</v>
      </c>
    </row>
    <row r="20" spans="1:1" x14ac:dyDescent="0.25">
      <c r="A20" s="42"/>
    </row>
    <row r="21" spans="1:1" ht="45" customHeight="1" x14ac:dyDescent="0.25"/>
  </sheetData>
  <sheetProtection password="CA41" sheet="1" objects="1" scenario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pageSetUpPr fitToPage="1"/>
  </sheetPr>
  <dimension ref="B1:Q38"/>
  <sheetViews>
    <sheetView tabSelected="1" workbookViewId="0">
      <selection activeCell="B1" sqref="B1"/>
    </sheetView>
  </sheetViews>
  <sheetFormatPr defaultRowHeight="15" x14ac:dyDescent="0.25"/>
  <cols>
    <col min="1" max="1" width="1.42578125" style="20" customWidth="1"/>
    <col min="2" max="2" width="19.42578125" style="24" bestFit="1" customWidth="1"/>
    <col min="3" max="3" width="20" style="20" bestFit="1" customWidth="1"/>
    <col min="4" max="4" width="13.7109375" style="20" bestFit="1" customWidth="1"/>
    <col min="5" max="5" width="10.28515625" style="20" bestFit="1" customWidth="1"/>
    <col min="6" max="6" width="9.42578125" style="20" bestFit="1" customWidth="1"/>
    <col min="7" max="8" width="16.140625" style="21" bestFit="1" customWidth="1"/>
    <col min="9" max="9" width="16.85546875" style="20" bestFit="1" customWidth="1"/>
    <col min="10" max="11" width="16.140625" style="20" bestFit="1" customWidth="1"/>
    <col min="12" max="16" width="8.140625" style="20" bestFit="1" customWidth="1"/>
    <col min="17" max="17" width="9.42578125" style="20" bestFit="1" customWidth="1"/>
    <col min="18" max="18" width="10.7109375" style="20" bestFit="1" customWidth="1"/>
    <col min="19" max="19" width="9.140625" style="20"/>
    <col min="20" max="20" width="6" style="20" bestFit="1" customWidth="1"/>
    <col min="21" max="21" width="10.7109375" style="20" bestFit="1" customWidth="1"/>
    <col min="22" max="22" width="9.140625" style="20"/>
    <col min="23" max="23" width="10.140625" style="20" bestFit="1" customWidth="1"/>
    <col min="24" max="24" width="10.7109375" style="20" bestFit="1" customWidth="1"/>
    <col min="25" max="16384" width="9.140625" style="20"/>
  </cols>
  <sheetData>
    <row r="1" spans="2:17" ht="8.25" customHeight="1" thickBot="1" x14ac:dyDescent="0.3"/>
    <row r="2" spans="2:17" ht="15.75" customHeight="1" thickTop="1" x14ac:dyDescent="0.25">
      <c r="B2" s="14" t="s">
        <v>118</v>
      </c>
      <c r="C2" s="77" t="s">
        <v>213</v>
      </c>
      <c r="D2" s="14" t="s">
        <v>93</v>
      </c>
      <c r="E2" s="62" t="s">
        <v>215</v>
      </c>
      <c r="G2" s="83" t="s">
        <v>154</v>
      </c>
      <c r="H2" s="84"/>
      <c r="M2" s="86" t="s">
        <v>212</v>
      </c>
      <c r="N2" s="87"/>
      <c r="O2" s="87"/>
      <c r="P2" s="87"/>
      <c r="Q2" s="88"/>
    </row>
    <row r="3" spans="2:17" x14ac:dyDescent="0.25">
      <c r="B3" s="15" t="s">
        <v>119</v>
      </c>
      <c r="C3" s="85" t="s">
        <v>214</v>
      </c>
      <c r="D3" s="85"/>
      <c r="E3" s="85"/>
      <c r="G3" s="32" t="s">
        <v>151</v>
      </c>
      <c r="H3" s="33">
        <v>1</v>
      </c>
      <c r="M3" s="89"/>
      <c r="N3" s="90"/>
      <c r="O3" s="90"/>
      <c r="P3" s="90"/>
      <c r="Q3" s="91"/>
    </row>
    <row r="4" spans="2:17" x14ac:dyDescent="0.25">
      <c r="G4" s="32" t="s">
        <v>152</v>
      </c>
      <c r="H4" s="33">
        <v>1</v>
      </c>
      <c r="M4" s="89"/>
      <c r="N4" s="90"/>
      <c r="O4" s="90"/>
      <c r="P4" s="90"/>
      <c r="Q4" s="91"/>
    </row>
    <row r="5" spans="2:17" x14ac:dyDescent="0.25">
      <c r="B5" s="60" t="s">
        <v>198</v>
      </c>
      <c r="C5" s="63"/>
      <c r="D5" s="21"/>
      <c r="G5" s="32" t="s">
        <v>153</v>
      </c>
      <c r="H5" s="33">
        <v>1</v>
      </c>
      <c r="M5" s="89"/>
      <c r="N5" s="90"/>
      <c r="O5" s="90"/>
      <c r="P5" s="90"/>
      <c r="Q5" s="91"/>
    </row>
    <row r="6" spans="2:17" x14ac:dyDescent="0.25">
      <c r="B6" s="16" t="s">
        <v>121</v>
      </c>
      <c r="C6" s="25" t="s">
        <v>120</v>
      </c>
      <c r="D6" s="21"/>
      <c r="M6" s="89"/>
      <c r="N6" s="90"/>
      <c r="O6" s="90"/>
      <c r="P6" s="90"/>
      <c r="Q6" s="91"/>
    </row>
    <row r="7" spans="2:17" x14ac:dyDescent="0.25">
      <c r="B7" s="26" t="str">
        <f>IF(H3&gt;0,C2&amp;"K01","")</f>
        <v>xxxxK01</v>
      </c>
      <c r="C7" s="75"/>
      <c r="F7" s="16" t="s">
        <v>148</v>
      </c>
      <c r="G7" s="16" t="s">
        <v>122</v>
      </c>
      <c r="H7" s="25" t="s">
        <v>120</v>
      </c>
      <c r="J7" s="16" t="s">
        <v>123</v>
      </c>
      <c r="K7" s="25" t="s">
        <v>120</v>
      </c>
      <c r="M7" s="89"/>
      <c r="N7" s="90"/>
      <c r="O7" s="90"/>
      <c r="P7" s="90"/>
      <c r="Q7" s="91"/>
    </row>
    <row r="8" spans="2:17" x14ac:dyDescent="0.25">
      <c r="B8" s="37" t="str">
        <f>IF(H3&gt;1,C2&amp;"K02","")</f>
        <v/>
      </c>
      <c r="C8" s="74"/>
      <c r="D8" s="21"/>
      <c r="F8" s="29" t="str">
        <f>IF(H4&gt;0,"1","")</f>
        <v>1</v>
      </c>
      <c r="G8" s="26" t="str">
        <f>IF(H4&gt;0,C2 &amp;"CD01","")</f>
        <v>xxxxCD01</v>
      </c>
      <c r="H8" s="56"/>
      <c r="J8" s="26" t="str">
        <f>IF(H5&gt;0,C2&amp;"PED01","")</f>
        <v>xxxxPED01</v>
      </c>
      <c r="K8" s="56"/>
      <c r="M8" s="89"/>
      <c r="N8" s="90"/>
      <c r="O8" s="90"/>
      <c r="P8" s="90"/>
      <c r="Q8" s="91"/>
    </row>
    <row r="9" spans="2:17" x14ac:dyDescent="0.25">
      <c r="B9" s="38" t="str">
        <f>IF(H3&gt;2,C2&amp;"K03","")</f>
        <v/>
      </c>
      <c r="C9" s="75"/>
      <c r="D9" s="21"/>
      <c r="F9" s="30" t="str">
        <f>IF(H4&gt;1,"2","")</f>
        <v/>
      </c>
      <c r="G9" s="26" t="str">
        <f>IF(H4&gt;1,C2&amp;"CD02","")</f>
        <v/>
      </c>
      <c r="H9" s="56"/>
      <c r="J9" s="26" t="str">
        <f>IF(H5&gt;1,C2&amp;"PED02","")</f>
        <v/>
      </c>
      <c r="K9" s="56"/>
      <c r="M9" s="89"/>
      <c r="N9" s="90"/>
      <c r="O9" s="90"/>
      <c r="P9" s="90"/>
      <c r="Q9" s="91"/>
    </row>
    <row r="10" spans="2:17" x14ac:dyDescent="0.25">
      <c r="B10" s="39" t="str">
        <f>IF(H3&gt;3,C2&amp;"K04","")</f>
        <v/>
      </c>
      <c r="C10" s="75"/>
      <c r="F10" s="30" t="str">
        <f>IF(H4&gt;2,"3","")</f>
        <v/>
      </c>
      <c r="G10" s="27" t="str">
        <f>IF(H4&gt;2,C2&amp;"CD03","")</f>
        <v/>
      </c>
      <c r="H10" s="56"/>
      <c r="J10" s="27" t="str">
        <f>IF(H5&gt;2,C2&amp;"PED03","")</f>
        <v/>
      </c>
      <c r="K10" s="56"/>
      <c r="M10" s="89"/>
      <c r="N10" s="90"/>
      <c r="O10" s="90"/>
      <c r="P10" s="90"/>
      <c r="Q10" s="91"/>
    </row>
    <row r="11" spans="2:17" x14ac:dyDescent="0.25">
      <c r="B11" s="37" t="str">
        <f>IF(H3&gt;4,C2&amp;"K05","")</f>
        <v/>
      </c>
      <c r="C11" s="75"/>
      <c r="F11" s="31" t="str">
        <f>IF(H4&gt;3,"4","")</f>
        <v/>
      </c>
      <c r="G11" s="28" t="str">
        <f>IF(H4&gt;3,C2&amp;"CD04","")</f>
        <v/>
      </c>
      <c r="H11" s="57"/>
      <c r="J11" s="28" t="str">
        <f>IF(H5&gt;3,C2&amp;"PED04","")</f>
        <v/>
      </c>
      <c r="K11" s="57"/>
      <c r="M11" s="89"/>
      <c r="N11" s="90"/>
      <c r="O11" s="90"/>
      <c r="P11" s="90"/>
      <c r="Q11" s="91"/>
    </row>
    <row r="12" spans="2:17" x14ac:dyDescent="0.25">
      <c r="B12" s="65" t="str">
        <f>IF(H3&gt;5,C2&amp;"K06","")</f>
        <v/>
      </c>
      <c r="C12" s="57"/>
      <c r="G12" s="20"/>
      <c r="H12" s="20"/>
      <c r="J12" s="30" t="str">
        <f>IF(H5&gt;4,C2&amp;"PED05","")</f>
        <v/>
      </c>
      <c r="K12" s="56"/>
      <c r="M12" s="89"/>
      <c r="N12" s="90"/>
      <c r="O12" s="90"/>
      <c r="P12" s="90"/>
      <c r="Q12" s="91"/>
    </row>
    <row r="13" spans="2:17" ht="15.75" thickBot="1" x14ac:dyDescent="0.3">
      <c r="B13" s="65" t="str">
        <f>IF(H3&gt;6,C2&amp;"K07","")</f>
        <v/>
      </c>
      <c r="C13" s="57"/>
      <c r="G13" s="20"/>
      <c r="H13" s="20"/>
      <c r="J13" s="31" t="str">
        <f>IF(H5&gt;5,C2&amp;"PED06","")</f>
        <v/>
      </c>
      <c r="K13" s="57"/>
      <c r="M13" s="92"/>
      <c r="N13" s="93"/>
      <c r="O13" s="93"/>
      <c r="P13" s="93"/>
      <c r="Q13" s="94"/>
    </row>
    <row r="14" spans="2:17" ht="15.75" thickTop="1" x14ac:dyDescent="0.25"/>
    <row r="15" spans="2:17" s="22" customFormat="1" ht="93" customHeight="1" x14ac:dyDescent="0.25">
      <c r="B15" s="17" t="s">
        <v>124</v>
      </c>
      <c r="C15" s="18" t="s">
        <v>143</v>
      </c>
      <c r="D15" s="18" t="s">
        <v>138</v>
      </c>
      <c r="E15" s="18" t="s">
        <v>202</v>
      </c>
      <c r="F15" s="18" t="s">
        <v>127</v>
      </c>
      <c r="G15" s="18" t="s">
        <v>137</v>
      </c>
      <c r="H15" s="18" t="s">
        <v>129</v>
      </c>
      <c r="I15" s="18" t="s">
        <v>141</v>
      </c>
      <c r="J15" s="18" t="s">
        <v>125</v>
      </c>
      <c r="K15" s="18" t="s">
        <v>126</v>
      </c>
      <c r="L15" s="18" t="s">
        <v>128</v>
      </c>
      <c r="M15" s="18" t="s">
        <v>131</v>
      </c>
      <c r="N15" s="18" t="s">
        <v>130</v>
      </c>
      <c r="O15" s="18" t="s">
        <v>132</v>
      </c>
      <c r="P15" s="19" t="s">
        <v>133</v>
      </c>
      <c r="Q15" s="18" t="s">
        <v>204</v>
      </c>
    </row>
    <row r="16" spans="2:17" s="23" customFormat="1" ht="60" x14ac:dyDescent="0.25">
      <c r="B16" s="46" t="s">
        <v>149</v>
      </c>
      <c r="C16" s="47" t="s">
        <v>150</v>
      </c>
      <c r="D16" s="48" t="s">
        <v>170</v>
      </c>
      <c r="E16" s="48" t="s">
        <v>203</v>
      </c>
      <c r="F16" s="48" t="s">
        <v>171</v>
      </c>
      <c r="G16" s="48" t="s">
        <v>171</v>
      </c>
      <c r="H16" s="48" t="s">
        <v>171</v>
      </c>
      <c r="I16" s="48" t="s">
        <v>171</v>
      </c>
      <c r="J16" s="48" t="s">
        <v>171</v>
      </c>
      <c r="K16" s="48" t="s">
        <v>171</v>
      </c>
      <c r="L16" s="48" t="s">
        <v>171</v>
      </c>
      <c r="M16" s="48" t="s">
        <v>171</v>
      </c>
      <c r="N16" s="48" t="s">
        <v>171</v>
      </c>
      <c r="O16" s="48" t="s">
        <v>171</v>
      </c>
      <c r="P16" s="48" t="s">
        <v>171</v>
      </c>
      <c r="Q16" s="48" t="s">
        <v>171</v>
      </c>
    </row>
    <row r="17" spans="2:17" x14ac:dyDescent="0.25">
      <c r="B17" s="66" t="s">
        <v>158</v>
      </c>
      <c r="C17" s="67" t="s">
        <v>142</v>
      </c>
      <c r="D17" s="68">
        <v>660100</v>
      </c>
      <c r="E17" s="68" t="s">
        <v>201</v>
      </c>
      <c r="F17" s="69" t="s">
        <v>139</v>
      </c>
      <c r="G17" s="68" t="s">
        <v>145</v>
      </c>
      <c r="H17" s="68" t="s">
        <v>114</v>
      </c>
      <c r="I17" s="68" t="s">
        <v>115</v>
      </c>
      <c r="J17" s="68" t="s">
        <v>199</v>
      </c>
      <c r="K17" s="68" t="s">
        <v>197</v>
      </c>
      <c r="L17" s="68" t="s">
        <v>196</v>
      </c>
      <c r="M17" s="68" t="s">
        <v>196</v>
      </c>
      <c r="N17" s="68" t="s">
        <v>196</v>
      </c>
      <c r="O17" s="68" t="s">
        <v>196</v>
      </c>
      <c r="P17" s="70" t="s">
        <v>196</v>
      </c>
      <c r="Q17" s="71" t="s">
        <v>196</v>
      </c>
    </row>
    <row r="18" spans="2:17" x14ac:dyDescent="0.25">
      <c r="B18" s="72" t="s">
        <v>146</v>
      </c>
      <c r="C18" s="78" t="s">
        <v>147</v>
      </c>
      <c r="D18" s="73" t="s">
        <v>147</v>
      </c>
      <c r="E18" s="12"/>
      <c r="F18" s="12"/>
      <c r="G18" s="76"/>
      <c r="H18" s="76"/>
      <c r="I18" s="76"/>
      <c r="J18" s="76"/>
      <c r="K18" s="76"/>
      <c r="L18" s="76"/>
      <c r="M18" s="76"/>
      <c r="N18" s="76"/>
      <c r="O18" s="76"/>
      <c r="P18" s="76"/>
      <c r="Q18" s="76"/>
    </row>
    <row r="19" spans="2:17" x14ac:dyDescent="0.25">
      <c r="B19" s="64"/>
      <c r="C19" s="75"/>
      <c r="D19" s="12"/>
      <c r="E19" s="12"/>
      <c r="F19" s="76"/>
      <c r="G19" s="76"/>
      <c r="H19" s="76"/>
      <c r="I19" s="76"/>
      <c r="J19" s="76"/>
      <c r="K19" s="76"/>
      <c r="L19" s="76"/>
      <c r="M19" s="76"/>
      <c r="N19" s="76"/>
      <c r="O19" s="76"/>
      <c r="P19" s="76"/>
      <c r="Q19" s="76"/>
    </row>
    <row r="20" spans="2:17" x14ac:dyDescent="0.25">
      <c r="B20" s="64"/>
      <c r="C20" s="75"/>
      <c r="D20" s="12"/>
      <c r="E20" s="12"/>
      <c r="F20" s="76"/>
      <c r="G20" s="76"/>
      <c r="H20" s="76"/>
      <c r="I20" s="76"/>
      <c r="J20" s="76"/>
      <c r="K20" s="76"/>
      <c r="L20" s="76"/>
      <c r="M20" s="76"/>
      <c r="N20" s="76"/>
      <c r="O20" s="76"/>
      <c r="P20" s="76"/>
      <c r="Q20" s="76"/>
    </row>
    <row r="21" spans="2:17" x14ac:dyDescent="0.25">
      <c r="B21" s="64"/>
      <c r="C21" s="75"/>
      <c r="D21" s="12"/>
      <c r="E21" s="12"/>
      <c r="F21" s="76"/>
      <c r="G21" s="76"/>
      <c r="H21" s="76"/>
      <c r="I21" s="76"/>
      <c r="J21" s="76"/>
      <c r="K21" s="76"/>
      <c r="L21" s="76"/>
      <c r="M21" s="76"/>
      <c r="N21" s="76"/>
      <c r="O21" s="76"/>
      <c r="P21" s="76"/>
      <c r="Q21" s="76"/>
    </row>
    <row r="22" spans="2:17" x14ac:dyDescent="0.25">
      <c r="B22" s="64"/>
      <c r="C22" s="75"/>
      <c r="D22" s="12"/>
      <c r="E22" s="12"/>
      <c r="F22" s="76"/>
      <c r="G22" s="76"/>
      <c r="H22" s="76"/>
      <c r="I22" s="76"/>
      <c r="J22" s="76"/>
      <c r="K22" s="76"/>
      <c r="L22" s="76"/>
      <c r="M22" s="76"/>
      <c r="N22" s="76"/>
      <c r="O22" s="76"/>
      <c r="P22" s="76"/>
      <c r="Q22" s="76"/>
    </row>
    <row r="23" spans="2:17" x14ac:dyDescent="0.25">
      <c r="B23" s="64"/>
      <c r="C23" s="75"/>
      <c r="D23" s="12"/>
      <c r="E23" s="12"/>
      <c r="F23" s="76"/>
      <c r="G23" s="76"/>
      <c r="H23" s="76"/>
      <c r="I23" s="76"/>
      <c r="J23" s="76"/>
      <c r="K23" s="76"/>
      <c r="L23" s="76"/>
      <c r="M23" s="76"/>
      <c r="N23" s="76"/>
      <c r="O23" s="76"/>
      <c r="P23" s="76"/>
      <c r="Q23" s="76"/>
    </row>
    <row r="24" spans="2:17" x14ac:dyDescent="0.25">
      <c r="B24" s="64"/>
      <c r="C24" s="75"/>
      <c r="D24" s="12"/>
      <c r="E24" s="12"/>
      <c r="F24" s="76"/>
      <c r="G24" s="76"/>
      <c r="H24" s="76"/>
      <c r="I24" s="76"/>
      <c r="J24" s="76"/>
      <c r="K24" s="76"/>
      <c r="L24" s="76"/>
      <c r="M24" s="76"/>
      <c r="N24" s="76"/>
      <c r="O24" s="76"/>
      <c r="P24" s="76"/>
      <c r="Q24" s="76"/>
    </row>
    <row r="25" spans="2:17" x14ac:dyDescent="0.25">
      <c r="B25" s="64"/>
      <c r="C25" s="75"/>
      <c r="D25" s="12"/>
      <c r="E25" s="12"/>
      <c r="F25" s="76"/>
      <c r="G25" s="76"/>
      <c r="H25" s="76"/>
      <c r="I25" s="76"/>
      <c r="J25" s="76"/>
      <c r="K25" s="76"/>
      <c r="L25" s="76"/>
      <c r="M25" s="76"/>
      <c r="N25" s="76"/>
      <c r="O25" s="76"/>
      <c r="P25" s="76"/>
      <c r="Q25" s="76"/>
    </row>
    <row r="26" spans="2:17" x14ac:dyDescent="0.25">
      <c r="B26" s="64"/>
      <c r="C26" s="75"/>
      <c r="D26" s="12"/>
      <c r="E26" s="12"/>
      <c r="F26" s="76"/>
      <c r="G26" s="76"/>
      <c r="H26" s="76"/>
      <c r="I26" s="76"/>
      <c r="J26" s="76"/>
      <c r="K26" s="76"/>
      <c r="L26" s="76"/>
      <c r="M26" s="76"/>
      <c r="N26" s="76"/>
      <c r="O26" s="76"/>
      <c r="P26" s="76"/>
      <c r="Q26" s="76"/>
    </row>
    <row r="27" spans="2:17" x14ac:dyDescent="0.25">
      <c r="B27" s="64"/>
      <c r="C27" s="75"/>
      <c r="D27" s="12"/>
      <c r="E27" s="12"/>
      <c r="F27" s="76"/>
      <c r="G27" s="76"/>
      <c r="H27" s="76"/>
      <c r="I27" s="76"/>
      <c r="J27" s="76"/>
      <c r="K27" s="76"/>
      <c r="L27" s="76"/>
      <c r="M27" s="76"/>
      <c r="N27" s="76"/>
      <c r="O27" s="76"/>
      <c r="P27" s="76"/>
      <c r="Q27" s="76"/>
    </row>
    <row r="28" spans="2:17" x14ac:dyDescent="0.25">
      <c r="B28" s="64"/>
      <c r="C28" s="75"/>
      <c r="D28" s="12"/>
      <c r="E28" s="12"/>
      <c r="F28" s="76"/>
      <c r="G28" s="76"/>
      <c r="H28" s="76"/>
      <c r="I28" s="76"/>
      <c r="J28" s="76"/>
      <c r="K28" s="76"/>
      <c r="L28" s="76"/>
      <c r="M28" s="76"/>
      <c r="N28" s="76"/>
      <c r="O28" s="76"/>
      <c r="P28" s="76"/>
      <c r="Q28" s="76"/>
    </row>
    <row r="29" spans="2:17" x14ac:dyDescent="0.25">
      <c r="B29" s="64"/>
      <c r="C29" s="75"/>
      <c r="D29" s="11"/>
      <c r="E29" s="12"/>
      <c r="F29" s="76"/>
      <c r="G29" s="76"/>
      <c r="H29" s="76"/>
      <c r="I29" s="76"/>
      <c r="J29" s="76"/>
      <c r="K29" s="76"/>
      <c r="L29" s="76"/>
      <c r="M29" s="76"/>
      <c r="N29" s="76"/>
      <c r="O29" s="76"/>
      <c r="P29" s="76"/>
      <c r="Q29" s="76"/>
    </row>
    <row r="30" spans="2:17" x14ac:dyDescent="0.25">
      <c r="B30" s="79"/>
      <c r="C30" s="80"/>
      <c r="D30" s="13"/>
      <c r="E30" s="12"/>
      <c r="F30" s="58"/>
      <c r="G30" s="58"/>
      <c r="H30" s="58"/>
      <c r="I30" s="76"/>
      <c r="J30" s="58"/>
      <c r="K30" s="58"/>
      <c r="L30" s="58"/>
      <c r="M30" s="76"/>
      <c r="N30" s="76"/>
      <c r="O30" s="76"/>
      <c r="P30" s="76"/>
      <c r="Q30" s="76"/>
    </row>
    <row r="31" spans="2:17" ht="14.25" customHeight="1" x14ac:dyDescent="0.25">
      <c r="B31" s="81"/>
      <c r="C31" s="82"/>
      <c r="D31" s="49"/>
      <c r="E31" s="12"/>
      <c r="F31" s="49"/>
      <c r="G31" s="49"/>
      <c r="H31" s="49"/>
      <c r="I31" s="76"/>
      <c r="J31" s="49"/>
      <c r="K31" s="49"/>
      <c r="L31" s="49"/>
      <c r="M31" s="49"/>
      <c r="N31" s="49"/>
      <c r="O31" s="49"/>
      <c r="P31" s="50"/>
      <c r="Q31" s="61"/>
    </row>
    <row r="32" spans="2:17" x14ac:dyDescent="0.25">
      <c r="B32" s="81"/>
      <c r="C32" s="82"/>
      <c r="D32" s="49"/>
      <c r="E32" s="12"/>
      <c r="F32" s="49"/>
      <c r="G32" s="49"/>
      <c r="H32" s="49"/>
      <c r="I32" s="76"/>
      <c r="J32" s="49"/>
      <c r="K32" s="49"/>
      <c r="L32" s="49"/>
      <c r="M32" s="49"/>
      <c r="N32" s="49"/>
      <c r="O32" s="49"/>
      <c r="P32" s="50"/>
      <c r="Q32" s="61"/>
    </row>
    <row r="33" spans="2:17" x14ac:dyDescent="0.25">
      <c r="B33" s="81"/>
      <c r="C33" s="82"/>
      <c r="D33" s="49"/>
      <c r="E33" s="12"/>
      <c r="F33" s="49"/>
      <c r="G33" s="49"/>
      <c r="H33" s="49"/>
      <c r="I33" s="76"/>
      <c r="J33" s="49"/>
      <c r="K33" s="49"/>
      <c r="L33" s="49"/>
      <c r="M33" s="49"/>
      <c r="N33" s="49"/>
      <c r="O33" s="49"/>
      <c r="P33" s="50"/>
      <c r="Q33" s="61"/>
    </row>
    <row r="34" spans="2:17" x14ac:dyDescent="0.25">
      <c r="B34" s="81"/>
      <c r="C34" s="82"/>
      <c r="D34" s="49"/>
      <c r="E34" s="12"/>
      <c r="F34" s="49"/>
      <c r="G34" s="49"/>
      <c r="H34" s="49"/>
      <c r="I34" s="76"/>
      <c r="J34" s="49"/>
      <c r="K34" s="49"/>
      <c r="L34" s="49"/>
      <c r="M34" s="49"/>
      <c r="N34" s="49"/>
      <c r="O34" s="49"/>
      <c r="P34" s="50"/>
      <c r="Q34" s="61"/>
    </row>
    <row r="35" spans="2:17" x14ac:dyDescent="0.25">
      <c r="B35" s="81"/>
      <c r="C35" s="82"/>
      <c r="D35" s="49"/>
      <c r="E35" s="12"/>
      <c r="F35" s="49"/>
      <c r="G35" s="49"/>
      <c r="H35" s="49"/>
      <c r="I35" s="76"/>
      <c r="J35" s="49"/>
      <c r="K35" s="49"/>
      <c r="L35" s="49"/>
      <c r="M35" s="49"/>
      <c r="N35" s="49"/>
      <c r="O35" s="49"/>
      <c r="P35" s="50"/>
      <c r="Q35" s="61"/>
    </row>
    <row r="36" spans="2:17" x14ac:dyDescent="0.25">
      <c r="B36" s="81"/>
      <c r="C36" s="82"/>
      <c r="D36" s="49"/>
      <c r="E36" s="12"/>
      <c r="F36" s="49"/>
      <c r="G36" s="49"/>
      <c r="H36" s="49"/>
      <c r="I36" s="76"/>
      <c r="J36" s="49"/>
      <c r="K36" s="49"/>
      <c r="L36" s="49"/>
      <c r="M36" s="49"/>
      <c r="N36" s="49"/>
      <c r="O36" s="49"/>
      <c r="P36" s="50"/>
      <c r="Q36" s="61"/>
    </row>
    <row r="37" spans="2:17" x14ac:dyDescent="0.25">
      <c r="B37" s="81"/>
      <c r="C37" s="82"/>
      <c r="D37" s="49"/>
      <c r="E37" s="12"/>
      <c r="F37" s="49"/>
      <c r="G37" s="49"/>
      <c r="H37" s="49"/>
      <c r="I37" s="76"/>
      <c r="J37" s="49"/>
      <c r="K37" s="49"/>
      <c r="L37" s="49"/>
      <c r="M37" s="49"/>
      <c r="N37" s="49"/>
      <c r="O37" s="49"/>
      <c r="P37" s="50"/>
      <c r="Q37" s="61"/>
    </row>
    <row r="38" spans="2:17" x14ac:dyDescent="0.25">
      <c r="B38" s="81"/>
      <c r="C38" s="82"/>
      <c r="D38" s="49"/>
      <c r="E38" s="12"/>
      <c r="F38" s="49"/>
      <c r="G38" s="49"/>
      <c r="H38" s="49"/>
      <c r="I38" s="76"/>
      <c r="J38" s="49"/>
      <c r="K38" s="49"/>
      <c r="L38" s="49"/>
      <c r="M38" s="49"/>
      <c r="N38" s="49"/>
      <c r="O38" s="49"/>
      <c r="P38" s="50"/>
      <c r="Q38" s="49"/>
    </row>
  </sheetData>
  <protectedRanges>
    <protectedRange sqref="C2 E2 C3:E3 C5 C7:C13 H8:H11 K8:K13 B18:Q38" name="Range1"/>
  </protectedRanges>
  <mergeCells count="3">
    <mergeCell ref="G2:H2"/>
    <mergeCell ref="C3:E3"/>
    <mergeCell ref="M2:Q13"/>
  </mergeCells>
  <dataValidations count="6">
    <dataValidation type="list" allowBlank="1" showInputMessage="1" showErrorMessage="1" sqref="J17">
      <formula1>Tills</formula1>
    </dataValidation>
    <dataValidation type="list" allowBlank="1" showInputMessage="1" showErrorMessage="1" sqref="K17:K38">
      <formula1>PEDs</formula1>
    </dataValidation>
    <dataValidation type="list" allowBlank="1" showInputMessage="1" showErrorMessage="1" sqref="L17:Q38">
      <formula1>Printers</formula1>
    </dataValidation>
    <dataValidation type="list" allowBlank="1" showInputMessage="1" showErrorMessage="1" sqref="J18:J38">
      <formula1>$G$8:$G$11</formula1>
    </dataValidation>
    <dataValidation type="list" allowBlank="1" showInputMessage="1" showErrorMessage="1" sqref="E18:E38">
      <formula1>$B$19:$B$38</formula1>
    </dataValidation>
    <dataValidation type="list" allowBlank="1" showInputMessage="1" showErrorMessage="1" sqref="E2">
      <formula1>"Yes,No"</formula1>
    </dataValidation>
  </dataValidations>
  <pageMargins left="0.23622047244094491" right="0.23622047244094491" top="0.29527559055118113" bottom="0.29527559055118113" header="0.19685039370078741" footer="0.19685039370078741"/>
  <pageSetup paperSize="9"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Button 14">
              <controlPr defaultSize="0" print="0" autoFill="0" autoPict="0" macro="[0]!TestOutlookIsOpen">
                <anchor moveWithCells="1" sizeWithCells="1">
                  <from>
                    <xdr:col>9</xdr:col>
                    <xdr:colOff>0</xdr:colOff>
                    <xdr:row>1</xdr:row>
                    <xdr:rowOff>66675</xdr:rowOff>
                  </from>
                  <to>
                    <xdr:col>10</xdr:col>
                    <xdr:colOff>1047750</xdr:colOff>
                    <xdr:row>4</xdr:row>
                    <xdr:rowOff>171450</xdr:rowOff>
                  </to>
                </anchor>
              </controlPr>
            </control>
          </mc:Choice>
        </mc:AlternateContent>
      </controls>
    </mc:Choice>
  </mc:AlternateContent>
  <tableParts count="4">
    <tablePart r:id="rId5"/>
    <tablePart r:id="rId6"/>
    <tablePart r:id="rId7"/>
    <tablePart r:id="rId8"/>
  </tableParts>
  <extLst>
    <ext xmlns:x14="http://schemas.microsoft.com/office/spreadsheetml/2009/9/main" uri="{CCE6A557-97BC-4b89-ADB6-D9C93CAAB3DF}">
      <x14:dataValidations xmlns:xm="http://schemas.microsoft.com/office/excel/2006/main" count="4">
        <x14:dataValidation type="list" allowBlank="1" showInputMessage="1" showErrorMessage="1">
          <x14:formula1>
            <xm:f>'Validation List'!$A$1:$A$3</xm:f>
          </x14:formula1>
          <xm:sqref>G17:H38</xm:sqref>
        </x14:dataValidation>
        <x14:dataValidation type="list" allowBlank="1" showInputMessage="1" showErrorMessage="1">
          <x14:formula1>
            <xm:f>'Validation List'!$A$11:$A$12</xm:f>
          </x14:formula1>
          <xm:sqref>F17:F38</xm:sqref>
        </x14:dataValidation>
        <x14:dataValidation type="list" allowBlank="1" showInputMessage="1" showErrorMessage="1">
          <x14:formula1>
            <xm:f>'Validation List'!$A$5:$A$8</xm:f>
          </x14:formula1>
          <xm:sqref>I17</xm:sqref>
        </x14:dataValidation>
        <x14:dataValidation type="list" allowBlank="1" showInputMessage="1" showErrorMessage="1">
          <x14:formula1>
            <xm:f>'Validation List'!$A$5:$A$7</xm:f>
          </x14:formula1>
          <xm:sqref>I18:I38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pageSetUpPr fitToPage="1"/>
  </sheetPr>
  <dimension ref="A1:B14"/>
  <sheetViews>
    <sheetView workbookViewId="0">
      <selection activeCell="B2" sqref="B2"/>
    </sheetView>
  </sheetViews>
  <sheetFormatPr defaultRowHeight="15" x14ac:dyDescent="0.25"/>
  <cols>
    <col min="1" max="1" width="23.5703125" bestFit="1" customWidth="1"/>
    <col min="2" max="2" width="59.7109375" customWidth="1"/>
  </cols>
  <sheetData>
    <row r="1" spans="1:2" x14ac:dyDescent="0.25">
      <c r="A1" t="s">
        <v>159</v>
      </c>
      <c r="B1" t="s">
        <v>160</v>
      </c>
    </row>
    <row r="2" spans="1:2" ht="90" x14ac:dyDescent="0.25">
      <c r="A2" s="40" t="s">
        <v>208</v>
      </c>
      <c r="B2" s="36" t="s">
        <v>209</v>
      </c>
    </row>
    <row r="3" spans="1:2" ht="45" x14ac:dyDescent="0.25">
      <c r="A3" s="40" t="s">
        <v>161</v>
      </c>
      <c r="B3" s="36" t="s">
        <v>173</v>
      </c>
    </row>
    <row r="4" spans="1:2" ht="60" x14ac:dyDescent="0.25">
      <c r="A4" s="40" t="s">
        <v>127</v>
      </c>
      <c r="B4" s="41" t="s">
        <v>162</v>
      </c>
    </row>
    <row r="5" spans="1:2" ht="60" x14ac:dyDescent="0.25">
      <c r="A5" s="40" t="s">
        <v>163</v>
      </c>
      <c r="B5" s="41" t="s">
        <v>164</v>
      </c>
    </row>
    <row r="6" spans="1:2" ht="30" x14ac:dyDescent="0.25">
      <c r="A6" s="40" t="s">
        <v>129</v>
      </c>
      <c r="B6" s="41" t="s">
        <v>165</v>
      </c>
    </row>
    <row r="7" spans="1:2" ht="135" x14ac:dyDescent="0.25">
      <c r="A7" s="40" t="s">
        <v>166</v>
      </c>
      <c r="B7" s="41" t="s">
        <v>207</v>
      </c>
    </row>
    <row r="8" spans="1:2" ht="45" x14ac:dyDescent="0.25">
      <c r="A8" s="40" t="s">
        <v>125</v>
      </c>
      <c r="B8" s="41" t="s">
        <v>167</v>
      </c>
    </row>
    <row r="9" spans="1:2" ht="45" x14ac:dyDescent="0.25">
      <c r="A9" s="40" t="s">
        <v>126</v>
      </c>
      <c r="B9" s="41" t="s">
        <v>174</v>
      </c>
    </row>
    <row r="10" spans="1:2" ht="105" x14ac:dyDescent="0.25">
      <c r="A10" s="40" t="s">
        <v>128</v>
      </c>
      <c r="B10" s="41" t="s">
        <v>175</v>
      </c>
    </row>
    <row r="11" spans="1:2" ht="45" x14ac:dyDescent="0.25">
      <c r="A11" s="40" t="s">
        <v>131</v>
      </c>
      <c r="B11" s="41" t="s">
        <v>176</v>
      </c>
    </row>
    <row r="12" spans="1:2" ht="45" x14ac:dyDescent="0.25">
      <c r="A12" s="40" t="s">
        <v>130</v>
      </c>
      <c r="B12" s="41" t="s">
        <v>168</v>
      </c>
    </row>
    <row r="13" spans="1:2" ht="45" x14ac:dyDescent="0.25">
      <c r="A13" s="40" t="s">
        <v>132</v>
      </c>
      <c r="B13" s="41" t="s">
        <v>169</v>
      </c>
    </row>
    <row r="14" spans="1:2" ht="45" x14ac:dyDescent="0.25">
      <c r="A14" s="40" t="s">
        <v>133</v>
      </c>
      <c r="B14" s="41" t="s">
        <v>177</v>
      </c>
    </row>
  </sheetData>
  <sheetProtection password="CA41" sheet="1" objects="1" scenarios="1"/>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57"/>
  <sheetViews>
    <sheetView workbookViewId="0">
      <selection activeCell="G15" sqref="G15"/>
    </sheetView>
  </sheetViews>
  <sheetFormatPr defaultRowHeight="15" x14ac:dyDescent="0.25"/>
  <cols>
    <col min="1" max="1" width="11.140625" bestFit="1" customWidth="1"/>
    <col min="2" max="2" width="20.140625" bestFit="1" customWidth="1"/>
    <col min="3" max="3" width="28.28515625" bestFit="1" customWidth="1"/>
    <col min="4" max="4" width="16" bestFit="1" customWidth="1"/>
    <col min="5" max="5" width="25.5703125" style="10" bestFit="1" customWidth="1"/>
    <col min="6" max="6" width="20.85546875" bestFit="1" customWidth="1"/>
    <col min="7" max="7" width="14.7109375" bestFit="1" customWidth="1"/>
    <col min="8" max="8" width="20.7109375" bestFit="1" customWidth="1"/>
    <col min="9" max="9" width="16.85546875" bestFit="1" customWidth="1"/>
    <col min="10" max="10" width="20.85546875" bestFit="1" customWidth="1"/>
    <col min="11" max="11" width="15" bestFit="1" customWidth="1"/>
    <col min="12" max="12" width="14.140625" bestFit="1" customWidth="1"/>
    <col min="13" max="13" width="11.7109375" bestFit="1" customWidth="1"/>
    <col min="14" max="14" width="14.85546875" bestFit="1" customWidth="1"/>
    <col min="15" max="15" width="15.28515625" bestFit="1" customWidth="1"/>
    <col min="16" max="16" width="20.42578125" bestFit="1" customWidth="1"/>
    <col min="17" max="17" width="20.5703125" bestFit="1" customWidth="1"/>
    <col min="18" max="18" width="19.42578125" bestFit="1" customWidth="1"/>
    <col min="19" max="19" width="20.42578125" bestFit="1" customWidth="1"/>
    <col min="20" max="20" width="16.28515625" bestFit="1" customWidth="1"/>
    <col min="21" max="21" width="15.7109375" bestFit="1" customWidth="1"/>
    <col min="22" max="22" width="16.28515625" bestFit="1" customWidth="1"/>
    <col min="23" max="23" width="16.140625" bestFit="1" customWidth="1"/>
    <col min="24" max="24" width="14.140625" bestFit="1" customWidth="1"/>
    <col min="25" max="25" width="20.140625" bestFit="1" customWidth="1"/>
    <col min="26" max="26" width="14.85546875" bestFit="1" customWidth="1"/>
    <col min="27" max="27" width="15.85546875" bestFit="1" customWidth="1"/>
    <col min="28" max="28" width="17.28515625" bestFit="1" customWidth="1"/>
    <col min="29" max="29" width="12.42578125" bestFit="1" customWidth="1"/>
    <col min="30" max="30" width="28.28515625" bestFit="1" customWidth="1"/>
    <col min="31" max="31" width="10.140625" bestFit="1" customWidth="1"/>
    <col min="32" max="32" width="13.85546875" bestFit="1" customWidth="1"/>
    <col min="33" max="33" width="12.140625" bestFit="1" customWidth="1"/>
    <col min="34" max="34" width="12.85546875" bestFit="1" customWidth="1"/>
    <col min="35" max="35" width="17" bestFit="1" customWidth="1"/>
    <col min="36" max="36" width="18.5703125" bestFit="1" customWidth="1"/>
    <col min="37" max="37" width="22.42578125" bestFit="1" customWidth="1"/>
    <col min="38" max="38" width="22.7109375" bestFit="1" customWidth="1"/>
    <col min="39" max="39" width="24" bestFit="1" customWidth="1"/>
    <col min="40" max="40" width="23.28515625" bestFit="1" customWidth="1"/>
    <col min="41" max="41" width="16.7109375" bestFit="1" customWidth="1"/>
    <col min="42" max="42" width="18.28515625" bestFit="1" customWidth="1"/>
    <col min="43" max="43" width="21.85546875" bestFit="1" customWidth="1"/>
    <col min="44" max="44" width="21.7109375" bestFit="1" customWidth="1"/>
    <col min="45" max="46" width="21.140625" bestFit="1" customWidth="1"/>
    <col min="47" max="47" width="16.140625" bestFit="1" customWidth="1"/>
    <col min="48" max="48" width="20.85546875" bestFit="1" customWidth="1"/>
  </cols>
  <sheetData>
    <row r="1" spans="1:10" x14ac:dyDescent="0.25">
      <c r="B1" t="s">
        <v>144</v>
      </c>
      <c r="C1" t="s">
        <v>124</v>
      </c>
      <c r="D1" t="str">
        <f>'Branch input'!B17</f>
        <v>Example Only</v>
      </c>
      <c r="E1" t="str">
        <f>'Branch input'!C17</f>
        <v>John Brown</v>
      </c>
      <c r="F1">
        <f>'Branch input'!D17</f>
        <v>660100</v>
      </c>
    </row>
    <row r="2" spans="1:10" x14ac:dyDescent="0.25">
      <c r="A2" s="1" t="s">
        <v>94</v>
      </c>
      <c r="B2" t="s">
        <v>2</v>
      </c>
      <c r="C2" t="s">
        <v>3</v>
      </c>
      <c r="D2" s="6" t="str">
        <f>'Branch input'!$M$17</f>
        <v>xxxxK01</v>
      </c>
      <c r="E2" s="95" t="s">
        <v>131</v>
      </c>
      <c r="I2" s="3" t="s">
        <v>112</v>
      </c>
      <c r="J2" s="2"/>
    </row>
    <row r="3" spans="1:10" x14ac:dyDescent="0.25">
      <c r="A3" s="1" t="s">
        <v>94</v>
      </c>
      <c r="B3" t="s">
        <v>4</v>
      </c>
      <c r="C3" t="s">
        <v>136</v>
      </c>
      <c r="D3" s="6" t="str">
        <f>'Branch input'!$M$17</f>
        <v>xxxxK01</v>
      </c>
      <c r="E3" s="95"/>
      <c r="I3" s="2" t="s">
        <v>98</v>
      </c>
      <c r="J3" s="2" t="s">
        <v>99</v>
      </c>
    </row>
    <row r="4" spans="1:10" x14ac:dyDescent="0.25">
      <c r="A4" s="1" t="s">
        <v>94</v>
      </c>
      <c r="B4" t="s">
        <v>5</v>
      </c>
      <c r="C4" t="s">
        <v>6</v>
      </c>
      <c r="D4" s="59" t="str">
        <f>'Branch input'!$M$17</f>
        <v>xxxxK01</v>
      </c>
      <c r="E4" s="95"/>
      <c r="I4" s="2" t="s">
        <v>100</v>
      </c>
      <c r="J4" s="2" t="s">
        <v>101</v>
      </c>
    </row>
    <row r="5" spans="1:10" x14ac:dyDescent="0.25">
      <c r="A5" s="1" t="s">
        <v>94</v>
      </c>
      <c r="B5" t="s">
        <v>7</v>
      </c>
      <c r="C5" t="s">
        <v>8</v>
      </c>
      <c r="D5" s="6" t="str">
        <f>'Branch input'!$M$17</f>
        <v>xxxxK01</v>
      </c>
      <c r="E5" s="95"/>
      <c r="I5" s="2" t="s">
        <v>102</v>
      </c>
      <c r="J5" s="2" t="s">
        <v>103</v>
      </c>
    </row>
    <row r="6" spans="1:10" x14ac:dyDescent="0.25">
      <c r="A6" s="1" t="s">
        <v>94</v>
      </c>
      <c r="B6" t="s">
        <v>23</v>
      </c>
      <c r="C6" t="s">
        <v>24</v>
      </c>
      <c r="D6" s="6" t="str">
        <f>'Branch input'!$M$17</f>
        <v>xxxxK01</v>
      </c>
      <c r="E6" s="95"/>
      <c r="I6" s="2" t="s">
        <v>104</v>
      </c>
      <c r="J6" s="2" t="s">
        <v>105</v>
      </c>
    </row>
    <row r="7" spans="1:10" x14ac:dyDescent="0.25">
      <c r="A7" s="1" t="s">
        <v>94</v>
      </c>
      <c r="B7" t="s">
        <v>25</v>
      </c>
      <c r="C7" t="s">
        <v>26</v>
      </c>
      <c r="D7" s="6" t="str">
        <f>'Branch input'!$M$17</f>
        <v>xxxxK01</v>
      </c>
      <c r="E7" s="95"/>
      <c r="I7" s="2" t="s">
        <v>106</v>
      </c>
      <c r="J7" s="2" t="s">
        <v>107</v>
      </c>
    </row>
    <row r="8" spans="1:10" x14ac:dyDescent="0.25">
      <c r="A8" s="1" t="s">
        <v>94</v>
      </c>
      <c r="B8" t="s">
        <v>9</v>
      </c>
      <c r="C8" t="s">
        <v>10</v>
      </c>
      <c r="D8" s="6" t="str">
        <f>'Branch input'!$M$17</f>
        <v>xxxxK01</v>
      </c>
      <c r="E8" s="95"/>
      <c r="I8" s="2" t="s">
        <v>108</v>
      </c>
      <c r="J8" s="2" t="s">
        <v>109</v>
      </c>
    </row>
    <row r="9" spans="1:10" x14ac:dyDescent="0.25">
      <c r="A9" s="1" t="s">
        <v>97</v>
      </c>
      <c r="B9" t="s">
        <v>51</v>
      </c>
      <c r="C9" t="s">
        <v>52</v>
      </c>
      <c r="D9" s="6" t="str">
        <f>'Branch input'!$M$17</f>
        <v>xxxxK01</v>
      </c>
      <c r="E9" s="95"/>
      <c r="I9" s="2" t="s">
        <v>110</v>
      </c>
      <c r="J9" s="2" t="s">
        <v>111</v>
      </c>
    </row>
    <row r="10" spans="1:10" x14ac:dyDescent="0.25">
      <c r="A10" s="1" t="s">
        <v>94</v>
      </c>
      <c r="B10" t="s">
        <v>0</v>
      </c>
      <c r="C10" t="s">
        <v>1</v>
      </c>
      <c r="D10" s="8" t="str">
        <f>'Branch input'!$N17</f>
        <v>xxxxK01</v>
      </c>
      <c r="E10" s="96" t="s">
        <v>130</v>
      </c>
    </row>
    <row r="11" spans="1:10" x14ac:dyDescent="0.25">
      <c r="A11" s="1" t="s">
        <v>95</v>
      </c>
      <c r="B11" t="s">
        <v>19</v>
      </c>
      <c r="C11" t="s">
        <v>20</v>
      </c>
      <c r="D11" s="8" t="str">
        <f>'Branch input'!$N17</f>
        <v>xxxxK01</v>
      </c>
      <c r="E11" s="96"/>
    </row>
    <row r="12" spans="1:10" x14ac:dyDescent="0.25">
      <c r="A12" s="1" t="s">
        <v>94</v>
      </c>
      <c r="B12" t="s">
        <v>31</v>
      </c>
      <c r="C12" t="s">
        <v>32</v>
      </c>
      <c r="D12" s="8" t="str">
        <f>'Branch input'!$N17</f>
        <v>xxxxK01</v>
      </c>
      <c r="E12" s="96"/>
    </row>
    <row r="13" spans="1:10" x14ac:dyDescent="0.25">
      <c r="A13" s="1" t="s">
        <v>94</v>
      </c>
      <c r="B13" t="s">
        <v>33</v>
      </c>
      <c r="C13" t="s">
        <v>34</v>
      </c>
      <c r="D13" s="8" t="str">
        <f>'Branch input'!$N17</f>
        <v>xxxxK01</v>
      </c>
      <c r="E13" s="96"/>
    </row>
    <row r="14" spans="1:10" x14ac:dyDescent="0.25">
      <c r="A14" s="1" t="s">
        <v>94</v>
      </c>
      <c r="B14" t="s">
        <v>35</v>
      </c>
      <c r="C14" t="s">
        <v>36</v>
      </c>
      <c r="D14" s="8" t="str">
        <f>'Branch input'!$N17</f>
        <v>xxxxK01</v>
      </c>
      <c r="E14" s="96"/>
    </row>
    <row r="15" spans="1:10" x14ac:dyDescent="0.25">
      <c r="A15" s="1" t="s">
        <v>95</v>
      </c>
      <c r="B15" t="s">
        <v>11</v>
      </c>
      <c r="C15" t="s">
        <v>12</v>
      </c>
      <c r="D15" s="9" t="str">
        <f>'Branch input'!$O$17</f>
        <v>xxxxK01</v>
      </c>
      <c r="E15" s="96" t="s">
        <v>132</v>
      </c>
    </row>
    <row r="16" spans="1:10" x14ac:dyDescent="0.25">
      <c r="A16" s="1" t="s">
        <v>95</v>
      </c>
      <c r="B16" t="s">
        <v>13</v>
      </c>
      <c r="C16" t="s">
        <v>14</v>
      </c>
      <c r="D16" s="9" t="str">
        <f>'Branch input'!$O$17</f>
        <v>xxxxK01</v>
      </c>
      <c r="E16" s="96"/>
    </row>
    <row r="17" spans="1:5" x14ac:dyDescent="0.25">
      <c r="A17" s="1" t="s">
        <v>95</v>
      </c>
      <c r="B17" t="s">
        <v>15</v>
      </c>
      <c r="C17" t="s">
        <v>16</v>
      </c>
      <c r="D17" s="9" t="str">
        <f>'Branch input'!$O$17</f>
        <v>xxxxK01</v>
      </c>
      <c r="E17" s="96"/>
    </row>
    <row r="18" spans="1:5" x14ac:dyDescent="0.25">
      <c r="A18" s="1" t="s">
        <v>95</v>
      </c>
      <c r="B18" t="s">
        <v>21</v>
      </c>
      <c r="C18" t="s">
        <v>22</v>
      </c>
      <c r="D18" s="9" t="str">
        <f>'Branch input'!$O$17</f>
        <v>xxxxK01</v>
      </c>
      <c r="E18" s="96"/>
    </row>
    <row r="19" spans="1:5" x14ac:dyDescent="0.25">
      <c r="A19" s="1" t="s">
        <v>95</v>
      </c>
      <c r="B19" t="s">
        <v>27</v>
      </c>
      <c r="C19" t="s">
        <v>28</v>
      </c>
      <c r="D19" s="5" t="str">
        <f>'Branch input'!$P$17</f>
        <v>xxxxK01</v>
      </c>
      <c r="E19" s="96" t="s">
        <v>133</v>
      </c>
    </row>
    <row r="20" spans="1:5" x14ac:dyDescent="0.25">
      <c r="A20" s="1" t="s">
        <v>97</v>
      </c>
      <c r="B20" t="s">
        <v>45</v>
      </c>
      <c r="C20" t="s">
        <v>46</v>
      </c>
      <c r="D20" s="5" t="str">
        <f>'Branch input'!$P$17</f>
        <v>xxxxK01</v>
      </c>
      <c r="E20" s="96"/>
    </row>
    <row r="21" spans="1:5" x14ac:dyDescent="0.25">
      <c r="A21" s="1" t="s">
        <v>97</v>
      </c>
      <c r="B21" t="s">
        <v>47</v>
      </c>
      <c r="C21" t="s">
        <v>48</v>
      </c>
      <c r="D21" s="5" t="str">
        <f>'Branch input'!$P$17</f>
        <v>xxxxK01</v>
      </c>
      <c r="E21" s="96"/>
    </row>
    <row r="22" spans="1:5" x14ac:dyDescent="0.25">
      <c r="A22" s="1" t="s">
        <v>97</v>
      </c>
      <c r="B22" t="s">
        <v>49</v>
      </c>
      <c r="C22" t="s">
        <v>50</v>
      </c>
      <c r="D22" s="5" t="str">
        <f>'Branch input'!$P$17</f>
        <v>xxxxK01</v>
      </c>
      <c r="E22" s="96"/>
    </row>
    <row r="23" spans="1:5" x14ac:dyDescent="0.25">
      <c r="A23" s="1" t="s">
        <v>97</v>
      </c>
      <c r="B23" t="s">
        <v>29</v>
      </c>
      <c r="C23" t="s">
        <v>30</v>
      </c>
      <c r="D23" s="5" t="str">
        <f>'Branch input'!$P$17</f>
        <v>xxxxK01</v>
      </c>
      <c r="E23" s="96"/>
    </row>
    <row r="24" spans="1:5" x14ac:dyDescent="0.25">
      <c r="A24" s="1" t="s">
        <v>97</v>
      </c>
      <c r="B24" t="s">
        <v>55</v>
      </c>
      <c r="C24" t="s">
        <v>56</v>
      </c>
      <c r="D24" s="5" t="str">
        <f>'Branch input'!$P$17</f>
        <v>xxxxK01</v>
      </c>
      <c r="E24" s="96"/>
    </row>
    <row r="25" spans="1:5" x14ac:dyDescent="0.25">
      <c r="A25" s="1" t="s">
        <v>97</v>
      </c>
      <c r="B25" t="s">
        <v>53</v>
      </c>
      <c r="C25" t="s">
        <v>54</v>
      </c>
      <c r="D25" s="5" t="str">
        <f>'Branch input'!$P$17</f>
        <v>xxxxK01</v>
      </c>
      <c r="E25" s="96"/>
    </row>
    <row r="26" spans="1:5" x14ac:dyDescent="0.25">
      <c r="A26" s="1" t="s">
        <v>94</v>
      </c>
      <c r="B26" t="s">
        <v>39</v>
      </c>
      <c r="C26" t="s">
        <v>40</v>
      </c>
      <c r="D26" s="7" t="str">
        <f>CONCATENATE('Branch input'!$C$2,"VPR")</f>
        <v>xxxxVPR</v>
      </c>
      <c r="E26" s="96" t="s">
        <v>134</v>
      </c>
    </row>
    <row r="27" spans="1:5" x14ac:dyDescent="0.25">
      <c r="A27" s="1" t="s">
        <v>94</v>
      </c>
      <c r="B27" t="s">
        <v>41</v>
      </c>
      <c r="C27" t="s">
        <v>42</v>
      </c>
      <c r="D27" s="7" t="str">
        <f>CONCATENATE('Branch input'!$C$2,"VPR")</f>
        <v>xxxxVPR</v>
      </c>
      <c r="E27" s="96"/>
    </row>
    <row r="28" spans="1:5" x14ac:dyDescent="0.25">
      <c r="A28" s="1" t="s">
        <v>94</v>
      </c>
      <c r="B28" t="s">
        <v>57</v>
      </c>
      <c r="C28" t="s">
        <v>58</v>
      </c>
      <c r="D28" s="7" t="str">
        <f>CONCATENATE('Branch input'!$C$2,"VPR")</f>
        <v>xxxxVPR</v>
      </c>
      <c r="E28" s="96"/>
    </row>
    <row r="29" spans="1:5" x14ac:dyDescent="0.25">
      <c r="A29" s="1" t="s">
        <v>95</v>
      </c>
      <c r="B29" t="s">
        <v>17</v>
      </c>
      <c r="C29" t="s">
        <v>18</v>
      </c>
      <c r="D29" s="7" t="str">
        <f>CONCATENATE('Branch input'!$C$2,"VPR")</f>
        <v>xxxxVPR</v>
      </c>
      <c r="E29" s="96"/>
    </row>
    <row r="30" spans="1:5" x14ac:dyDescent="0.25">
      <c r="A30" s="1" t="s">
        <v>95</v>
      </c>
      <c r="B30" t="s">
        <v>37</v>
      </c>
      <c r="C30" t="s">
        <v>38</v>
      </c>
      <c r="D30" s="7" t="str">
        <f>CONCATENATE('Branch input'!$C$2,"VPR")</f>
        <v>xxxxVPR</v>
      </c>
      <c r="E30" s="96"/>
    </row>
    <row r="31" spans="1:5" x14ac:dyDescent="0.25">
      <c r="A31" s="1" t="s">
        <v>96</v>
      </c>
      <c r="B31" t="s">
        <v>43</v>
      </c>
      <c r="C31" t="s">
        <v>44</v>
      </c>
      <c r="D31" s="7" t="str">
        <f>CONCATENATE('Branch input'!$C$2,"VPR")</f>
        <v>xxxxVPR</v>
      </c>
      <c r="E31" s="96"/>
    </row>
    <row r="32" spans="1:5" x14ac:dyDescent="0.25">
      <c r="A32" s="1" t="s">
        <v>93</v>
      </c>
      <c r="B32" t="s">
        <v>59</v>
      </c>
      <c r="C32" t="s">
        <v>60</v>
      </c>
      <c r="D32" s="4"/>
      <c r="E32" s="95" t="s">
        <v>135</v>
      </c>
    </row>
    <row r="33" spans="1:5" x14ac:dyDescent="0.25">
      <c r="A33" s="1" t="s">
        <v>93</v>
      </c>
      <c r="B33" t="s">
        <v>61</v>
      </c>
      <c r="C33" t="s">
        <v>62</v>
      </c>
      <c r="D33" s="4"/>
      <c r="E33" s="95"/>
    </row>
    <row r="34" spans="1:5" x14ac:dyDescent="0.25">
      <c r="A34" s="1" t="s">
        <v>93</v>
      </c>
      <c r="B34" t="s">
        <v>63</v>
      </c>
      <c r="C34" t="s">
        <v>64</v>
      </c>
      <c r="D34" s="4"/>
      <c r="E34" s="95"/>
    </row>
    <row r="35" spans="1:5" x14ac:dyDescent="0.25">
      <c r="A35" s="1" t="s">
        <v>93</v>
      </c>
      <c r="B35" t="s">
        <v>65</v>
      </c>
      <c r="C35" t="s">
        <v>66</v>
      </c>
      <c r="D35" s="4"/>
      <c r="E35" s="95"/>
    </row>
    <row r="36" spans="1:5" x14ac:dyDescent="0.25">
      <c r="A36" s="1" t="s">
        <v>93</v>
      </c>
      <c r="B36" t="s">
        <v>67</v>
      </c>
      <c r="C36" t="s">
        <v>68</v>
      </c>
      <c r="D36" s="4"/>
      <c r="E36" s="95"/>
    </row>
    <row r="37" spans="1:5" x14ac:dyDescent="0.25">
      <c r="A37" s="1" t="s">
        <v>93</v>
      </c>
      <c r="B37" t="s">
        <v>69</v>
      </c>
      <c r="C37" t="s">
        <v>70</v>
      </c>
      <c r="D37" s="4"/>
      <c r="E37" s="95"/>
    </row>
    <row r="38" spans="1:5" x14ac:dyDescent="0.25">
      <c r="A38" s="1" t="s">
        <v>93</v>
      </c>
      <c r="B38" t="s">
        <v>71</v>
      </c>
      <c r="C38" t="s">
        <v>72</v>
      </c>
      <c r="D38" s="4"/>
      <c r="E38" s="95"/>
    </row>
    <row r="39" spans="1:5" x14ac:dyDescent="0.25">
      <c r="A39" s="1" t="s">
        <v>93</v>
      </c>
      <c r="B39" t="s">
        <v>73</v>
      </c>
      <c r="C39" t="s">
        <v>74</v>
      </c>
      <c r="D39" s="4"/>
      <c r="E39" s="95"/>
    </row>
    <row r="40" spans="1:5" x14ac:dyDescent="0.25">
      <c r="A40" s="1" t="s">
        <v>93</v>
      </c>
      <c r="B40" t="s">
        <v>75</v>
      </c>
      <c r="C40" t="s">
        <v>76</v>
      </c>
      <c r="D40" s="4"/>
      <c r="E40" s="95"/>
    </row>
    <row r="41" spans="1:5" x14ac:dyDescent="0.25">
      <c r="A41" s="1" t="s">
        <v>93</v>
      </c>
      <c r="B41" t="s">
        <v>77</v>
      </c>
      <c r="C41" t="s">
        <v>78</v>
      </c>
      <c r="D41" s="4"/>
      <c r="E41" s="95"/>
    </row>
    <row r="42" spans="1:5" x14ac:dyDescent="0.25">
      <c r="A42" s="1" t="s">
        <v>93</v>
      </c>
      <c r="B42" t="s">
        <v>79</v>
      </c>
      <c r="C42" t="s">
        <v>80</v>
      </c>
      <c r="D42" s="4"/>
      <c r="E42" s="95"/>
    </row>
    <row r="43" spans="1:5" x14ac:dyDescent="0.25">
      <c r="A43" s="1" t="s">
        <v>93</v>
      </c>
      <c r="B43" t="s">
        <v>81</v>
      </c>
      <c r="C43" t="s">
        <v>82</v>
      </c>
      <c r="D43" s="4"/>
      <c r="E43" s="95"/>
    </row>
    <row r="44" spans="1:5" x14ac:dyDescent="0.25">
      <c r="A44" s="1" t="s">
        <v>93</v>
      </c>
      <c r="B44" t="s">
        <v>83</v>
      </c>
      <c r="C44" t="s">
        <v>84</v>
      </c>
      <c r="D44" s="4"/>
      <c r="E44" s="95"/>
    </row>
    <row r="45" spans="1:5" x14ac:dyDescent="0.25">
      <c r="A45" s="1" t="s">
        <v>93</v>
      </c>
      <c r="B45" t="s">
        <v>85</v>
      </c>
      <c r="C45" t="s">
        <v>86</v>
      </c>
      <c r="D45" s="4"/>
      <c r="E45" s="95"/>
    </row>
    <row r="46" spans="1:5" x14ac:dyDescent="0.25">
      <c r="A46" s="1" t="s">
        <v>93</v>
      </c>
      <c r="B46" t="s">
        <v>87</v>
      </c>
      <c r="C46" t="s">
        <v>88</v>
      </c>
      <c r="D46" s="4"/>
      <c r="E46" s="95"/>
    </row>
    <row r="47" spans="1:5" x14ac:dyDescent="0.25">
      <c r="A47" s="1" t="s">
        <v>93</v>
      </c>
      <c r="B47" t="s">
        <v>89</v>
      </c>
      <c r="C47" t="s">
        <v>90</v>
      </c>
      <c r="D47" s="4"/>
      <c r="E47" s="95"/>
    </row>
    <row r="48" spans="1:5" x14ac:dyDescent="0.25">
      <c r="A48" s="1" t="s">
        <v>93</v>
      </c>
      <c r="B48" t="s">
        <v>91</v>
      </c>
      <c r="C48" t="s">
        <v>92</v>
      </c>
      <c r="D48" s="4"/>
      <c r="E48" s="95"/>
    </row>
    <row r="56" spans="5:5" x14ac:dyDescent="0.25">
      <c r="E56"/>
    </row>
    <row r="57" spans="5:5" x14ac:dyDescent="0.25">
      <c r="E57"/>
    </row>
  </sheetData>
  <sheetProtection selectLockedCells="1" selectUnlockedCells="1"/>
  <sortState ref="A1:D90">
    <sortCondition ref="D1:D90"/>
  </sortState>
  <mergeCells count="6">
    <mergeCell ref="E32:E48"/>
    <mergeCell ref="E10:E14"/>
    <mergeCell ref="E2:E9"/>
    <mergeCell ref="E15:E18"/>
    <mergeCell ref="E19:E25"/>
    <mergeCell ref="E26:E3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8" sqref="A8"/>
    </sheetView>
  </sheetViews>
  <sheetFormatPr defaultRowHeight="15" x14ac:dyDescent="0.25"/>
  <cols>
    <col min="1" max="1" width="18.85546875" bestFit="1" customWidth="1"/>
  </cols>
  <sheetData>
    <row r="1" spans="1:1" x14ac:dyDescent="0.25">
      <c r="A1" s="2" t="s">
        <v>113</v>
      </c>
    </row>
    <row r="2" spans="1:1" x14ac:dyDescent="0.25">
      <c r="A2" s="2" t="s">
        <v>114</v>
      </c>
    </row>
    <row r="3" spans="1:1" x14ac:dyDescent="0.25">
      <c r="A3" s="2" t="s">
        <v>145</v>
      </c>
    </row>
    <row r="4" spans="1:1" x14ac:dyDescent="0.25">
      <c r="A4" s="2"/>
    </row>
    <row r="5" spans="1:1" x14ac:dyDescent="0.25">
      <c r="A5" s="2" t="s">
        <v>117</v>
      </c>
    </row>
    <row r="6" spans="1:1" x14ac:dyDescent="0.25">
      <c r="A6" s="2" t="s">
        <v>115</v>
      </c>
    </row>
    <row r="7" spans="1:1" x14ac:dyDescent="0.25">
      <c r="A7" s="2" t="s">
        <v>116</v>
      </c>
    </row>
    <row r="8" spans="1:1" x14ac:dyDescent="0.25">
      <c r="A8" s="2"/>
    </row>
    <row r="9" spans="1:1" x14ac:dyDescent="0.25">
      <c r="A9" s="2"/>
    </row>
    <row r="10" spans="1:1" x14ac:dyDescent="0.25">
      <c r="A10" s="2"/>
    </row>
    <row r="11" spans="1:1" x14ac:dyDescent="0.25">
      <c r="A11" s="2" t="s">
        <v>139</v>
      </c>
    </row>
    <row r="12" spans="1:1" x14ac:dyDescent="0.25">
      <c r="A12" s="2" t="s">
        <v>140</v>
      </c>
    </row>
    <row r="13" spans="1:1" x14ac:dyDescent="0.25">
      <c r="A13"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32"/>
  <sheetViews>
    <sheetView workbookViewId="0"/>
  </sheetViews>
  <sheetFormatPr defaultRowHeight="15" x14ac:dyDescent="0.25"/>
  <cols>
    <col min="1" max="1" width="15.42578125" bestFit="1" customWidth="1"/>
    <col min="2" max="2" width="11.85546875" bestFit="1" customWidth="1"/>
    <col min="3" max="3" width="14.28515625" bestFit="1" customWidth="1"/>
    <col min="4" max="6" width="15.140625" bestFit="1" customWidth="1"/>
    <col min="7" max="7" width="11.7109375" bestFit="1" customWidth="1"/>
    <col min="8" max="8" width="11.85546875" bestFit="1" customWidth="1"/>
    <col min="9" max="9" width="16" bestFit="1" customWidth="1"/>
    <col min="10" max="10" width="10.28515625" bestFit="1" customWidth="1"/>
    <col min="12" max="12" width="11.140625" bestFit="1" customWidth="1"/>
    <col min="13" max="13" width="13.42578125" bestFit="1" customWidth="1"/>
    <col min="14" max="14" width="9" bestFit="1" customWidth="1"/>
    <col min="15" max="15" width="12.5703125" bestFit="1" customWidth="1"/>
    <col min="16" max="16" width="14" bestFit="1" customWidth="1"/>
  </cols>
  <sheetData>
    <row r="1" spans="1:16" x14ac:dyDescent="0.25">
      <c r="A1" t="s">
        <v>182</v>
      </c>
      <c r="B1" t="s">
        <v>183</v>
      </c>
      <c r="C1" t="s">
        <v>184</v>
      </c>
      <c r="D1" t="s">
        <v>185</v>
      </c>
      <c r="E1" t="s">
        <v>186</v>
      </c>
      <c r="F1" t="s">
        <v>187</v>
      </c>
      <c r="G1" t="s">
        <v>188</v>
      </c>
      <c r="H1" t="s">
        <v>189</v>
      </c>
      <c r="I1" t="s">
        <v>190</v>
      </c>
      <c r="J1" t="s">
        <v>191</v>
      </c>
      <c r="K1" t="s">
        <v>192</v>
      </c>
      <c r="L1" t="s">
        <v>193</v>
      </c>
      <c r="M1" t="s">
        <v>194</v>
      </c>
      <c r="N1" t="s">
        <v>195</v>
      </c>
      <c r="O1" t="s">
        <v>205</v>
      </c>
      <c r="P1" t="s">
        <v>206</v>
      </c>
    </row>
    <row r="2" spans="1:16" x14ac:dyDescent="0.25">
      <c r="A2" t="str">
        <f>'Branch input'!B18</f>
        <v>DEFAULT</v>
      </c>
      <c r="C2">
        <f>'Branch input'!F18</f>
        <v>0</v>
      </c>
      <c r="D2">
        <f>'Branch input'!G18</f>
        <v>0</v>
      </c>
      <c r="E2">
        <f>'Branch input'!H18</f>
        <v>0</v>
      </c>
      <c r="F2">
        <f>'Branch input'!I18</f>
        <v>0</v>
      </c>
      <c r="G2">
        <f>'Branch input'!J18</f>
        <v>0</v>
      </c>
      <c r="H2">
        <f>'Branch input'!K18</f>
        <v>0</v>
      </c>
      <c r="I2">
        <f>'Branch input'!L18</f>
        <v>0</v>
      </c>
      <c r="J2">
        <f>'Branch input'!M18</f>
        <v>0</v>
      </c>
      <c r="K2">
        <f>'Branch input'!N18</f>
        <v>0</v>
      </c>
      <c r="L2">
        <f>'Branch input'!O18</f>
        <v>0</v>
      </c>
      <c r="M2">
        <f>'Branch input'!P18</f>
        <v>0</v>
      </c>
      <c r="N2" t="str">
        <f>'Branch input'!$C$2&amp;"S"&amp;RIGHT('Branch input'!$C$5,2)</f>
        <v>xxxxS</v>
      </c>
      <c r="O2">
        <f>'Branch input'!E18</f>
        <v>0</v>
      </c>
      <c r="P2">
        <f>'Branch input'!Q18</f>
        <v>0</v>
      </c>
    </row>
    <row r="3" spans="1:16" x14ac:dyDescent="0.25">
      <c r="A3">
        <f>'Branch input'!B19</f>
        <v>0</v>
      </c>
      <c r="C3">
        <f>'Branch input'!F19</f>
        <v>0</v>
      </c>
      <c r="D3">
        <f>'Branch input'!G19</f>
        <v>0</v>
      </c>
      <c r="E3">
        <f>'Branch input'!H19</f>
        <v>0</v>
      </c>
      <c r="F3">
        <f>'Branch input'!I19</f>
        <v>0</v>
      </c>
      <c r="G3">
        <f>'Branch input'!J19</f>
        <v>0</v>
      </c>
      <c r="H3">
        <f>'Branch input'!K19</f>
        <v>0</v>
      </c>
      <c r="I3">
        <f>'Branch input'!L19</f>
        <v>0</v>
      </c>
      <c r="J3">
        <f>'Branch input'!M19</f>
        <v>0</v>
      </c>
      <c r="K3">
        <f>'Branch input'!N19</f>
        <v>0</v>
      </c>
      <c r="L3">
        <f>'Branch input'!O19</f>
        <v>0</v>
      </c>
      <c r="M3">
        <f>'Branch input'!P19</f>
        <v>0</v>
      </c>
      <c r="N3" t="str">
        <f>'Branch input'!$C$2&amp;"S"&amp;RIGHT('Branch input'!$C$5,2)</f>
        <v>xxxxS</v>
      </c>
      <c r="O3">
        <f>'Branch input'!E19</f>
        <v>0</v>
      </c>
      <c r="P3">
        <f>'Branch input'!Q19</f>
        <v>0</v>
      </c>
    </row>
    <row r="4" spans="1:16" x14ac:dyDescent="0.25">
      <c r="A4">
        <f>'Branch input'!B20</f>
        <v>0</v>
      </c>
      <c r="C4">
        <f>'Branch input'!F20</f>
        <v>0</v>
      </c>
      <c r="D4">
        <f>'Branch input'!G20</f>
        <v>0</v>
      </c>
      <c r="E4">
        <f>'Branch input'!H20</f>
        <v>0</v>
      </c>
      <c r="F4">
        <f>'Branch input'!I20</f>
        <v>0</v>
      </c>
      <c r="G4">
        <f>'Branch input'!J20</f>
        <v>0</v>
      </c>
      <c r="H4">
        <f>'Branch input'!K20</f>
        <v>0</v>
      </c>
      <c r="I4">
        <f>'Branch input'!L20</f>
        <v>0</v>
      </c>
      <c r="J4">
        <f>'Branch input'!M20</f>
        <v>0</v>
      </c>
      <c r="K4">
        <f>'Branch input'!N20</f>
        <v>0</v>
      </c>
      <c r="L4">
        <f>'Branch input'!O20</f>
        <v>0</v>
      </c>
      <c r="M4">
        <f>'Branch input'!P20</f>
        <v>0</v>
      </c>
      <c r="N4" t="str">
        <f>'Branch input'!$C$2&amp;"S"&amp;RIGHT('Branch input'!$C$5,2)</f>
        <v>xxxxS</v>
      </c>
      <c r="O4">
        <f>'Branch input'!E20</f>
        <v>0</v>
      </c>
      <c r="P4">
        <f>'Branch input'!Q20</f>
        <v>0</v>
      </c>
    </row>
    <row r="5" spans="1:16" x14ac:dyDescent="0.25">
      <c r="A5">
        <f>'Branch input'!B21</f>
        <v>0</v>
      </c>
      <c r="C5">
        <f>'Branch input'!F21</f>
        <v>0</v>
      </c>
      <c r="D5">
        <f>'Branch input'!G21</f>
        <v>0</v>
      </c>
      <c r="E5">
        <f>'Branch input'!H21</f>
        <v>0</v>
      </c>
      <c r="F5">
        <f>'Branch input'!I21</f>
        <v>0</v>
      </c>
      <c r="G5">
        <f>'Branch input'!J21</f>
        <v>0</v>
      </c>
      <c r="H5">
        <f>'Branch input'!K21</f>
        <v>0</v>
      </c>
      <c r="I5">
        <f>'Branch input'!L21</f>
        <v>0</v>
      </c>
      <c r="J5">
        <f>'Branch input'!M21</f>
        <v>0</v>
      </c>
      <c r="K5">
        <f>'Branch input'!N21</f>
        <v>0</v>
      </c>
      <c r="L5">
        <f>'Branch input'!O21</f>
        <v>0</v>
      </c>
      <c r="M5">
        <f>'Branch input'!P21</f>
        <v>0</v>
      </c>
      <c r="N5" t="str">
        <f>'Branch input'!$C$2&amp;"S"&amp;RIGHT('Branch input'!$C$5,2)</f>
        <v>xxxxS</v>
      </c>
      <c r="O5">
        <f>'Branch input'!E21</f>
        <v>0</v>
      </c>
      <c r="P5">
        <f>'Branch input'!Q21</f>
        <v>0</v>
      </c>
    </row>
    <row r="6" spans="1:16" x14ac:dyDescent="0.25">
      <c r="A6">
        <f>'Branch input'!B22</f>
        <v>0</v>
      </c>
      <c r="C6">
        <f>'Branch input'!F22</f>
        <v>0</v>
      </c>
      <c r="D6">
        <f>'Branch input'!G22</f>
        <v>0</v>
      </c>
      <c r="E6">
        <f>'Branch input'!H22</f>
        <v>0</v>
      </c>
      <c r="F6">
        <f>'Branch input'!I22</f>
        <v>0</v>
      </c>
      <c r="G6">
        <f>'Branch input'!J22</f>
        <v>0</v>
      </c>
      <c r="H6">
        <f>'Branch input'!K22</f>
        <v>0</v>
      </c>
      <c r="I6">
        <f>'Branch input'!L22</f>
        <v>0</v>
      </c>
      <c r="J6">
        <f>'Branch input'!M22</f>
        <v>0</v>
      </c>
      <c r="K6">
        <f>'Branch input'!N22</f>
        <v>0</v>
      </c>
      <c r="L6">
        <f>'Branch input'!O22</f>
        <v>0</v>
      </c>
      <c r="M6">
        <f>'Branch input'!P22</f>
        <v>0</v>
      </c>
      <c r="N6" t="str">
        <f>'Branch input'!$C$2&amp;"S"&amp;RIGHT('Branch input'!$C$5,2)</f>
        <v>xxxxS</v>
      </c>
      <c r="O6">
        <f>'Branch input'!E22</f>
        <v>0</v>
      </c>
      <c r="P6">
        <f>'Branch input'!Q22</f>
        <v>0</v>
      </c>
    </row>
    <row r="7" spans="1:16" x14ac:dyDescent="0.25">
      <c r="A7">
        <f>'Branch input'!B23</f>
        <v>0</v>
      </c>
      <c r="C7">
        <f>'Branch input'!F23</f>
        <v>0</v>
      </c>
      <c r="D7">
        <f>'Branch input'!G23</f>
        <v>0</v>
      </c>
      <c r="E7">
        <f>'Branch input'!H23</f>
        <v>0</v>
      </c>
      <c r="F7">
        <f>'Branch input'!I23</f>
        <v>0</v>
      </c>
      <c r="G7">
        <f>'Branch input'!J23</f>
        <v>0</v>
      </c>
      <c r="H7">
        <f>'Branch input'!K23</f>
        <v>0</v>
      </c>
      <c r="I7">
        <f>'Branch input'!L23</f>
        <v>0</v>
      </c>
      <c r="J7">
        <f>'Branch input'!M23</f>
        <v>0</v>
      </c>
      <c r="K7">
        <f>'Branch input'!N23</f>
        <v>0</v>
      </c>
      <c r="L7">
        <f>'Branch input'!O23</f>
        <v>0</v>
      </c>
      <c r="M7">
        <f>'Branch input'!P23</f>
        <v>0</v>
      </c>
      <c r="N7" t="str">
        <f>'Branch input'!$C$2&amp;"S"&amp;RIGHT('Branch input'!$C$5,2)</f>
        <v>xxxxS</v>
      </c>
      <c r="O7">
        <f>'Branch input'!E23</f>
        <v>0</v>
      </c>
      <c r="P7">
        <f>'Branch input'!Q23</f>
        <v>0</v>
      </c>
    </row>
    <row r="8" spans="1:16" x14ac:dyDescent="0.25">
      <c r="A8">
        <f>'Branch input'!B24</f>
        <v>0</v>
      </c>
      <c r="C8">
        <f>'Branch input'!F24</f>
        <v>0</v>
      </c>
      <c r="D8">
        <f>'Branch input'!G24</f>
        <v>0</v>
      </c>
      <c r="E8">
        <f>'Branch input'!H24</f>
        <v>0</v>
      </c>
      <c r="F8">
        <f>'Branch input'!I24</f>
        <v>0</v>
      </c>
      <c r="G8">
        <f>'Branch input'!J24</f>
        <v>0</v>
      </c>
      <c r="H8">
        <f>'Branch input'!K24</f>
        <v>0</v>
      </c>
      <c r="I8">
        <f>'Branch input'!L24</f>
        <v>0</v>
      </c>
      <c r="J8">
        <f>'Branch input'!M24</f>
        <v>0</v>
      </c>
      <c r="K8">
        <f>'Branch input'!N24</f>
        <v>0</v>
      </c>
      <c r="L8">
        <f>'Branch input'!O24</f>
        <v>0</v>
      </c>
      <c r="M8">
        <f>'Branch input'!P24</f>
        <v>0</v>
      </c>
      <c r="N8" t="str">
        <f>'Branch input'!$C$2&amp;"S"&amp;RIGHT('Branch input'!$C$5,2)</f>
        <v>xxxxS</v>
      </c>
      <c r="O8">
        <f>'Branch input'!E24</f>
        <v>0</v>
      </c>
      <c r="P8">
        <f>'Branch input'!Q24</f>
        <v>0</v>
      </c>
    </row>
    <row r="9" spans="1:16" x14ac:dyDescent="0.25">
      <c r="A9">
        <f>'Branch input'!B25</f>
        <v>0</v>
      </c>
      <c r="C9">
        <f>'Branch input'!F25</f>
        <v>0</v>
      </c>
      <c r="D9">
        <f>'Branch input'!G25</f>
        <v>0</v>
      </c>
      <c r="E9">
        <f>'Branch input'!H25</f>
        <v>0</v>
      </c>
      <c r="F9">
        <f>'Branch input'!I25</f>
        <v>0</v>
      </c>
      <c r="G9">
        <f>'Branch input'!J25</f>
        <v>0</v>
      </c>
      <c r="H9">
        <f>'Branch input'!K25</f>
        <v>0</v>
      </c>
      <c r="I9">
        <f>'Branch input'!L25</f>
        <v>0</v>
      </c>
      <c r="J9">
        <f>'Branch input'!M25</f>
        <v>0</v>
      </c>
      <c r="K9">
        <f>'Branch input'!N25</f>
        <v>0</v>
      </c>
      <c r="L9">
        <f>'Branch input'!O25</f>
        <v>0</v>
      </c>
      <c r="M9">
        <f>'Branch input'!P25</f>
        <v>0</v>
      </c>
      <c r="N9" t="str">
        <f>'Branch input'!$C$2&amp;"S"&amp;RIGHT('Branch input'!$C$5,2)</f>
        <v>xxxxS</v>
      </c>
      <c r="O9">
        <f>'Branch input'!E25</f>
        <v>0</v>
      </c>
      <c r="P9">
        <f>'Branch input'!Q25</f>
        <v>0</v>
      </c>
    </row>
    <row r="10" spans="1:16" x14ac:dyDescent="0.25">
      <c r="A10">
        <f>'Branch input'!B26</f>
        <v>0</v>
      </c>
      <c r="C10">
        <f>'Branch input'!F26</f>
        <v>0</v>
      </c>
      <c r="D10">
        <f>'Branch input'!G26</f>
        <v>0</v>
      </c>
      <c r="E10">
        <f>'Branch input'!H26</f>
        <v>0</v>
      </c>
      <c r="F10">
        <f>'Branch input'!I26</f>
        <v>0</v>
      </c>
      <c r="G10">
        <f>'Branch input'!J26</f>
        <v>0</v>
      </c>
      <c r="H10">
        <f>'Branch input'!K26</f>
        <v>0</v>
      </c>
      <c r="I10">
        <f>'Branch input'!L26</f>
        <v>0</v>
      </c>
      <c r="J10">
        <f>'Branch input'!M26</f>
        <v>0</v>
      </c>
      <c r="K10">
        <f>'Branch input'!N26</f>
        <v>0</v>
      </c>
      <c r="L10">
        <f>'Branch input'!O26</f>
        <v>0</v>
      </c>
      <c r="M10">
        <f>'Branch input'!P26</f>
        <v>0</v>
      </c>
      <c r="N10" t="str">
        <f>'Branch input'!$C$2&amp;"S"&amp;RIGHT('Branch input'!$C$5,2)</f>
        <v>xxxxS</v>
      </c>
      <c r="O10">
        <f>'Branch input'!E26</f>
        <v>0</v>
      </c>
      <c r="P10">
        <f>'Branch input'!Q26</f>
        <v>0</v>
      </c>
    </row>
    <row r="11" spans="1:16" x14ac:dyDescent="0.25">
      <c r="A11">
        <f>'Branch input'!B27</f>
        <v>0</v>
      </c>
      <c r="C11">
        <f>'Branch input'!F27</f>
        <v>0</v>
      </c>
      <c r="D11">
        <f>'Branch input'!G27</f>
        <v>0</v>
      </c>
      <c r="E11">
        <f>'Branch input'!H27</f>
        <v>0</v>
      </c>
      <c r="F11">
        <f>'Branch input'!I27</f>
        <v>0</v>
      </c>
      <c r="G11">
        <f>'Branch input'!J27</f>
        <v>0</v>
      </c>
      <c r="H11">
        <f>'Branch input'!K27</f>
        <v>0</v>
      </c>
      <c r="I11">
        <f>'Branch input'!L27</f>
        <v>0</v>
      </c>
      <c r="J11">
        <f>'Branch input'!M27</f>
        <v>0</v>
      </c>
      <c r="K11">
        <f>'Branch input'!N27</f>
        <v>0</v>
      </c>
      <c r="L11">
        <f>'Branch input'!O27</f>
        <v>0</v>
      </c>
      <c r="M11">
        <f>'Branch input'!P27</f>
        <v>0</v>
      </c>
      <c r="N11" t="str">
        <f>'Branch input'!$C$2&amp;"S"&amp;RIGHT('Branch input'!$C$5,2)</f>
        <v>xxxxS</v>
      </c>
      <c r="O11">
        <f>'Branch input'!E27</f>
        <v>0</v>
      </c>
      <c r="P11">
        <f>'Branch input'!Q27</f>
        <v>0</v>
      </c>
    </row>
    <row r="12" spans="1:16" x14ac:dyDescent="0.25">
      <c r="A12">
        <f>'Branch input'!B28</f>
        <v>0</v>
      </c>
      <c r="C12">
        <f>'Branch input'!F28</f>
        <v>0</v>
      </c>
      <c r="D12">
        <f>'Branch input'!G28</f>
        <v>0</v>
      </c>
      <c r="E12">
        <f>'Branch input'!H28</f>
        <v>0</v>
      </c>
      <c r="F12">
        <f>'Branch input'!I28</f>
        <v>0</v>
      </c>
      <c r="G12">
        <f>'Branch input'!J28</f>
        <v>0</v>
      </c>
      <c r="H12">
        <f>'Branch input'!K28</f>
        <v>0</v>
      </c>
      <c r="I12">
        <f>'Branch input'!L28</f>
        <v>0</v>
      </c>
      <c r="J12">
        <f>'Branch input'!M28</f>
        <v>0</v>
      </c>
      <c r="K12">
        <f>'Branch input'!N28</f>
        <v>0</v>
      </c>
      <c r="L12">
        <f>'Branch input'!O28</f>
        <v>0</v>
      </c>
      <c r="M12">
        <f>'Branch input'!P28</f>
        <v>0</v>
      </c>
      <c r="N12" t="str">
        <f>'Branch input'!$C$2&amp;"S"&amp;RIGHT('Branch input'!$C$5,2)</f>
        <v>xxxxS</v>
      </c>
      <c r="O12">
        <f>'Branch input'!E28</f>
        <v>0</v>
      </c>
      <c r="P12">
        <f>'Branch input'!Q28</f>
        <v>0</v>
      </c>
    </row>
    <row r="13" spans="1:16" x14ac:dyDescent="0.25">
      <c r="A13">
        <f>'Branch input'!B29</f>
        <v>0</v>
      </c>
      <c r="C13">
        <f>'Branch input'!F29</f>
        <v>0</v>
      </c>
      <c r="D13">
        <f>'Branch input'!G29</f>
        <v>0</v>
      </c>
      <c r="E13">
        <f>'Branch input'!H29</f>
        <v>0</v>
      </c>
      <c r="F13">
        <f>'Branch input'!I29</f>
        <v>0</v>
      </c>
      <c r="G13">
        <f>'Branch input'!J29</f>
        <v>0</v>
      </c>
      <c r="H13">
        <f>'Branch input'!K29</f>
        <v>0</v>
      </c>
      <c r="I13">
        <f>'Branch input'!L29</f>
        <v>0</v>
      </c>
      <c r="J13">
        <f>'Branch input'!M29</f>
        <v>0</v>
      </c>
      <c r="K13">
        <f>'Branch input'!N29</f>
        <v>0</v>
      </c>
      <c r="L13">
        <f>'Branch input'!O29</f>
        <v>0</v>
      </c>
      <c r="M13">
        <f>'Branch input'!P29</f>
        <v>0</v>
      </c>
      <c r="N13" t="str">
        <f>'Branch input'!$C$2&amp;"S"&amp;RIGHT('Branch input'!$C$5,2)</f>
        <v>xxxxS</v>
      </c>
      <c r="O13">
        <f>'Branch input'!E29</f>
        <v>0</v>
      </c>
      <c r="P13">
        <f>'Branch input'!Q29</f>
        <v>0</v>
      </c>
    </row>
    <row r="14" spans="1:16" x14ac:dyDescent="0.25">
      <c r="A14">
        <f>'Branch input'!B30</f>
        <v>0</v>
      </c>
      <c r="C14">
        <f>'Branch input'!F30</f>
        <v>0</v>
      </c>
      <c r="D14">
        <f>'Branch input'!G30</f>
        <v>0</v>
      </c>
      <c r="E14">
        <f>'Branch input'!H30</f>
        <v>0</v>
      </c>
      <c r="F14">
        <f>'Branch input'!I30</f>
        <v>0</v>
      </c>
      <c r="G14">
        <f>'Branch input'!J30</f>
        <v>0</v>
      </c>
      <c r="H14">
        <f>'Branch input'!K30</f>
        <v>0</v>
      </c>
      <c r="I14">
        <f>'Branch input'!L30</f>
        <v>0</v>
      </c>
      <c r="J14">
        <f>'Branch input'!M30</f>
        <v>0</v>
      </c>
      <c r="K14">
        <f>'Branch input'!N30</f>
        <v>0</v>
      </c>
      <c r="L14">
        <f>'Branch input'!O30</f>
        <v>0</v>
      </c>
      <c r="M14">
        <f>'Branch input'!P30</f>
        <v>0</v>
      </c>
      <c r="N14" t="str">
        <f>'Branch input'!$C$2&amp;"S"&amp;RIGHT('Branch input'!$C$5,2)</f>
        <v>xxxxS</v>
      </c>
      <c r="O14">
        <f>'Branch input'!E30</f>
        <v>0</v>
      </c>
      <c r="P14">
        <f>'Branch input'!Q30</f>
        <v>0</v>
      </c>
    </row>
    <row r="15" spans="1:16" x14ac:dyDescent="0.25">
      <c r="A15">
        <f>'Branch input'!B31</f>
        <v>0</v>
      </c>
      <c r="C15">
        <f>'Branch input'!F31</f>
        <v>0</v>
      </c>
      <c r="D15">
        <f>'Branch input'!G31</f>
        <v>0</v>
      </c>
      <c r="E15">
        <f>'Branch input'!H31</f>
        <v>0</v>
      </c>
      <c r="F15">
        <f>'Branch input'!I31</f>
        <v>0</v>
      </c>
      <c r="G15">
        <f>'Branch input'!J31</f>
        <v>0</v>
      </c>
      <c r="H15">
        <f>'Branch input'!K31</f>
        <v>0</v>
      </c>
      <c r="I15">
        <f>'Branch input'!L31</f>
        <v>0</v>
      </c>
      <c r="J15">
        <f>'Branch input'!M31</f>
        <v>0</v>
      </c>
      <c r="K15">
        <f>'Branch input'!N31</f>
        <v>0</v>
      </c>
      <c r="L15">
        <f>'Branch input'!O31</f>
        <v>0</v>
      </c>
      <c r="M15">
        <f>'Branch input'!P31</f>
        <v>0</v>
      </c>
      <c r="N15" t="str">
        <f>'Branch input'!$C$2&amp;"S"&amp;RIGHT('Branch input'!$C$5,2)</f>
        <v>xxxxS</v>
      </c>
      <c r="O15">
        <f>'Branch input'!E31</f>
        <v>0</v>
      </c>
      <c r="P15">
        <f>'Branch input'!Q31</f>
        <v>0</v>
      </c>
    </row>
    <row r="16" spans="1:16" x14ac:dyDescent="0.25">
      <c r="A16">
        <f>'Branch input'!B32</f>
        <v>0</v>
      </c>
      <c r="C16">
        <f>'Branch input'!F32</f>
        <v>0</v>
      </c>
      <c r="D16">
        <f>'Branch input'!G32</f>
        <v>0</v>
      </c>
      <c r="E16">
        <f>'Branch input'!H32</f>
        <v>0</v>
      </c>
      <c r="F16">
        <f>'Branch input'!I32</f>
        <v>0</v>
      </c>
      <c r="G16">
        <f>'Branch input'!J32</f>
        <v>0</v>
      </c>
      <c r="H16">
        <f>'Branch input'!K32</f>
        <v>0</v>
      </c>
      <c r="I16">
        <f>'Branch input'!L32</f>
        <v>0</v>
      </c>
      <c r="J16">
        <f>'Branch input'!M32</f>
        <v>0</v>
      </c>
      <c r="K16">
        <f>'Branch input'!N32</f>
        <v>0</v>
      </c>
      <c r="L16">
        <f>'Branch input'!O32</f>
        <v>0</v>
      </c>
      <c r="M16">
        <f>'Branch input'!P32</f>
        <v>0</v>
      </c>
      <c r="N16" t="str">
        <f>'Branch input'!$C$2&amp;"S"&amp;RIGHT('Branch input'!$C$5,2)</f>
        <v>xxxxS</v>
      </c>
      <c r="O16">
        <f>'Branch input'!E32</f>
        <v>0</v>
      </c>
      <c r="P16">
        <f>'Branch input'!Q32</f>
        <v>0</v>
      </c>
    </row>
    <row r="17" spans="1:16" x14ac:dyDescent="0.25">
      <c r="A17">
        <f>'Branch input'!B33</f>
        <v>0</v>
      </c>
      <c r="C17">
        <f>'Branch input'!F33</f>
        <v>0</v>
      </c>
      <c r="D17">
        <f>'Branch input'!G33</f>
        <v>0</v>
      </c>
      <c r="E17">
        <f>'Branch input'!H33</f>
        <v>0</v>
      </c>
      <c r="F17">
        <f>'Branch input'!I33</f>
        <v>0</v>
      </c>
      <c r="G17">
        <f>'Branch input'!J33</f>
        <v>0</v>
      </c>
      <c r="H17">
        <f>'Branch input'!K33</f>
        <v>0</v>
      </c>
      <c r="I17">
        <f>'Branch input'!L33</f>
        <v>0</v>
      </c>
      <c r="J17">
        <f>'Branch input'!M33</f>
        <v>0</v>
      </c>
      <c r="K17">
        <f>'Branch input'!N33</f>
        <v>0</v>
      </c>
      <c r="L17">
        <f>'Branch input'!O33</f>
        <v>0</v>
      </c>
      <c r="M17">
        <f>'Branch input'!P33</f>
        <v>0</v>
      </c>
      <c r="N17" t="str">
        <f>'Branch input'!$C$2&amp;"S"&amp;RIGHT('Branch input'!$C$5,2)</f>
        <v>xxxxS</v>
      </c>
      <c r="O17">
        <f>'Branch input'!E33</f>
        <v>0</v>
      </c>
      <c r="P17">
        <f>'Branch input'!Q33</f>
        <v>0</v>
      </c>
    </row>
    <row r="18" spans="1:16" x14ac:dyDescent="0.25">
      <c r="A18">
        <f>'Branch input'!B34</f>
        <v>0</v>
      </c>
      <c r="C18">
        <f>'Branch input'!F34</f>
        <v>0</v>
      </c>
      <c r="D18">
        <f>'Branch input'!G34</f>
        <v>0</v>
      </c>
      <c r="E18">
        <f>'Branch input'!H34</f>
        <v>0</v>
      </c>
      <c r="F18">
        <f>'Branch input'!I34</f>
        <v>0</v>
      </c>
      <c r="G18">
        <f>'Branch input'!J34</f>
        <v>0</v>
      </c>
      <c r="H18">
        <f>'Branch input'!K34</f>
        <v>0</v>
      </c>
      <c r="I18">
        <f>'Branch input'!L34</f>
        <v>0</v>
      </c>
      <c r="J18">
        <f>'Branch input'!M34</f>
        <v>0</v>
      </c>
      <c r="K18">
        <f>'Branch input'!N34</f>
        <v>0</v>
      </c>
      <c r="L18">
        <f>'Branch input'!O34</f>
        <v>0</v>
      </c>
      <c r="M18">
        <f>'Branch input'!P34</f>
        <v>0</v>
      </c>
      <c r="N18" t="str">
        <f>'Branch input'!$C$2&amp;"S"&amp;RIGHT('Branch input'!$C$5,2)</f>
        <v>xxxxS</v>
      </c>
      <c r="O18">
        <f>'Branch input'!E34</f>
        <v>0</v>
      </c>
      <c r="P18">
        <f>'Branch input'!Q34</f>
        <v>0</v>
      </c>
    </row>
    <row r="19" spans="1:16" x14ac:dyDescent="0.25">
      <c r="A19">
        <f>'Branch input'!B35</f>
        <v>0</v>
      </c>
      <c r="C19">
        <f>'Branch input'!F35</f>
        <v>0</v>
      </c>
      <c r="D19">
        <f>'Branch input'!G35</f>
        <v>0</v>
      </c>
      <c r="E19">
        <f>'Branch input'!H35</f>
        <v>0</v>
      </c>
      <c r="F19">
        <f>'Branch input'!I35</f>
        <v>0</v>
      </c>
      <c r="G19">
        <f>'Branch input'!J35</f>
        <v>0</v>
      </c>
      <c r="H19">
        <f>'Branch input'!K35</f>
        <v>0</v>
      </c>
      <c r="I19">
        <f>'Branch input'!L35</f>
        <v>0</v>
      </c>
      <c r="J19">
        <f>'Branch input'!M35</f>
        <v>0</v>
      </c>
      <c r="K19">
        <f>'Branch input'!N35</f>
        <v>0</v>
      </c>
      <c r="L19">
        <f>'Branch input'!O35</f>
        <v>0</v>
      </c>
      <c r="M19">
        <f>'Branch input'!P35</f>
        <v>0</v>
      </c>
      <c r="N19" t="str">
        <f>'Branch input'!$C$2&amp;"S"&amp;RIGHT('Branch input'!$C$5,2)</f>
        <v>xxxxS</v>
      </c>
      <c r="O19">
        <f>'Branch input'!E35</f>
        <v>0</v>
      </c>
      <c r="P19">
        <f>'Branch input'!Q35</f>
        <v>0</v>
      </c>
    </row>
    <row r="20" spans="1:16" x14ac:dyDescent="0.25">
      <c r="A20">
        <f>'Branch input'!B36</f>
        <v>0</v>
      </c>
      <c r="C20">
        <f>'Branch input'!F36</f>
        <v>0</v>
      </c>
      <c r="D20">
        <f>'Branch input'!G36</f>
        <v>0</v>
      </c>
      <c r="E20">
        <f>'Branch input'!H36</f>
        <v>0</v>
      </c>
      <c r="F20">
        <f>'Branch input'!I36</f>
        <v>0</v>
      </c>
      <c r="G20">
        <f>'Branch input'!J36</f>
        <v>0</v>
      </c>
      <c r="H20">
        <f>'Branch input'!K36</f>
        <v>0</v>
      </c>
      <c r="I20">
        <f>'Branch input'!L36</f>
        <v>0</v>
      </c>
      <c r="J20">
        <f>'Branch input'!M36</f>
        <v>0</v>
      </c>
      <c r="K20">
        <f>'Branch input'!N36</f>
        <v>0</v>
      </c>
      <c r="L20">
        <f>'Branch input'!O36</f>
        <v>0</v>
      </c>
      <c r="M20">
        <f>'Branch input'!P36</f>
        <v>0</v>
      </c>
      <c r="N20" t="str">
        <f>'Branch input'!$C$2&amp;"S"&amp;RIGHT('Branch input'!$C$5,2)</f>
        <v>xxxxS</v>
      </c>
      <c r="O20">
        <f>'Branch input'!E36</f>
        <v>0</v>
      </c>
      <c r="P20">
        <f>'Branch input'!Q36</f>
        <v>0</v>
      </c>
    </row>
    <row r="21" spans="1:16" x14ac:dyDescent="0.25">
      <c r="A21">
        <f>'Branch input'!B37</f>
        <v>0</v>
      </c>
      <c r="C21">
        <f>'Branch input'!F37</f>
        <v>0</v>
      </c>
      <c r="D21">
        <f>'Branch input'!G37</f>
        <v>0</v>
      </c>
      <c r="E21">
        <f>'Branch input'!H37</f>
        <v>0</v>
      </c>
      <c r="F21">
        <f>'Branch input'!I37</f>
        <v>0</v>
      </c>
      <c r="G21">
        <f>'Branch input'!J37</f>
        <v>0</v>
      </c>
      <c r="H21">
        <f>'Branch input'!K37</f>
        <v>0</v>
      </c>
      <c r="I21">
        <f>'Branch input'!L37</f>
        <v>0</v>
      </c>
      <c r="J21">
        <f>'Branch input'!M37</f>
        <v>0</v>
      </c>
      <c r="K21">
        <f>'Branch input'!N37</f>
        <v>0</v>
      </c>
      <c r="L21">
        <f>'Branch input'!O37</f>
        <v>0</v>
      </c>
      <c r="M21">
        <f>'Branch input'!P37</f>
        <v>0</v>
      </c>
      <c r="N21" t="str">
        <f>'Branch input'!$C$2&amp;"S"&amp;RIGHT('Branch input'!$C$5,2)</f>
        <v>xxxxS</v>
      </c>
      <c r="O21">
        <f>'Branch input'!E37</f>
        <v>0</v>
      </c>
      <c r="P21">
        <f>'Branch input'!Q37</f>
        <v>0</v>
      </c>
    </row>
    <row r="22" spans="1:16" x14ac:dyDescent="0.25">
      <c r="A22">
        <f>'Branch input'!B38</f>
        <v>0</v>
      </c>
      <c r="C22">
        <f>'Branch input'!F38</f>
        <v>0</v>
      </c>
      <c r="D22">
        <f>'Branch input'!G38</f>
        <v>0</v>
      </c>
      <c r="E22">
        <f>'Branch input'!H38</f>
        <v>0</v>
      </c>
      <c r="F22">
        <f>'Branch input'!I38</f>
        <v>0</v>
      </c>
      <c r="G22">
        <f>'Branch input'!J38</f>
        <v>0</v>
      </c>
      <c r="H22">
        <f>'Branch input'!K38</f>
        <v>0</v>
      </c>
      <c r="I22">
        <f>'Branch input'!L38</f>
        <v>0</v>
      </c>
      <c r="J22">
        <f>'Branch input'!M38</f>
        <v>0</v>
      </c>
      <c r="K22">
        <f>'Branch input'!N38</f>
        <v>0</v>
      </c>
      <c r="L22">
        <f>'Branch input'!O38</f>
        <v>0</v>
      </c>
      <c r="M22">
        <f>'Branch input'!P38</f>
        <v>0</v>
      </c>
      <c r="N22" t="str">
        <f>'Branch input'!$C$2&amp;"S"&amp;RIGHT('Branch input'!$C$5,2)</f>
        <v>xxxxS</v>
      </c>
      <c r="O22">
        <f>'Branch input'!E38</f>
        <v>0</v>
      </c>
      <c r="P22">
        <f>'Branch input'!Q38</f>
        <v>0</v>
      </c>
    </row>
    <row r="23" spans="1:16" x14ac:dyDescent="0.25">
      <c r="A23">
        <f>'Branch input'!B39</f>
        <v>0</v>
      </c>
      <c r="C23">
        <f>'Branch input'!F39</f>
        <v>0</v>
      </c>
      <c r="D23">
        <f>'Branch input'!G39</f>
        <v>0</v>
      </c>
      <c r="E23">
        <f>'Branch input'!H39</f>
        <v>0</v>
      </c>
      <c r="F23">
        <f>'Branch input'!I39</f>
        <v>0</v>
      </c>
      <c r="G23">
        <f>'Branch input'!J39</f>
        <v>0</v>
      </c>
      <c r="H23">
        <f>'Branch input'!K39</f>
        <v>0</v>
      </c>
      <c r="I23">
        <f>'Branch input'!L39</f>
        <v>0</v>
      </c>
      <c r="J23">
        <f>'Branch input'!M39</f>
        <v>0</v>
      </c>
      <c r="K23">
        <f>'Branch input'!N39</f>
        <v>0</v>
      </c>
      <c r="L23">
        <f>'Branch input'!O39</f>
        <v>0</v>
      </c>
      <c r="M23">
        <f>'Branch input'!P39</f>
        <v>0</v>
      </c>
      <c r="N23" t="str">
        <f>'Branch input'!$C$2&amp;"S"&amp;RIGHT('Branch input'!$C$5,2)</f>
        <v>xxxxS</v>
      </c>
      <c r="O23">
        <f>'Branch input'!E39</f>
        <v>0</v>
      </c>
      <c r="P23">
        <f>'Branch input'!Q39</f>
        <v>0</v>
      </c>
    </row>
    <row r="24" spans="1:16" x14ac:dyDescent="0.25">
      <c r="A24">
        <f>'Branch input'!B40</f>
        <v>0</v>
      </c>
      <c r="C24">
        <f>'Branch input'!F40</f>
        <v>0</v>
      </c>
      <c r="D24">
        <f>'Branch input'!G40</f>
        <v>0</v>
      </c>
      <c r="E24">
        <f>'Branch input'!H40</f>
        <v>0</v>
      </c>
      <c r="F24">
        <f>'Branch input'!I40</f>
        <v>0</v>
      </c>
      <c r="G24">
        <f>'Branch input'!J40</f>
        <v>0</v>
      </c>
      <c r="H24">
        <f>'Branch input'!K40</f>
        <v>0</v>
      </c>
      <c r="I24">
        <f>'Branch input'!L40</f>
        <v>0</v>
      </c>
      <c r="J24">
        <f>'Branch input'!M40</f>
        <v>0</v>
      </c>
      <c r="K24">
        <f>'Branch input'!N40</f>
        <v>0</v>
      </c>
      <c r="L24">
        <f>'Branch input'!O40</f>
        <v>0</v>
      </c>
      <c r="M24">
        <f>'Branch input'!P40</f>
        <v>0</v>
      </c>
      <c r="N24" t="str">
        <f>'Branch input'!$C$2&amp;"S"&amp;RIGHT('Branch input'!$C$5,2)</f>
        <v>xxxxS</v>
      </c>
      <c r="O24">
        <f>'Branch input'!E40</f>
        <v>0</v>
      </c>
      <c r="P24">
        <f>'Branch input'!Q40</f>
        <v>0</v>
      </c>
    </row>
    <row r="25" spans="1:16" x14ac:dyDescent="0.25">
      <c r="A25">
        <f>'Branch input'!B41</f>
        <v>0</v>
      </c>
      <c r="C25">
        <f>'Branch input'!F41</f>
        <v>0</v>
      </c>
      <c r="D25">
        <f>'Branch input'!G41</f>
        <v>0</v>
      </c>
      <c r="E25">
        <f>'Branch input'!H41</f>
        <v>0</v>
      </c>
      <c r="F25">
        <f>'Branch input'!I41</f>
        <v>0</v>
      </c>
      <c r="G25">
        <f>'Branch input'!J41</f>
        <v>0</v>
      </c>
      <c r="H25">
        <f>'Branch input'!K41</f>
        <v>0</v>
      </c>
      <c r="I25">
        <f>'Branch input'!L41</f>
        <v>0</v>
      </c>
      <c r="J25">
        <f>'Branch input'!M41</f>
        <v>0</v>
      </c>
      <c r="K25">
        <f>'Branch input'!N41</f>
        <v>0</v>
      </c>
      <c r="L25">
        <f>'Branch input'!O41</f>
        <v>0</v>
      </c>
      <c r="M25">
        <f>'Branch input'!P41</f>
        <v>0</v>
      </c>
      <c r="N25" t="str">
        <f>'Branch input'!$C$2&amp;"S"&amp;RIGHT('Branch input'!$C$5,2)</f>
        <v>xxxxS</v>
      </c>
      <c r="O25">
        <f>'Branch input'!E41</f>
        <v>0</v>
      </c>
      <c r="P25">
        <f>'Branch input'!Q41</f>
        <v>0</v>
      </c>
    </row>
    <row r="26" spans="1:16" x14ac:dyDescent="0.25">
      <c r="A26">
        <f>'Branch input'!B42</f>
        <v>0</v>
      </c>
      <c r="C26">
        <f>'Branch input'!F42</f>
        <v>0</v>
      </c>
      <c r="D26">
        <f>'Branch input'!G42</f>
        <v>0</v>
      </c>
      <c r="E26">
        <f>'Branch input'!H42</f>
        <v>0</v>
      </c>
      <c r="F26">
        <f>'Branch input'!I42</f>
        <v>0</v>
      </c>
      <c r="G26">
        <f>'Branch input'!J42</f>
        <v>0</v>
      </c>
      <c r="H26">
        <f>'Branch input'!K42</f>
        <v>0</v>
      </c>
      <c r="I26">
        <f>'Branch input'!L42</f>
        <v>0</v>
      </c>
      <c r="J26">
        <f>'Branch input'!M42</f>
        <v>0</v>
      </c>
      <c r="K26">
        <f>'Branch input'!N42</f>
        <v>0</v>
      </c>
      <c r="L26">
        <f>'Branch input'!O42</f>
        <v>0</v>
      </c>
      <c r="M26">
        <f>'Branch input'!P42</f>
        <v>0</v>
      </c>
      <c r="N26" t="str">
        <f>'Branch input'!$C$2&amp;"S"&amp;RIGHT('Branch input'!$C$5,2)</f>
        <v>xxxxS</v>
      </c>
      <c r="O26">
        <f>'Branch input'!E42</f>
        <v>0</v>
      </c>
      <c r="P26">
        <f>'Branch input'!Q42</f>
        <v>0</v>
      </c>
    </row>
    <row r="27" spans="1:16" x14ac:dyDescent="0.25">
      <c r="A27">
        <f>'Branch input'!B43</f>
        <v>0</v>
      </c>
      <c r="C27">
        <f>'Branch input'!F43</f>
        <v>0</v>
      </c>
      <c r="D27">
        <f>'Branch input'!G43</f>
        <v>0</v>
      </c>
      <c r="E27">
        <f>'Branch input'!H43</f>
        <v>0</v>
      </c>
      <c r="F27">
        <f>'Branch input'!I43</f>
        <v>0</v>
      </c>
      <c r="G27">
        <f>'Branch input'!J43</f>
        <v>0</v>
      </c>
      <c r="H27">
        <f>'Branch input'!K43</f>
        <v>0</v>
      </c>
      <c r="I27">
        <f>'Branch input'!L43</f>
        <v>0</v>
      </c>
      <c r="J27">
        <f>'Branch input'!M43</f>
        <v>0</v>
      </c>
      <c r="K27">
        <f>'Branch input'!N43</f>
        <v>0</v>
      </c>
      <c r="L27">
        <f>'Branch input'!O43</f>
        <v>0</v>
      </c>
      <c r="M27">
        <f>'Branch input'!P43</f>
        <v>0</v>
      </c>
      <c r="N27" t="str">
        <f>'Branch input'!$C$2&amp;"S"&amp;RIGHT('Branch input'!$C$5,2)</f>
        <v>xxxxS</v>
      </c>
      <c r="O27">
        <f>'Branch input'!E43</f>
        <v>0</v>
      </c>
      <c r="P27">
        <f>'Branch input'!Q43</f>
        <v>0</v>
      </c>
    </row>
    <row r="28" spans="1:16" x14ac:dyDescent="0.25">
      <c r="A28">
        <f>'Branch input'!B44</f>
        <v>0</v>
      </c>
      <c r="C28">
        <f>'Branch input'!F44</f>
        <v>0</v>
      </c>
      <c r="D28">
        <f>'Branch input'!G44</f>
        <v>0</v>
      </c>
      <c r="E28">
        <f>'Branch input'!H44</f>
        <v>0</v>
      </c>
      <c r="F28">
        <f>'Branch input'!I44</f>
        <v>0</v>
      </c>
      <c r="G28">
        <f>'Branch input'!J44</f>
        <v>0</v>
      </c>
      <c r="H28">
        <f>'Branch input'!K44</f>
        <v>0</v>
      </c>
      <c r="I28">
        <f>'Branch input'!L44</f>
        <v>0</v>
      </c>
      <c r="J28">
        <f>'Branch input'!M44</f>
        <v>0</v>
      </c>
      <c r="K28">
        <f>'Branch input'!N44</f>
        <v>0</v>
      </c>
      <c r="L28">
        <f>'Branch input'!O44</f>
        <v>0</v>
      </c>
      <c r="M28">
        <f>'Branch input'!P44</f>
        <v>0</v>
      </c>
      <c r="N28" t="str">
        <f>'Branch input'!$C$2&amp;"S"&amp;RIGHT('Branch input'!$C$5,2)</f>
        <v>xxxxS</v>
      </c>
      <c r="O28">
        <f>'Branch input'!E44</f>
        <v>0</v>
      </c>
      <c r="P28">
        <f>'Branch input'!Q44</f>
        <v>0</v>
      </c>
    </row>
    <row r="29" spans="1:16" x14ac:dyDescent="0.25">
      <c r="A29">
        <f>'Branch input'!B45</f>
        <v>0</v>
      </c>
      <c r="C29">
        <f>'Branch input'!F45</f>
        <v>0</v>
      </c>
      <c r="D29">
        <f>'Branch input'!G45</f>
        <v>0</v>
      </c>
      <c r="E29">
        <f>'Branch input'!H45</f>
        <v>0</v>
      </c>
      <c r="F29">
        <f>'Branch input'!I45</f>
        <v>0</v>
      </c>
      <c r="G29">
        <f>'Branch input'!J45</f>
        <v>0</v>
      </c>
      <c r="H29">
        <f>'Branch input'!K45</f>
        <v>0</v>
      </c>
      <c r="I29">
        <f>'Branch input'!L45</f>
        <v>0</v>
      </c>
      <c r="J29">
        <f>'Branch input'!M45</f>
        <v>0</v>
      </c>
      <c r="K29">
        <f>'Branch input'!N45</f>
        <v>0</v>
      </c>
      <c r="L29">
        <f>'Branch input'!O45</f>
        <v>0</v>
      </c>
      <c r="M29">
        <f>'Branch input'!P45</f>
        <v>0</v>
      </c>
      <c r="N29" t="str">
        <f>'Branch input'!$C$2&amp;"S"&amp;RIGHT('Branch input'!$C$5,2)</f>
        <v>xxxxS</v>
      </c>
      <c r="O29">
        <f>'Branch input'!E45</f>
        <v>0</v>
      </c>
      <c r="P29">
        <f>'Branch input'!Q45</f>
        <v>0</v>
      </c>
    </row>
    <row r="30" spans="1:16" x14ac:dyDescent="0.25">
      <c r="A30">
        <f>'Branch input'!B46</f>
        <v>0</v>
      </c>
      <c r="C30">
        <f>'Branch input'!F46</f>
        <v>0</v>
      </c>
      <c r="D30">
        <f>'Branch input'!G46</f>
        <v>0</v>
      </c>
      <c r="E30">
        <f>'Branch input'!H46</f>
        <v>0</v>
      </c>
      <c r="F30">
        <f>'Branch input'!I46</f>
        <v>0</v>
      </c>
      <c r="G30">
        <f>'Branch input'!J46</f>
        <v>0</v>
      </c>
      <c r="H30">
        <f>'Branch input'!K46</f>
        <v>0</v>
      </c>
      <c r="I30">
        <f>'Branch input'!L46</f>
        <v>0</v>
      </c>
      <c r="J30">
        <f>'Branch input'!M46</f>
        <v>0</v>
      </c>
      <c r="K30">
        <f>'Branch input'!N46</f>
        <v>0</v>
      </c>
      <c r="L30">
        <f>'Branch input'!O46</f>
        <v>0</v>
      </c>
      <c r="M30">
        <f>'Branch input'!P46</f>
        <v>0</v>
      </c>
      <c r="N30" t="str">
        <f>'Branch input'!$C$2&amp;"S"&amp;RIGHT('Branch input'!$C$5,2)</f>
        <v>xxxxS</v>
      </c>
      <c r="O30">
        <f>'Branch input'!E46</f>
        <v>0</v>
      </c>
      <c r="P30">
        <f>'Branch input'!Q46</f>
        <v>0</v>
      </c>
    </row>
    <row r="31" spans="1:16" x14ac:dyDescent="0.25">
      <c r="A31">
        <f>'Branch input'!B47</f>
        <v>0</v>
      </c>
      <c r="C31">
        <f>'Branch input'!F47</f>
        <v>0</v>
      </c>
      <c r="D31">
        <f>'Branch input'!G47</f>
        <v>0</v>
      </c>
      <c r="E31">
        <f>'Branch input'!H47</f>
        <v>0</v>
      </c>
      <c r="F31">
        <f>'Branch input'!I47</f>
        <v>0</v>
      </c>
      <c r="G31">
        <f>'Branch input'!J47</f>
        <v>0</v>
      </c>
      <c r="H31">
        <f>'Branch input'!K47</f>
        <v>0</v>
      </c>
      <c r="I31">
        <f>'Branch input'!L47</f>
        <v>0</v>
      </c>
      <c r="J31">
        <f>'Branch input'!M47</f>
        <v>0</v>
      </c>
      <c r="K31">
        <f>'Branch input'!N47</f>
        <v>0</v>
      </c>
      <c r="L31">
        <f>'Branch input'!O47</f>
        <v>0</v>
      </c>
      <c r="M31">
        <f>'Branch input'!P47</f>
        <v>0</v>
      </c>
      <c r="N31" t="str">
        <f>'Branch input'!$C$2&amp;"S"&amp;RIGHT('Branch input'!$C$5,2)</f>
        <v>xxxxS</v>
      </c>
      <c r="O31">
        <f>'Branch input'!E47</f>
        <v>0</v>
      </c>
      <c r="P31">
        <f>'Branch input'!Q47</f>
        <v>0</v>
      </c>
    </row>
    <row r="32" spans="1:16" x14ac:dyDescent="0.25">
      <c r="A32">
        <f>'Branch input'!B48</f>
        <v>0</v>
      </c>
      <c r="C32">
        <f>'Branch input'!F48</f>
        <v>0</v>
      </c>
      <c r="D32">
        <f>'Branch input'!G48</f>
        <v>0</v>
      </c>
      <c r="E32">
        <f>'Branch input'!H48</f>
        <v>0</v>
      </c>
      <c r="F32">
        <f>'Branch input'!I48</f>
        <v>0</v>
      </c>
      <c r="G32">
        <f>'Branch input'!J48</f>
        <v>0</v>
      </c>
      <c r="H32">
        <f>'Branch input'!K48</f>
        <v>0</v>
      </c>
      <c r="I32">
        <f>'Branch input'!L48</f>
        <v>0</v>
      </c>
      <c r="J32">
        <f>'Branch input'!M48</f>
        <v>0</v>
      </c>
      <c r="K32">
        <f>'Branch input'!N48</f>
        <v>0</v>
      </c>
      <c r="L32">
        <f>'Branch input'!O48</f>
        <v>0</v>
      </c>
      <c r="M32">
        <f>'Branch input'!P48</f>
        <v>0</v>
      </c>
      <c r="N32" t="str">
        <f>'Branch input'!$C$2&amp;"S"&amp;RIGHT('Branch input'!$C$5,2)</f>
        <v>xxxxS</v>
      </c>
      <c r="O32">
        <f>'Branch input'!E48</f>
        <v>0</v>
      </c>
      <c r="P32">
        <f>'Branch input'!Q48</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5C4CF4AD86403439646D265FACEC69A" ma:contentTypeVersion="0" ma:contentTypeDescription="Create a new document." ma:contentTypeScope="" ma:versionID="09a8ec287835c12944294c295257c2e1">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9F87627-4966-4E98-A86F-9C25F30D9FA7}">
  <ds:schemaRefs>
    <ds:schemaRef ds:uri="http://schemas.microsoft.com/sharepoint/v3/contenttype/forms"/>
  </ds:schemaRefs>
</ds:datastoreItem>
</file>

<file path=customXml/itemProps2.xml><?xml version="1.0" encoding="utf-8"?>
<ds:datastoreItem xmlns:ds="http://schemas.openxmlformats.org/officeDocument/2006/customXml" ds:itemID="{5990F6AC-18F4-4B29-994D-51C2A3588F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E41682A0-6C4B-433F-8FF6-B720C4AE970E}">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Instructions - Read Me First</vt:lpstr>
      <vt:lpstr>Branch input</vt:lpstr>
      <vt:lpstr>More Details</vt:lpstr>
      <vt:lpstr>Mapping</vt:lpstr>
      <vt:lpstr>Validation List</vt:lpstr>
      <vt:lpstr>DX Import Sheet</vt:lpstr>
      <vt:lpstr>BranchIno</vt:lpstr>
      <vt:lpstr>PEDs</vt:lpstr>
      <vt:lpstr>'Instructions - Read Me First'!Print_Area</vt:lpstr>
      <vt:lpstr>Printers</vt:lpstr>
      <vt:lpstr>TillNo</vt:lpstr>
      <vt:lpstr>Tills</vt:lpstr>
    </vt:vector>
  </TitlesOfParts>
  <Company>SAINT-GOBAIN 1.8</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Beck, Anna</dc:creator>
  <cp:lastModifiedBy>Ralph, Dean</cp:lastModifiedBy>
  <cp:lastPrinted>2018-09-12T15:40:50Z</cp:lastPrinted>
  <dcterms:created xsi:type="dcterms:W3CDTF">2018-02-15T08:27:31Z</dcterms:created>
  <dcterms:modified xsi:type="dcterms:W3CDTF">2018-10-05T08:43:56Z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0x010100C5C4CF4AD86403439646D265FACEC69A</vt:lpwstr>
  </property>
</Properties>
</file>