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d5611119\Documents\Macros\"/>
    </mc:Choice>
  </mc:AlternateContent>
  <bookViews>
    <workbookView xWindow="0" yWindow="0" windowWidth="28800" windowHeight="11700"/>
  </bookViews>
  <sheets>
    <sheet name="Sheet1" sheetId="1" r:id="rId1"/>
    <sheet name="Sheet2" sheetId="2" r:id="rId2"/>
    <sheet name="Sheet3" sheetId="3" r:id="rId3"/>
  </sheet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1" l="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2" i="1"/>
  <c r="F1" i="1"/>
  <c r="F33" i="1"/>
  <c r="F3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4" i="1"/>
  <c r="G3" i="1"/>
</calcChain>
</file>

<file path=xl/sharedStrings.xml><?xml version="1.0" encoding="utf-8"?>
<sst xmlns="http://schemas.openxmlformats.org/spreadsheetml/2006/main" count="69" uniqueCount="52">
  <si>
    <t>Update CF branc Active flag 8 (BR)</t>
  </si>
  <si>
    <t>Outstanding deliveries (BR)</t>
  </si>
  <si>
    <t>Outstanding Stock Adjustments (BR)</t>
  </si>
  <si>
    <t>Outstanding Mill Orders (BR)</t>
  </si>
  <si>
    <t>Outstanding OMR (BR)</t>
  </si>
  <si>
    <t>Outstanding COD payments (BR)</t>
  </si>
  <si>
    <t>Outstanding cash/till recon (BR)</t>
  </si>
  <si>
    <t>Outstanding banking (BR)</t>
  </si>
  <si>
    <t>Inactive PO (BR)</t>
  </si>
  <si>
    <t>Outstanding PO requisitions (BR)</t>
  </si>
  <si>
    <t>Update Sales Analysis</t>
  </si>
  <si>
    <t>Central Invoice Extraction</t>
  </si>
  <si>
    <t>EFT receipt analysis</t>
  </si>
  <si>
    <t>SOP End of Day Report</t>
  </si>
  <si>
    <t>BR/pqery extraction - Messages</t>
  </si>
  <si>
    <t>kcclwK41269801_104203.899.txt</t>
  </si>
  <si>
    <t>kcclwK43269801_104331.665.txt</t>
  </si>
  <si>
    <t>kcclwK43269801_104335.783.txt</t>
  </si>
  <si>
    <t>kcclwK43269801_104336.978.txt</t>
  </si>
  <si>
    <t>kcclwK43269801_104338.140.txt</t>
  </si>
  <si>
    <t>kcclwK43269801_104339.271.txt</t>
  </si>
  <si>
    <t>kcclwK43269801_104340.369.txt</t>
  </si>
  <si>
    <t>kcclwK43269801_104341.470.txt</t>
  </si>
  <si>
    <t>kcclwK43269801_104342.709.txt</t>
  </si>
  <si>
    <t>kcclwK43269801_104344.842.txt</t>
  </si>
  <si>
    <t>kcclwK43269802_104345.950.txt</t>
  </si>
  <si>
    <t>kcclwK43269801_104347.138.txt</t>
  </si>
  <si>
    <t>kcclwK43269801_104349.293.txt</t>
  </si>
  <si>
    <t>kcclwK43269801_104352.533.txt</t>
  </si>
  <si>
    <t>kcclwK43269801_104353.705.txt</t>
  </si>
  <si>
    <t>kcclwK45269802_104513.417.txt</t>
  </si>
  <si>
    <t>kcclwK46269801_104618.758.txt</t>
  </si>
  <si>
    <t xml:space="preserve"> Orphaned EFT Authorisations removed report </t>
  </si>
  <si>
    <t xml:space="preserve"> Additional extract CUSTOMER (BR) </t>
  </si>
  <si>
    <t xml:space="preserve"> Additional extract SUPPLIER (BR) </t>
  </si>
  <si>
    <t xml:space="preserve"> Additional extract STOCK (BR) </t>
  </si>
  <si>
    <t xml:space="preserve"> Additional extract TALLY (BR) </t>
  </si>
  <si>
    <t xml:space="preserve"> Purchase lines by order type report </t>
  </si>
  <si>
    <t xml:space="preserve"> Purchase orders tally details report </t>
  </si>
  <si>
    <t xml:space="preserve"> Purchase order paragraphs report </t>
  </si>
  <si>
    <t xml:space="preserve"> Sales orders by order type report </t>
  </si>
  <si>
    <t xml:space="preserve"> Deposits by order category report </t>
  </si>
  <si>
    <t xml:space="preserve"> Cash Advances Reconciliation (BR) </t>
  </si>
  <si>
    <t xml:space="preserve"> Sales order lines by order status report </t>
  </si>
  <si>
    <t xml:space="preserve"> Additional extract SO Log (BR) </t>
  </si>
  <si>
    <t xml:space="preserve"> Additional extract SO Archive (BR) </t>
  </si>
  <si>
    <t xml:space="preserve"> HX Branch clear down report </t>
  </si>
  <si>
    <t xml:space="preserve"> Update CF branc Active flag N (BR) </t>
  </si>
  <si>
    <t xml:space="preserve"> Migration log entries for branch 990 dated 26/09/2018 </t>
  </si>
  <si>
    <t>"Update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 Additional extract SO Log (BR) "," Additional extract SO Archive (BR) "," HX Branch clear down report "," Update CF branc Active flag N (BR) "," Migration log entries for branch 990 dated 26/09/2018 ",</t>
  </si>
  <si>
    <t xml:space="preserve">"Update CF branc Active flag 8 (BR)" , "Outstanding deliveries (BR)" , "Outstanding Stock Adjustments (BR)" , "Outstanding Mill Orders (BR)" , "Outstanding OMR (BR)" , "Outstanding COD payments (BR)" , "Outstanding cash/till recon (BR)" , "Outstanding banking (BR)" , "Outstanding PO requisitions (BR)" , "Inactive PO (BR)" , "Update Sales Analysis" , "Central Invoice Extraction" , "EFT receipt analysis" , "SOP End of Day Report" , "BR/pqery extraction - Messages" ,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 "Additional extract SO Log (BR)" , "Additional extract SO Archive (BR)" , "HX Branch clear down report" , "Update CF branc Active flag N (BR)" , "Migration log entries for branch 990 dated 26/09/2018" , </t>
  </si>
  <si>
    <t>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(BR);Sales order lines by order status report;Additional extract SO Log (BR);Additional extract SO Archive (BR);HX Branch clear down report;Update CF branc Active flag N (BR);Migration log entries for branch 990 dated 26/09/2018;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</si>
</sst>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font>
      <sz val="11"/>
      <color theme="1"/>
      <name val="Calibri"/>
      <family val="2"/>
      <scheme val="minor"/>
    </font>
    <font>
      <sz val="10"/>
      <color theme="1"/>
      <name val="Arial Unicode MS"/>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4">
    <xf numFmtId="0" fontId="0" fillId="0" borderId="0" xfId="0"/>
    <xf numFmtId="0" fontId="1" fillId="0" borderId="0" xfId="0" applyFont="1"/>
    <xf numFmtId="0" fontId="0" fillId="0" borderId="0" xfId="0" applyAlignment="1">
      <alignment vertical="center" wrapText="1"/>
    </xf>
    <xf numFmtId="0" fontId="2" fillId="0" borderId="0" xfId="1" applyAlignment="1">
      <alignmen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10.211.108.35:8090/txt/kcclwK43269801_104341.470.txt" TargetMode="External"/><Relationship Id="rId13" Type="http://schemas.openxmlformats.org/officeDocument/2006/relationships/hyperlink" Target="http://10.211.108.35:8090/txt/kcclwK43269801_104349.293.txt" TargetMode="External"/><Relationship Id="rId3" Type="http://schemas.openxmlformats.org/officeDocument/2006/relationships/hyperlink" Target="http://10.211.108.35:8090/txt/kcclwK43269801_104335.783.txt" TargetMode="External"/><Relationship Id="rId7" Type="http://schemas.openxmlformats.org/officeDocument/2006/relationships/hyperlink" Target="http://10.211.108.35:8090/txt/kcclwK43269801_104340.369.txt" TargetMode="External"/><Relationship Id="rId12" Type="http://schemas.openxmlformats.org/officeDocument/2006/relationships/hyperlink" Target="http://10.211.108.35:8090/txt/kcclwK43269801_104347.138.txt" TargetMode="External"/><Relationship Id="rId17" Type="http://schemas.openxmlformats.org/officeDocument/2006/relationships/hyperlink" Target="http://10.211.108.35:8090/txt/kcclwK46269801_104618.758.txt" TargetMode="External"/><Relationship Id="rId2" Type="http://schemas.openxmlformats.org/officeDocument/2006/relationships/hyperlink" Target="http://10.211.108.35:8090/txt/kcclwK43269801_104331.665.txt" TargetMode="External"/><Relationship Id="rId16" Type="http://schemas.openxmlformats.org/officeDocument/2006/relationships/hyperlink" Target="http://10.211.108.35:8090/txt/kcclwK45269802_104513.417.txt" TargetMode="External"/><Relationship Id="rId1" Type="http://schemas.openxmlformats.org/officeDocument/2006/relationships/hyperlink" Target="http://10.211.108.35:8090/txt/kcclwK41269801_104203.899.txt" TargetMode="External"/><Relationship Id="rId6" Type="http://schemas.openxmlformats.org/officeDocument/2006/relationships/hyperlink" Target="http://10.211.108.35:8090/txt/kcclwK43269801_104339.271.txt" TargetMode="External"/><Relationship Id="rId11" Type="http://schemas.openxmlformats.org/officeDocument/2006/relationships/hyperlink" Target="http://10.211.108.35:8090/txt/kcclwK43269802_104345.950.txt" TargetMode="External"/><Relationship Id="rId5" Type="http://schemas.openxmlformats.org/officeDocument/2006/relationships/hyperlink" Target="http://10.211.108.35:8090/txt/kcclwK43269801_104338.140.txt" TargetMode="External"/><Relationship Id="rId15" Type="http://schemas.openxmlformats.org/officeDocument/2006/relationships/hyperlink" Target="http://10.211.108.35:8090/txt/kcclwK43269801_104353.705.txt" TargetMode="External"/><Relationship Id="rId10" Type="http://schemas.openxmlformats.org/officeDocument/2006/relationships/hyperlink" Target="http://10.211.108.35:8090/txt/kcclwK43269801_104344.842.txt" TargetMode="External"/><Relationship Id="rId4" Type="http://schemas.openxmlformats.org/officeDocument/2006/relationships/hyperlink" Target="http://10.211.108.35:8090/txt/kcclwK43269801_104336.978.txt" TargetMode="External"/><Relationship Id="rId9" Type="http://schemas.openxmlformats.org/officeDocument/2006/relationships/hyperlink" Target="http://10.211.108.35:8090/txt/kcclwK43269801_104342.709.txt" TargetMode="External"/><Relationship Id="rId14" Type="http://schemas.openxmlformats.org/officeDocument/2006/relationships/hyperlink" Target="http://10.211.108.35:8090/txt/kcclwK43269801_104352.533.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6"/>
  <sheetViews>
    <sheetView tabSelected="1" workbookViewId="0">
      <selection activeCell="F1" sqref="F1"/>
    </sheetView>
  </sheetViews>
  <sheetFormatPr defaultRowHeight="15"/>
  <sheetData>
    <row r="1" spans="1:7">
      <c r="A1" s="1" t="s">
        <v>0</v>
      </c>
      <c r="F1" t="str">
        <f>TRIM(A1)&amp;" ;"</f>
        <v>Update CF branc Active flag 8 (BR) ;</v>
      </c>
    </row>
    <row r="2" spans="1:7">
      <c r="A2" s="1" t="s">
        <v>1</v>
      </c>
      <c r="F2" t="str">
        <f>F1&amp;TRIM(A2)&amp;";"</f>
        <v>Update CF branc Active flag 8 (BR) ;Outstanding deliveries (BR);</v>
      </c>
    </row>
    <row r="3" spans="1:7">
      <c r="A3" s="1" t="s">
        <v>2</v>
      </c>
      <c r="F3" t="str">
        <f t="shared" ref="F3:F32" si="0">F2&amp;TRIM(A3)&amp;";"</f>
        <v>Update CF branc Active flag 8 (BR) ;Outstanding deliveries (BR);Outstanding Stock Adjustments (BR);</v>
      </c>
      <c r="G3" t="str">
        <f>CHAR(34)&amp;A1&amp;CHAR(34)&amp;","</f>
        <v>"Update CF branc Active flag 8 (BR)",</v>
      </c>
    </row>
    <row r="4" spans="1:7">
      <c r="A4" s="1" t="s">
        <v>3</v>
      </c>
      <c r="F4" t="str">
        <f t="shared" si="0"/>
        <v>Update CF branc Active flag 8 (BR) ;Outstanding deliveries (BR);Outstanding Stock Adjustments (BR);Outstanding Mill Orders (BR);</v>
      </c>
      <c r="G4" t="str">
        <f>G3&amp;CHAR(34)&amp;A2&amp;CHAR(34)&amp;","</f>
        <v>"Update CF branc Active flag 8 (BR)","Outstanding deliveries (BR)",</v>
      </c>
    </row>
    <row r="5" spans="1:7">
      <c r="A5" s="1" t="s">
        <v>4</v>
      </c>
      <c r="F5" t="str">
        <f t="shared" si="0"/>
        <v>Update CF branc Active flag 8 (BR) ;Outstanding deliveries (BR);Outstanding Stock Adjustments (BR);Outstanding Mill Orders (BR);Outstanding OMR (BR);</v>
      </c>
      <c r="G5" t="str">
        <f t="shared" ref="G5:G36" si="1">G4&amp;CHAR(34)&amp;A3&amp;CHAR(34)&amp;","</f>
        <v>"Update CF branc Active flag 8 (BR)","Outstanding deliveries (BR)","Outstanding Stock Adjustments (BR)",</v>
      </c>
    </row>
    <row r="6" spans="1:7">
      <c r="A6" s="1" t="s">
        <v>5</v>
      </c>
      <c r="F6" t="str">
        <f t="shared" si="0"/>
        <v>Update CF branc Active flag 8 (BR) ;Outstanding deliveries (BR);Outstanding Stock Adjustments (BR);Outstanding Mill Orders (BR);Outstanding OMR (BR);Outstanding COD payments (BR);</v>
      </c>
      <c r="G6" t="str">
        <f t="shared" si="1"/>
        <v>"Update CF branc Active flag 8 (BR)","Outstanding deliveries (BR)","Outstanding Stock Adjustments (BR)","Outstanding Mill Orders (BR)",</v>
      </c>
    </row>
    <row r="7" spans="1:7">
      <c r="A7" t="s">
        <v>6</v>
      </c>
      <c r="F7" t="str">
        <f t="shared" si="0"/>
        <v>Update CF branc Active flag 8 (BR) ;Outstanding deliveries (BR);Outstanding Stock Adjustments (BR);Outstanding Mill Orders (BR);Outstanding OMR (BR);Outstanding COD payments (BR);Outstanding cash/till recon (BR);</v>
      </c>
      <c r="G7" t="str">
        <f t="shared" si="1"/>
        <v>"Update CF branc Active flag 8 (BR)","Outstanding deliveries (BR)","Outstanding Stock Adjustments (BR)","Outstanding Mill Orders (BR)","Outstanding OMR (BR)",</v>
      </c>
    </row>
    <row r="8" spans="1:7">
      <c r="A8" t="s">
        <v>7</v>
      </c>
      <c r="F8" t="str">
        <f t="shared" si="0"/>
        <v>Update CF branc Active flag 8 (BR) ;Outstanding deliveries (BR);Outstanding Stock Adjustments (BR);Outstanding Mill Orders (BR);Outstanding OMR (BR);Outstanding COD payments (BR);Outstanding cash/till recon (BR);Outstanding banking (BR);</v>
      </c>
      <c r="G8" t="str">
        <f t="shared" si="1"/>
        <v>"Update CF branc Active flag 8 (BR)","Outstanding deliveries (BR)","Outstanding Stock Adjustments (BR)","Outstanding Mill Orders (BR)","Outstanding OMR (BR)","Outstanding COD payments (BR)",</v>
      </c>
    </row>
    <row r="9" spans="1:7">
      <c r="A9" t="s">
        <v>9</v>
      </c>
      <c r="F9" t="str">
        <f t="shared" si="0"/>
        <v>Update CF branc Active flag 8 (BR) ;Outstanding deliveries (BR);Outstanding Stock Adjustments (BR);Outstanding Mill Orders (BR);Outstanding OMR (BR);Outstanding COD payments (BR);Outstanding cash/till recon (BR);Outstanding banking (BR);Outstanding PO requisitions (BR);</v>
      </c>
      <c r="G9" t="str">
        <f t="shared" si="1"/>
        <v>"Update CF branc Active flag 8 (BR)","Outstanding deliveries (BR)","Outstanding Stock Adjustments (BR)","Outstanding Mill Orders (BR)","Outstanding OMR (BR)","Outstanding COD payments (BR)","Outstanding cash/till recon (BR)",</v>
      </c>
    </row>
    <row r="10" spans="1:7">
      <c r="A10" t="s">
        <v>8</v>
      </c>
      <c r="F10" t="str">
        <f t="shared" si="0"/>
        <v>Update CF branc Active flag 8 (BR) ;Outstanding deliveries (BR);Outstanding Stock Adjustments (BR);Outstanding Mill Orders (BR);Outstanding OMR (BR);Outstanding COD payments (BR);Outstanding cash/till recon (BR);Outstanding banking (BR);Outstanding PO requisitions (BR);Inactive PO (BR);</v>
      </c>
      <c r="G10" t="str">
        <f t="shared" si="1"/>
        <v>"Update CF branc Active flag 8 (BR)","Outstanding deliveries (BR)","Outstanding Stock Adjustments (BR)","Outstanding Mill Orders (BR)","Outstanding OMR (BR)","Outstanding COD payments (BR)","Outstanding cash/till recon (BR)","Outstanding banking (BR)",</v>
      </c>
    </row>
    <row r="11" spans="1:7">
      <c r="A11" t="s">
        <v>10</v>
      </c>
      <c r="F11"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v>
      </c>
      <c r="G11" t="str">
        <f t="shared" si="1"/>
        <v>"Update CF branc Active flag 8 (BR)","Outstanding deliveries (BR)","Outstanding Stock Adjustments (BR)","Outstanding Mill Orders (BR)","Outstanding OMR (BR)","Outstanding COD payments (BR)","Outstanding cash/till recon (BR)","Outstanding banking (BR)","Outstanding PO requisitions (BR)",</v>
      </c>
    </row>
    <row r="12" spans="1:7">
      <c r="A12" t="s">
        <v>11</v>
      </c>
      <c r="F12"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v>
      </c>
      <c r="G12" t="str">
        <f t="shared" si="1"/>
        <v>"Update CF branc Active flag 8 (BR)","Outstanding deliveries (BR)","Outstanding Stock Adjustments (BR)","Outstanding Mill Orders (BR)","Outstanding OMR (BR)","Outstanding COD payments (BR)","Outstanding cash/till recon (BR)","Outstanding banking (BR)","Outstanding PO requisitions (BR)","Inactive PO (BR)",</v>
      </c>
    </row>
    <row r="13" spans="1:7">
      <c r="A13" t="s">
        <v>12</v>
      </c>
      <c r="F13"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v>
      </c>
      <c r="G13"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v>
      </c>
    </row>
    <row r="14" spans="1:7">
      <c r="A14" t="s">
        <v>13</v>
      </c>
      <c r="F14"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v>
      </c>
      <c r="G14"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v>
      </c>
    </row>
    <row r="15" spans="1:7">
      <c r="A15" t="s">
        <v>14</v>
      </c>
      <c r="F15"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v>
      </c>
      <c r="G15"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v>
      </c>
    </row>
    <row r="16" spans="1:7">
      <c r="A16" t="s">
        <v>32</v>
      </c>
      <c r="F16"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v>
      </c>
      <c r="G16"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v>
      </c>
    </row>
    <row r="17" spans="1:7">
      <c r="A17" t="s">
        <v>33</v>
      </c>
      <c r="F17"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v>
      </c>
      <c r="G17"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v>
      </c>
    </row>
    <row r="18" spans="1:7">
      <c r="A18" t="s">
        <v>34</v>
      </c>
      <c r="F18"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v>
      </c>
      <c r="G18"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v>
      </c>
    </row>
    <row r="19" spans="1:7">
      <c r="A19" t="s">
        <v>35</v>
      </c>
      <c r="F19"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v>
      </c>
      <c r="G19"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v>
      </c>
    </row>
    <row r="20" spans="1:7">
      <c r="A20" t="s">
        <v>36</v>
      </c>
      <c r="F20"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v>
      </c>
      <c r="G20"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v>
      </c>
    </row>
    <row r="21" spans="1:7">
      <c r="A21" t="s">
        <v>37</v>
      </c>
      <c r="F21"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v>
      </c>
      <c r="G21"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v>
      </c>
    </row>
    <row r="22" spans="1:7">
      <c r="A22" t="s">
        <v>38</v>
      </c>
      <c r="F22"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v>
      </c>
      <c r="G22"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v>
      </c>
    </row>
    <row r="23" spans="1:7">
      <c r="A23" t="s">
        <v>39</v>
      </c>
      <c r="F23"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v>
      </c>
      <c r="G23"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v>
      </c>
    </row>
    <row r="24" spans="1:7">
      <c r="A24" t="s">
        <v>40</v>
      </c>
      <c r="F24"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v>
      </c>
      <c r="G24"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v>
      </c>
    </row>
    <row r="25" spans="1:7">
      <c r="A25" t="s">
        <v>41</v>
      </c>
      <c r="F25"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v>
      </c>
      <c r="G25"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v>
      </c>
    </row>
    <row r="26" spans="1:7">
      <c r="A26" t="s">
        <v>42</v>
      </c>
      <c r="F26"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v>
      </c>
      <c r="G26"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v>
      </c>
    </row>
    <row r="27" spans="1:7">
      <c r="A27" t="s">
        <v>43</v>
      </c>
      <c r="F27"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(BR);Sales order lines by order status report;</v>
      </c>
      <c r="G27"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v>
      </c>
    </row>
    <row r="28" spans="1:7">
      <c r="A28" t="s">
        <v>44</v>
      </c>
      <c r="F28"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(BR);Sales order lines by order status report;Additional extract SO Log (BR);</v>
      </c>
      <c r="G28"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v>
      </c>
    </row>
    <row r="29" spans="1:7">
      <c r="A29" t="s">
        <v>45</v>
      </c>
      <c r="F29"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(BR);Sales order lines by order status report;Additional extract SO Log (BR);Additional extract SO Archive (BR);</v>
      </c>
      <c r="G29"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v>
      </c>
    </row>
    <row r="30" spans="1:7">
      <c r="A30" t="s">
        <v>46</v>
      </c>
      <c r="F30"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(BR);Sales order lines by order status report;Additional extract SO Log (BR);Additional extract SO Archive (BR);HX Branch clear down report;</v>
      </c>
      <c r="G30"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 Additional extract SO Log (BR) ",</v>
      </c>
    </row>
    <row r="31" spans="1:7">
      <c r="A31" t="s">
        <v>47</v>
      </c>
      <c r="F31"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(BR);Sales order lines by order status report;Additional extract SO Log (BR);Additional extract SO Archive (BR);HX Branch clear down report;Update CF branc Active flag N (BR);</v>
      </c>
      <c r="G31"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 Additional extract SO Log (BR) "," Additional extract SO Archive (BR) ",</v>
      </c>
    </row>
    <row r="32" spans="1:7">
      <c r="A32" t="s">
        <v>48</v>
      </c>
      <c r="F32" t="str">
        <f t="shared" si="0"/>
        <v>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(BR);Sales order lines by order status report;Additional extract SO Log (BR);Additional extract SO Archive (BR);HX Branch clear down report;Update CF branc Active flag N (BR);Migration log entries for branch 990 dated 26/09/2018;</v>
      </c>
      <c r="G32"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 Additional extract SO Log (BR) "," Additional extract SO Archive (BR) "," HX Branch clear down report ",</v>
      </c>
    </row>
    <row r="33" spans="6:7">
      <c r="F33" t="str">
        <f>F32&amp;CHAR(34)&amp;TRIM(A33)&amp;CHAR(34)&amp;" , "</f>
        <v xml:space="preserve">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(BR);Sales order lines by order status report;Additional extract SO Log (BR);Additional extract SO Archive (BR);HX Branch clear down report;Update CF branc Active flag N (BR);Migration log entries for branch 990 dated 26/09/2018;"" , </v>
      </c>
      <c r="G33"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 Additional extract SO Log (BR) "," Additional extract SO Archive (BR) "," HX Branch clear down report "," Update CF branc Active flag N (BR) ",</v>
      </c>
    </row>
    <row r="34" spans="6:7">
      <c r="F34" t="str">
        <f t="shared" ref="F3:F34" si="2">F33&amp;CHAR(34)&amp;TRIM(A34)&amp;CHAR(34)&amp;" , "</f>
        <v xml:space="preserve">Update CF branc Active flag 8 (BR) ;Outstanding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Messages;Orphaned EFT Authorisations removed report;Additional extract CUSTOMER (BR);Additional extract SUPPLIER (BR);Additional extract STOCK (BR);Additional extract TALLY (BR);Purchase lines by order type report;Purchase orders tally details report;Purchase order paragraphs report;Sales orders by order type report;Deposits by order category report;Cash Advances Reconciliation (BR);Sales order lines by order status report;Additional extract SO Log (BR);Additional extract SO Archive (BR);HX Branch clear down report;Update CF branc Active flag N (BR);Migration log entries for branch 990 dated 26/09/2018;"" , "" , </v>
      </c>
      <c r="G34"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 Additional extract SO Log (BR) "," Additional extract SO Archive (BR) "," HX Branch clear down report "," Update CF branc Active flag N (BR) "," Migration log entries for branch 990 dated 26/09/2018 ",</v>
      </c>
    </row>
    <row r="35" spans="6:7">
      <c r="G35"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 Additional extract SO Log (BR) "," Additional extract SO Archive (BR) "," HX Branch clear down report "," Update CF branc Active flag N (BR) "," Migration log entries for branch 990 dated 26/09/2018 ","",</v>
      </c>
    </row>
    <row r="36" spans="6:7">
      <c r="G36" t="str">
        <f t="shared" si="1"/>
        <v>"Update CF branc Active flag 8 (BR)","Outstanding deliveries (BR)","Outstanding Stock Adjustments (BR)","Outstanding Mill Orders (BR)","Outstanding OMR (BR)","Outstanding COD payments (BR)","Outstanding cash/till recon (BR)","Outstanding banking (BR)","Outstanding PO requisitions (BR)","Inactive PO (BR)","Update Sales Analysis","Central Invoice Extraction","EFT receipt analysis","SOP End of Day Report","BR/pqery extraction - Messages"," Orphaned EFT Authorisations removed report "," Additional extract CUSTOMER (BR) "," Additional extract SUPPLIER (BR) "," Additional extract STOCK (BR) "," Additional extract TALLY (BR) "," Purchase lines by order type report "," Purchase orders tally details report "," Purchase order paragraphs report "," Sales orders by order type report "," Deposits by order category report "," Cash Advances Reconciliation (BR) "," Sales order lines by order status report "," Additional extract SO Log (BR) "," Additional extract SO Archive (BR) "," HX Branch clear down report "," Update CF branc Active flag N (BR) "," Migration log entries for branch 990 dated 26/09/2018 ","","",</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7"/>
  <sheetViews>
    <sheetView topLeftCell="A14" workbookViewId="0">
      <selection activeCell="B2" sqref="B2:B17"/>
    </sheetView>
  </sheetViews>
  <sheetFormatPr defaultRowHeight="15"/>
  <sheetData>
    <row r="1" spans="1:3" ht="120">
      <c r="A1" s="2" t="s">
        <v>32</v>
      </c>
      <c r="B1" s="3" t="s">
        <v>15</v>
      </c>
    </row>
    <row r="2" spans="1:3" ht="120">
      <c r="A2" s="2">
        <v>990</v>
      </c>
      <c r="B2" s="2" t="s">
        <v>33</v>
      </c>
      <c r="C2" s="3" t="s">
        <v>16</v>
      </c>
    </row>
    <row r="3" spans="1:3" ht="105">
      <c r="A3" s="2">
        <v>990</v>
      </c>
      <c r="B3" s="2" t="s">
        <v>34</v>
      </c>
      <c r="C3" s="3" t="s">
        <v>17</v>
      </c>
    </row>
    <row r="4" spans="1:3" ht="105">
      <c r="A4" s="2">
        <v>990</v>
      </c>
      <c r="B4" s="2" t="s">
        <v>35</v>
      </c>
      <c r="C4" s="3" t="s">
        <v>18</v>
      </c>
    </row>
    <row r="5" spans="1:3" ht="105">
      <c r="A5" s="2">
        <v>990</v>
      </c>
      <c r="B5" s="2" t="s">
        <v>36</v>
      </c>
      <c r="C5" s="3" t="s">
        <v>19</v>
      </c>
    </row>
    <row r="6" spans="1:3" ht="120">
      <c r="A6" s="2">
        <v>990</v>
      </c>
      <c r="B6" s="2" t="s">
        <v>37</v>
      </c>
      <c r="C6" s="3" t="s">
        <v>20</v>
      </c>
    </row>
    <row r="7" spans="1:3" ht="120">
      <c r="A7" s="2">
        <v>990</v>
      </c>
      <c r="B7" s="2" t="s">
        <v>38</v>
      </c>
      <c r="C7" s="3" t="s">
        <v>21</v>
      </c>
    </row>
    <row r="8" spans="1:3" ht="120">
      <c r="A8" s="2">
        <v>990</v>
      </c>
      <c r="B8" s="2" t="s">
        <v>39</v>
      </c>
      <c r="C8" s="3" t="s">
        <v>22</v>
      </c>
    </row>
    <row r="9" spans="1:3" ht="105">
      <c r="A9" s="2">
        <v>990</v>
      </c>
      <c r="B9" s="2" t="s">
        <v>40</v>
      </c>
      <c r="C9" s="3" t="s">
        <v>23</v>
      </c>
    </row>
    <row r="10" spans="1:3" ht="105">
      <c r="A10" s="2">
        <v>990</v>
      </c>
      <c r="B10" s="2" t="s">
        <v>41</v>
      </c>
      <c r="C10" s="3" t="s">
        <v>24</v>
      </c>
    </row>
    <row r="11" spans="1:3" ht="120">
      <c r="A11" s="2">
        <v>990</v>
      </c>
      <c r="B11" s="2" t="s">
        <v>42</v>
      </c>
      <c r="C11" s="3" t="s">
        <v>25</v>
      </c>
    </row>
    <row r="12" spans="1:3" ht="120">
      <c r="A12" s="2">
        <v>990</v>
      </c>
      <c r="B12" s="2" t="s">
        <v>43</v>
      </c>
      <c r="C12" s="3" t="s">
        <v>26</v>
      </c>
    </row>
    <row r="13" spans="1:3" ht="105">
      <c r="A13" s="2">
        <v>990</v>
      </c>
      <c r="B13" s="2" t="s">
        <v>44</v>
      </c>
      <c r="C13" s="3" t="s">
        <v>27</v>
      </c>
    </row>
    <row r="14" spans="1:3" ht="120">
      <c r="A14" s="2">
        <v>990</v>
      </c>
      <c r="B14" s="2" t="s">
        <v>45</v>
      </c>
      <c r="C14" s="3" t="s">
        <v>28</v>
      </c>
    </row>
    <row r="15" spans="1:3" ht="120">
      <c r="A15" s="2">
        <v>990</v>
      </c>
      <c r="B15" s="2" t="s">
        <v>46</v>
      </c>
      <c r="C15" s="3" t="s">
        <v>29</v>
      </c>
    </row>
    <row r="16" spans="1:3" ht="120">
      <c r="A16" s="2">
        <v>990</v>
      </c>
      <c r="B16" s="2" t="s">
        <v>47</v>
      </c>
      <c r="C16" s="3" t="s">
        <v>30</v>
      </c>
    </row>
    <row r="17" spans="1:3" ht="150">
      <c r="A17" s="2">
        <v>990</v>
      </c>
      <c r="B17" s="2" t="s">
        <v>48</v>
      </c>
      <c r="C17" s="3" t="s">
        <v>31</v>
      </c>
    </row>
  </sheetData>
  <hyperlinks>
    <hyperlink ref="B1" r:id="rId1" display="http://10.211.108.35:8090/txt/kcclwK41269801_104203.899.txt"/>
    <hyperlink ref="C2" r:id="rId2" display="http://10.211.108.35:8090/txt/kcclwK43269801_104331.665.txt"/>
    <hyperlink ref="C3" r:id="rId3" display="http://10.211.108.35:8090/txt/kcclwK43269801_104335.783.txt"/>
    <hyperlink ref="C4" r:id="rId4" display="http://10.211.108.35:8090/txt/kcclwK43269801_104336.978.txt"/>
    <hyperlink ref="C5" r:id="rId5" display="http://10.211.108.35:8090/txt/kcclwK43269801_104338.140.txt"/>
    <hyperlink ref="C6" r:id="rId6" display="http://10.211.108.35:8090/txt/kcclwK43269801_104339.271.txt"/>
    <hyperlink ref="C7" r:id="rId7" display="http://10.211.108.35:8090/txt/kcclwK43269801_104340.369.txt"/>
    <hyperlink ref="C8" r:id="rId8" display="http://10.211.108.35:8090/txt/kcclwK43269801_104341.470.txt"/>
    <hyperlink ref="C9" r:id="rId9" display="http://10.211.108.35:8090/txt/kcclwK43269801_104342.709.txt"/>
    <hyperlink ref="C10" r:id="rId10" display="http://10.211.108.35:8090/txt/kcclwK43269801_104344.842.txt"/>
    <hyperlink ref="C11" r:id="rId11" display="http://10.211.108.35:8090/txt/kcclwK43269802_104345.950.txt"/>
    <hyperlink ref="C12" r:id="rId12" display="http://10.211.108.35:8090/txt/kcclwK43269801_104347.138.txt"/>
    <hyperlink ref="C13" r:id="rId13" display="http://10.211.108.35:8090/txt/kcclwK43269801_104349.293.txt"/>
    <hyperlink ref="C14" r:id="rId14" display="http://10.211.108.35:8090/txt/kcclwK43269801_104352.533.txt"/>
    <hyperlink ref="C15" r:id="rId15" display="http://10.211.108.35:8090/txt/kcclwK43269801_104353.705.txt"/>
    <hyperlink ref="C16" r:id="rId16" display="http://10.211.108.35:8090/txt/kcclwK45269802_104513.417.txt"/>
    <hyperlink ref="C17" r:id="rId17" display="http://10.211.108.35:8090/txt/kcclwK46269801_104618.758.txt"/>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3"/>
  <sheetViews>
    <sheetView workbookViewId="0">
      <selection activeCell="A3" sqref="A3"/>
    </sheetView>
  </sheetViews>
  <sheetFormatPr defaultRowHeight="15"/>
  <sheetData>
    <row r="1" spans="1:1">
      <c r="A1" t="s">
        <v>50</v>
      </c>
    </row>
    <row r="2" spans="1:1">
      <c r="A2" t="s">
        <v>49</v>
      </c>
    </row>
    <row r="3" spans="1:1">
      <c r="A3"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SAINT-GOBAIN 1.1</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Ralph, Dean</dc:creator>
  <cp:lastModifiedBy>Ralph, Dean</cp:lastModifiedBy>
  <dcterms:created xsi:type="dcterms:W3CDTF">2018-09-27T14:25:08Z</dcterms:created>
  <dcterms:modified xsi:type="dcterms:W3CDTF">2018-09-27T15:29:36Z</dcterms:modified>
</cp:coreProperties>
</file>