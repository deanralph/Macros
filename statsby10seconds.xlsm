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tdwh.co.uk\uemprofiles\RALPHD1\Documents\Projects\"/>
    </mc:Choice>
  </mc:AlternateContent>
  <xr:revisionPtr revIDLastSave="0" documentId="13_ncr:1_{323BAB17-70B5-44B7-A9EE-950FF3202443}" xr6:coauthVersionLast="45" xr6:coauthVersionMax="45" xr10:uidLastSave="{00000000-0000-0000-0000-000000000000}"/>
  <bookViews>
    <workbookView xWindow="28680" yWindow="-120" windowWidth="29040" windowHeight="15840" xr2:uid="{FE0E27E3-1CE8-4E60-B85E-03F4E7F43FF0}"/>
  </bookViews>
  <sheets>
    <sheet name="arwbdv3DS2" sheetId="30" r:id="rId1"/>
    <sheet name="arwbdv3DS1" sheetId="29" r:id="rId2"/>
    <sheet name="arwbdv2DS2" sheetId="28" r:id="rId3"/>
    <sheet name="arwbdv2DS1" sheetId="27" r:id="rId4"/>
    <sheet name="arwbdv1DS2" sheetId="26" r:id="rId5"/>
    <sheet name="arwbdv1DS1" sheetId="25" r:id="rId6"/>
    <sheet name="wbdv3DS2" sheetId="24" r:id="rId7"/>
    <sheet name="wbdv3DS1" sheetId="23" r:id="rId8"/>
    <sheet name="wbdv2DS2" sheetId="22" r:id="rId9"/>
    <sheet name="wbdv2DS1" sheetId="21" r:id="rId10"/>
    <sheet name="wbdv1DS2" sheetId="20" r:id="rId11"/>
    <sheet name="wbdv1DS1" sheetId="19" r:id="rId12"/>
    <sheet name="WebDeal v1 by 10 seconds" sheetId="9" r:id="rId13"/>
    <sheet name="WebDeal v2 by 10 Seconds" sheetId="10" r:id="rId14"/>
    <sheet name="WebDeal v3 by 10 Seconds" sheetId="13" r:id="rId15"/>
    <sheet name="TradeData" sheetId="15" r:id="rId16"/>
    <sheet name="Graphs" sheetId="16" r:id="rId17"/>
    <sheet name="Breakdown of stats" sheetId="14" state="hidden" r:id="rId18"/>
    <sheet name="Breakdown" sheetId="6" state="hidden" r:id="rId19"/>
  </sheets>
  <functionGroups builtInGroupCount="19"/>
  <definedNames>
    <definedName name="_xlnm._FilterDatabase" localSheetId="18" hidden="1">Breakdown!$A$1:$C$460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41" i="15" l="1"/>
  <c r="G39" i="15"/>
  <c r="L39" i="15"/>
  <c r="Q39" i="15"/>
  <c r="B39" i="15"/>
  <c r="C46" i="9"/>
  <c r="D46" i="9"/>
  <c r="E46" i="9"/>
  <c r="F46" i="9"/>
  <c r="G46" i="9"/>
  <c r="B46" i="9"/>
  <c r="O46" i="9"/>
  <c r="P46" i="9"/>
  <c r="S5" i="15" l="1"/>
  <c r="S6" i="15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S17" i="15" s="1"/>
  <c r="S18" i="15" s="1"/>
  <c r="S19" i="15" s="1"/>
  <c r="S20" i="15" s="1"/>
  <c r="S21" i="15" s="1"/>
  <c r="S22" i="15" s="1"/>
  <c r="S23" i="15" s="1"/>
  <c r="S24" i="15" s="1"/>
  <c r="S25" i="15" s="1"/>
  <c r="S26" i="15" s="1"/>
  <c r="S27" i="15" s="1"/>
  <c r="S28" i="15" s="1"/>
  <c r="S29" i="15" s="1"/>
  <c r="S30" i="15" s="1"/>
  <c r="S31" i="15" s="1"/>
  <c r="S32" i="15" s="1"/>
  <c r="S33" i="15" s="1"/>
  <c r="S34" i="15" s="1"/>
  <c r="S35" i="15" s="1"/>
  <c r="S36" i="15" s="1"/>
  <c r="S37" i="15" s="1"/>
  <c r="S4" i="15"/>
  <c r="S3" i="15"/>
  <c r="Q38" i="15"/>
  <c r="Q4" i="15"/>
  <c r="Q5" i="15"/>
  <c r="Q6" i="15"/>
  <c r="Q7" i="15"/>
  <c r="Q8" i="15"/>
  <c r="Q9" i="15"/>
  <c r="Q10" i="15"/>
  <c r="Q11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" i="15"/>
  <c r="L38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" i="15"/>
  <c r="B38" i="15" s="1"/>
  <c r="O45" i="9"/>
  <c r="P45" i="9"/>
  <c r="G44" i="13"/>
  <c r="F44" i="13"/>
  <c r="E44" i="13"/>
  <c r="D44" i="13"/>
  <c r="C44" i="13"/>
  <c r="B44" i="13"/>
  <c r="G43" i="13"/>
  <c r="F43" i="13"/>
  <c r="E43" i="13"/>
  <c r="D43" i="13"/>
  <c r="C43" i="13"/>
  <c r="B43" i="13"/>
  <c r="G42" i="13"/>
  <c r="F42" i="13"/>
  <c r="E42" i="13"/>
  <c r="D42" i="13"/>
  <c r="C42" i="13"/>
  <c r="B42" i="13"/>
  <c r="G41" i="13"/>
  <c r="F41" i="13"/>
  <c r="E41" i="13"/>
  <c r="D41" i="13"/>
  <c r="C41" i="13"/>
  <c r="B41" i="13"/>
  <c r="G40" i="13"/>
  <c r="F40" i="13"/>
  <c r="E40" i="13"/>
  <c r="D40" i="13"/>
  <c r="C40" i="13"/>
  <c r="B40" i="13"/>
  <c r="G39" i="13"/>
  <c r="F39" i="13"/>
  <c r="E39" i="13"/>
  <c r="D39" i="13"/>
  <c r="C39" i="13"/>
  <c r="B39" i="13"/>
  <c r="G38" i="13"/>
  <c r="F38" i="13"/>
  <c r="E38" i="13"/>
  <c r="D38" i="13"/>
  <c r="C38" i="13"/>
  <c r="B38" i="13"/>
  <c r="G37" i="13"/>
  <c r="F37" i="13"/>
  <c r="E37" i="13"/>
  <c r="D37" i="13"/>
  <c r="C37" i="13"/>
  <c r="B37" i="13"/>
  <c r="G36" i="13"/>
  <c r="F36" i="13"/>
  <c r="E36" i="13"/>
  <c r="D36" i="13"/>
  <c r="C36" i="13"/>
  <c r="B36" i="13"/>
  <c r="G35" i="13"/>
  <c r="F35" i="13"/>
  <c r="E35" i="13"/>
  <c r="D35" i="13"/>
  <c r="C35" i="13"/>
  <c r="B35" i="13"/>
  <c r="G34" i="13"/>
  <c r="F34" i="13"/>
  <c r="E34" i="13"/>
  <c r="D34" i="13"/>
  <c r="C34" i="13"/>
  <c r="B34" i="13"/>
  <c r="G33" i="13"/>
  <c r="F33" i="13"/>
  <c r="E33" i="13"/>
  <c r="D33" i="13"/>
  <c r="C33" i="13"/>
  <c r="B33" i="13"/>
  <c r="G32" i="13"/>
  <c r="F32" i="13"/>
  <c r="E32" i="13"/>
  <c r="D32" i="13"/>
  <c r="C32" i="13"/>
  <c r="B32" i="13"/>
  <c r="G31" i="13"/>
  <c r="F31" i="13"/>
  <c r="E31" i="13"/>
  <c r="D31" i="13"/>
  <c r="C31" i="13"/>
  <c r="B31" i="13"/>
  <c r="G30" i="13"/>
  <c r="F30" i="13"/>
  <c r="E30" i="13"/>
  <c r="D30" i="13"/>
  <c r="C30" i="13"/>
  <c r="B30" i="13"/>
  <c r="G29" i="13"/>
  <c r="F29" i="13"/>
  <c r="E29" i="13"/>
  <c r="D29" i="13"/>
  <c r="C29" i="13"/>
  <c r="B29" i="13"/>
  <c r="G28" i="13"/>
  <c r="F28" i="13"/>
  <c r="E28" i="13"/>
  <c r="D28" i="13"/>
  <c r="C28" i="13"/>
  <c r="B28" i="13"/>
  <c r="G27" i="13"/>
  <c r="F27" i="13"/>
  <c r="E27" i="13"/>
  <c r="D27" i="13"/>
  <c r="C27" i="13"/>
  <c r="B27" i="13"/>
  <c r="G26" i="13"/>
  <c r="F26" i="13"/>
  <c r="E26" i="13"/>
  <c r="D26" i="13"/>
  <c r="C26" i="13"/>
  <c r="B26" i="13"/>
  <c r="G25" i="13"/>
  <c r="F25" i="13"/>
  <c r="E25" i="13"/>
  <c r="D25" i="13"/>
  <c r="C25" i="13"/>
  <c r="B25" i="13"/>
  <c r="G24" i="13"/>
  <c r="F24" i="13"/>
  <c r="E24" i="13"/>
  <c r="D24" i="13"/>
  <c r="C24" i="13"/>
  <c r="B24" i="13"/>
  <c r="G23" i="13"/>
  <c r="F23" i="13"/>
  <c r="E23" i="13"/>
  <c r="D23" i="13"/>
  <c r="C23" i="13"/>
  <c r="B23" i="13"/>
  <c r="G22" i="13"/>
  <c r="F22" i="13"/>
  <c r="E22" i="13"/>
  <c r="D22" i="13"/>
  <c r="C22" i="13"/>
  <c r="B22" i="13"/>
  <c r="G21" i="13"/>
  <c r="F21" i="13"/>
  <c r="E21" i="13"/>
  <c r="D21" i="13"/>
  <c r="C21" i="13"/>
  <c r="B21" i="13"/>
  <c r="G20" i="13"/>
  <c r="F20" i="13"/>
  <c r="E20" i="13"/>
  <c r="D20" i="13"/>
  <c r="C20" i="13"/>
  <c r="B20" i="13"/>
  <c r="G19" i="13"/>
  <c r="F19" i="13"/>
  <c r="E19" i="13"/>
  <c r="D19" i="13"/>
  <c r="C19" i="13"/>
  <c r="B19" i="13"/>
  <c r="G18" i="13"/>
  <c r="F18" i="13"/>
  <c r="E18" i="13"/>
  <c r="D18" i="13"/>
  <c r="C18" i="13"/>
  <c r="B18" i="13"/>
  <c r="G17" i="13"/>
  <c r="F17" i="13"/>
  <c r="E17" i="13"/>
  <c r="D17" i="13"/>
  <c r="C17" i="13"/>
  <c r="B17" i="13"/>
  <c r="G16" i="13"/>
  <c r="F16" i="13"/>
  <c r="E16" i="13"/>
  <c r="D16" i="13"/>
  <c r="C16" i="13"/>
  <c r="B16" i="13"/>
  <c r="G15" i="13"/>
  <c r="F15" i="13"/>
  <c r="E15" i="13"/>
  <c r="D15" i="13"/>
  <c r="C15" i="13"/>
  <c r="B15" i="13"/>
  <c r="G14" i="13"/>
  <c r="F14" i="13"/>
  <c r="E14" i="13"/>
  <c r="D14" i="13"/>
  <c r="C14" i="13"/>
  <c r="B14" i="13"/>
  <c r="G13" i="13"/>
  <c r="F13" i="13"/>
  <c r="E13" i="13"/>
  <c r="D13" i="13"/>
  <c r="C13" i="13"/>
  <c r="B13" i="13"/>
  <c r="G12" i="13"/>
  <c r="F12" i="13"/>
  <c r="E12" i="13"/>
  <c r="D12" i="13"/>
  <c r="C12" i="13"/>
  <c r="B12" i="13"/>
  <c r="G10" i="13"/>
  <c r="F10" i="13"/>
  <c r="E10" i="13"/>
  <c r="D10" i="13"/>
  <c r="C10" i="13"/>
  <c r="B10" i="13"/>
  <c r="G9" i="13"/>
  <c r="F9" i="13"/>
  <c r="E9" i="13"/>
  <c r="D9" i="13"/>
  <c r="C9" i="13"/>
  <c r="B9" i="13"/>
  <c r="G8" i="13"/>
  <c r="F8" i="13"/>
  <c r="E8" i="13"/>
  <c r="D8" i="13"/>
  <c r="C8" i="13"/>
  <c r="B8" i="13"/>
  <c r="G7" i="13"/>
  <c r="F7" i="13"/>
  <c r="E7" i="13"/>
  <c r="D7" i="13"/>
  <c r="C7" i="13"/>
  <c r="B7" i="13"/>
  <c r="G6" i="13"/>
  <c r="F6" i="13"/>
  <c r="E6" i="13"/>
  <c r="D6" i="13"/>
  <c r="C6" i="13"/>
  <c r="B6" i="13"/>
  <c r="G5" i="13"/>
  <c r="F5" i="13"/>
  <c r="E5" i="13"/>
  <c r="D5" i="13"/>
  <c r="C5" i="13"/>
  <c r="B5" i="13"/>
  <c r="M44" i="13"/>
  <c r="L44" i="13"/>
  <c r="K44" i="13"/>
  <c r="J44" i="13"/>
  <c r="I44" i="13"/>
  <c r="H44" i="13"/>
  <c r="M43" i="13"/>
  <c r="L43" i="13"/>
  <c r="K43" i="13"/>
  <c r="J43" i="13"/>
  <c r="I43" i="13"/>
  <c r="H43" i="13"/>
  <c r="M42" i="13"/>
  <c r="L42" i="13"/>
  <c r="K42" i="13"/>
  <c r="J42" i="13"/>
  <c r="I42" i="13"/>
  <c r="H42" i="13"/>
  <c r="M41" i="13"/>
  <c r="L41" i="13"/>
  <c r="K41" i="13"/>
  <c r="J41" i="13"/>
  <c r="I41" i="13"/>
  <c r="H41" i="13"/>
  <c r="M40" i="13"/>
  <c r="L40" i="13"/>
  <c r="K40" i="13"/>
  <c r="J40" i="13"/>
  <c r="I40" i="13"/>
  <c r="H40" i="13"/>
  <c r="M39" i="13"/>
  <c r="L39" i="13"/>
  <c r="K39" i="13"/>
  <c r="J39" i="13"/>
  <c r="I39" i="13"/>
  <c r="H39" i="13"/>
  <c r="M38" i="13"/>
  <c r="L38" i="13"/>
  <c r="K38" i="13"/>
  <c r="J38" i="13"/>
  <c r="I38" i="13"/>
  <c r="H38" i="13"/>
  <c r="M37" i="13"/>
  <c r="L37" i="13"/>
  <c r="K37" i="13"/>
  <c r="J37" i="13"/>
  <c r="I37" i="13"/>
  <c r="H37" i="13"/>
  <c r="M36" i="13"/>
  <c r="L36" i="13"/>
  <c r="K36" i="13"/>
  <c r="J36" i="13"/>
  <c r="I36" i="13"/>
  <c r="H36" i="13"/>
  <c r="M35" i="13"/>
  <c r="L35" i="13"/>
  <c r="K35" i="13"/>
  <c r="J35" i="13"/>
  <c r="I35" i="13"/>
  <c r="H35" i="13"/>
  <c r="M34" i="13"/>
  <c r="L34" i="13"/>
  <c r="K34" i="13"/>
  <c r="J34" i="13"/>
  <c r="I34" i="13"/>
  <c r="H34" i="13"/>
  <c r="M33" i="13"/>
  <c r="L33" i="13"/>
  <c r="K33" i="13"/>
  <c r="J33" i="13"/>
  <c r="I33" i="13"/>
  <c r="H33" i="13"/>
  <c r="M32" i="13"/>
  <c r="L32" i="13"/>
  <c r="K32" i="13"/>
  <c r="J32" i="13"/>
  <c r="I32" i="13"/>
  <c r="H32" i="13"/>
  <c r="M31" i="13"/>
  <c r="L31" i="13"/>
  <c r="K31" i="13"/>
  <c r="J31" i="13"/>
  <c r="I31" i="13"/>
  <c r="H31" i="13"/>
  <c r="M30" i="13"/>
  <c r="L30" i="13"/>
  <c r="K30" i="13"/>
  <c r="J30" i="13"/>
  <c r="I30" i="13"/>
  <c r="H30" i="13"/>
  <c r="M29" i="13"/>
  <c r="L29" i="13"/>
  <c r="K29" i="13"/>
  <c r="J29" i="13"/>
  <c r="I29" i="13"/>
  <c r="H29" i="13"/>
  <c r="M28" i="13"/>
  <c r="L28" i="13"/>
  <c r="K28" i="13"/>
  <c r="J28" i="13"/>
  <c r="I28" i="13"/>
  <c r="H28" i="13"/>
  <c r="M27" i="13"/>
  <c r="L27" i="13"/>
  <c r="K27" i="13"/>
  <c r="J27" i="13"/>
  <c r="I27" i="13"/>
  <c r="H27" i="13"/>
  <c r="M26" i="13"/>
  <c r="L26" i="13"/>
  <c r="K26" i="13"/>
  <c r="J26" i="13"/>
  <c r="I26" i="13"/>
  <c r="H26" i="13"/>
  <c r="M25" i="13"/>
  <c r="L25" i="13"/>
  <c r="K25" i="13"/>
  <c r="J25" i="13"/>
  <c r="I25" i="13"/>
  <c r="H25" i="13"/>
  <c r="M24" i="13"/>
  <c r="L24" i="13"/>
  <c r="K24" i="13"/>
  <c r="J24" i="13"/>
  <c r="I24" i="13"/>
  <c r="H24" i="13"/>
  <c r="M23" i="13"/>
  <c r="L23" i="13"/>
  <c r="K23" i="13"/>
  <c r="J23" i="13"/>
  <c r="I23" i="13"/>
  <c r="H23" i="13"/>
  <c r="M22" i="13"/>
  <c r="L22" i="13"/>
  <c r="K22" i="13"/>
  <c r="J22" i="13"/>
  <c r="I22" i="13"/>
  <c r="H22" i="13"/>
  <c r="M21" i="13"/>
  <c r="L21" i="13"/>
  <c r="K21" i="13"/>
  <c r="J21" i="13"/>
  <c r="I21" i="13"/>
  <c r="H21" i="13"/>
  <c r="M20" i="13"/>
  <c r="L20" i="13"/>
  <c r="K20" i="13"/>
  <c r="J20" i="13"/>
  <c r="I20" i="13"/>
  <c r="H20" i="13"/>
  <c r="M19" i="13"/>
  <c r="L19" i="13"/>
  <c r="K19" i="13"/>
  <c r="J19" i="13"/>
  <c r="I19" i="13"/>
  <c r="H19" i="13"/>
  <c r="M18" i="13"/>
  <c r="L18" i="13"/>
  <c r="K18" i="13"/>
  <c r="J18" i="13"/>
  <c r="I18" i="13"/>
  <c r="H18" i="13"/>
  <c r="M17" i="13"/>
  <c r="L17" i="13"/>
  <c r="K17" i="13"/>
  <c r="J17" i="13"/>
  <c r="I17" i="13"/>
  <c r="H17" i="13"/>
  <c r="M16" i="13"/>
  <c r="L16" i="13"/>
  <c r="K16" i="13"/>
  <c r="J16" i="13"/>
  <c r="I16" i="13"/>
  <c r="H16" i="13"/>
  <c r="M15" i="13"/>
  <c r="L15" i="13"/>
  <c r="K15" i="13"/>
  <c r="J15" i="13"/>
  <c r="I15" i="13"/>
  <c r="H15" i="13"/>
  <c r="M14" i="13"/>
  <c r="L14" i="13"/>
  <c r="K14" i="13"/>
  <c r="J14" i="13"/>
  <c r="I14" i="13"/>
  <c r="H14" i="13"/>
  <c r="M13" i="13"/>
  <c r="L13" i="13"/>
  <c r="K13" i="13"/>
  <c r="J13" i="13"/>
  <c r="I13" i="13"/>
  <c r="H13" i="13"/>
  <c r="M12" i="13"/>
  <c r="L12" i="13"/>
  <c r="K12" i="13"/>
  <c r="J12" i="13"/>
  <c r="I12" i="13"/>
  <c r="H12" i="13"/>
  <c r="M10" i="13"/>
  <c r="L10" i="13"/>
  <c r="K10" i="13"/>
  <c r="J10" i="13"/>
  <c r="I10" i="13"/>
  <c r="H10" i="13"/>
  <c r="M9" i="13"/>
  <c r="L9" i="13"/>
  <c r="K9" i="13"/>
  <c r="J9" i="13"/>
  <c r="I9" i="13"/>
  <c r="H9" i="13"/>
  <c r="M8" i="13"/>
  <c r="L8" i="13"/>
  <c r="K8" i="13"/>
  <c r="J8" i="13"/>
  <c r="I8" i="13"/>
  <c r="H8" i="13"/>
  <c r="M7" i="13"/>
  <c r="L7" i="13"/>
  <c r="K7" i="13"/>
  <c r="J7" i="13"/>
  <c r="I7" i="13"/>
  <c r="H7" i="13"/>
  <c r="M6" i="13"/>
  <c r="L6" i="13"/>
  <c r="K6" i="13"/>
  <c r="J6" i="13"/>
  <c r="I6" i="13"/>
  <c r="H6" i="13"/>
  <c r="M5" i="13"/>
  <c r="L5" i="13"/>
  <c r="K5" i="13"/>
  <c r="J5" i="13"/>
  <c r="I5" i="13"/>
  <c r="H5" i="13"/>
  <c r="P44" i="13"/>
  <c r="O44" i="13"/>
  <c r="P43" i="13"/>
  <c r="O43" i="13"/>
  <c r="P42" i="13"/>
  <c r="O42" i="13"/>
  <c r="P41" i="13"/>
  <c r="O41" i="13"/>
  <c r="P40" i="13"/>
  <c r="O40" i="13"/>
  <c r="P39" i="13"/>
  <c r="O39" i="13"/>
  <c r="P38" i="13"/>
  <c r="O38" i="13"/>
  <c r="P37" i="13"/>
  <c r="O37" i="13"/>
  <c r="P36" i="13"/>
  <c r="O36" i="13"/>
  <c r="P35" i="13"/>
  <c r="O35" i="13"/>
  <c r="P34" i="13"/>
  <c r="O34" i="13"/>
  <c r="P33" i="13"/>
  <c r="O33" i="13"/>
  <c r="P32" i="13"/>
  <c r="O32" i="13"/>
  <c r="P31" i="13"/>
  <c r="O31" i="13"/>
  <c r="P30" i="13"/>
  <c r="O30" i="13"/>
  <c r="P29" i="13"/>
  <c r="O29" i="13"/>
  <c r="P28" i="13"/>
  <c r="O28" i="13"/>
  <c r="P27" i="13"/>
  <c r="O27" i="13"/>
  <c r="P26" i="13"/>
  <c r="O26" i="13"/>
  <c r="P25" i="13"/>
  <c r="O25" i="13"/>
  <c r="P24" i="13"/>
  <c r="O24" i="13"/>
  <c r="P23" i="13"/>
  <c r="O23" i="13"/>
  <c r="P22" i="13"/>
  <c r="O22" i="13"/>
  <c r="P21" i="13"/>
  <c r="O21" i="13"/>
  <c r="P20" i="13"/>
  <c r="O20" i="13"/>
  <c r="P19" i="13"/>
  <c r="O19" i="13"/>
  <c r="P18" i="13"/>
  <c r="O18" i="13"/>
  <c r="P17" i="13"/>
  <c r="O17" i="13"/>
  <c r="P16" i="13"/>
  <c r="O16" i="13"/>
  <c r="P15" i="13"/>
  <c r="O15" i="13"/>
  <c r="P14" i="13"/>
  <c r="O14" i="13"/>
  <c r="P13" i="13"/>
  <c r="O13" i="13"/>
  <c r="P12" i="13"/>
  <c r="O12" i="13"/>
  <c r="P11" i="13"/>
  <c r="O11" i="13"/>
  <c r="E11" i="13" s="1"/>
  <c r="P10" i="13"/>
  <c r="O10" i="13"/>
  <c r="P9" i="13"/>
  <c r="O9" i="13"/>
  <c r="P8" i="13"/>
  <c r="O8" i="13"/>
  <c r="P7" i="13"/>
  <c r="O7" i="13"/>
  <c r="P6" i="13"/>
  <c r="O6" i="13"/>
  <c r="P5" i="13"/>
  <c r="O5" i="13"/>
  <c r="M44" i="10"/>
  <c r="L44" i="10"/>
  <c r="K44" i="10"/>
  <c r="J44" i="10"/>
  <c r="I44" i="10"/>
  <c r="H44" i="10"/>
  <c r="M43" i="10"/>
  <c r="L43" i="10"/>
  <c r="K43" i="10"/>
  <c r="J43" i="10"/>
  <c r="I43" i="10"/>
  <c r="H43" i="10"/>
  <c r="M42" i="10"/>
  <c r="L42" i="10"/>
  <c r="K42" i="10"/>
  <c r="J42" i="10"/>
  <c r="I42" i="10"/>
  <c r="H42" i="10"/>
  <c r="M41" i="10"/>
  <c r="L41" i="10"/>
  <c r="K41" i="10"/>
  <c r="J41" i="10"/>
  <c r="I41" i="10"/>
  <c r="H41" i="10"/>
  <c r="M40" i="10"/>
  <c r="L40" i="10"/>
  <c r="K40" i="10"/>
  <c r="J40" i="10"/>
  <c r="I40" i="10"/>
  <c r="H40" i="10"/>
  <c r="M39" i="10"/>
  <c r="L39" i="10"/>
  <c r="K39" i="10"/>
  <c r="J39" i="10"/>
  <c r="I39" i="10"/>
  <c r="H39" i="10"/>
  <c r="M38" i="10"/>
  <c r="L38" i="10"/>
  <c r="K38" i="10"/>
  <c r="J38" i="10"/>
  <c r="I38" i="10"/>
  <c r="H38" i="10"/>
  <c r="M37" i="10"/>
  <c r="L37" i="10"/>
  <c r="K37" i="10"/>
  <c r="J37" i="10"/>
  <c r="I37" i="10"/>
  <c r="H37" i="10"/>
  <c r="M36" i="10"/>
  <c r="L36" i="10"/>
  <c r="K36" i="10"/>
  <c r="J36" i="10"/>
  <c r="I36" i="10"/>
  <c r="H36" i="10"/>
  <c r="M35" i="10"/>
  <c r="L35" i="10"/>
  <c r="K35" i="10"/>
  <c r="J35" i="10"/>
  <c r="I35" i="10"/>
  <c r="H35" i="10"/>
  <c r="M34" i="10"/>
  <c r="L34" i="10"/>
  <c r="K34" i="10"/>
  <c r="J34" i="10"/>
  <c r="I34" i="10"/>
  <c r="H34" i="10"/>
  <c r="M33" i="10"/>
  <c r="L33" i="10"/>
  <c r="K33" i="10"/>
  <c r="J33" i="10"/>
  <c r="I33" i="10"/>
  <c r="H33" i="10"/>
  <c r="M32" i="10"/>
  <c r="L32" i="10"/>
  <c r="K32" i="10"/>
  <c r="J32" i="10"/>
  <c r="I32" i="10"/>
  <c r="H32" i="10"/>
  <c r="M31" i="10"/>
  <c r="L31" i="10"/>
  <c r="K31" i="10"/>
  <c r="J31" i="10"/>
  <c r="I31" i="10"/>
  <c r="H31" i="10"/>
  <c r="M30" i="10"/>
  <c r="L30" i="10"/>
  <c r="K30" i="10"/>
  <c r="J30" i="10"/>
  <c r="I30" i="10"/>
  <c r="H30" i="10"/>
  <c r="M29" i="10"/>
  <c r="L29" i="10"/>
  <c r="K29" i="10"/>
  <c r="J29" i="10"/>
  <c r="I29" i="10"/>
  <c r="H29" i="10"/>
  <c r="M28" i="10"/>
  <c r="L28" i="10"/>
  <c r="K28" i="10"/>
  <c r="J28" i="10"/>
  <c r="I28" i="10"/>
  <c r="H28" i="10"/>
  <c r="M27" i="10"/>
  <c r="L27" i="10"/>
  <c r="K27" i="10"/>
  <c r="J27" i="10"/>
  <c r="I27" i="10"/>
  <c r="H27" i="10"/>
  <c r="M26" i="10"/>
  <c r="L26" i="10"/>
  <c r="K26" i="10"/>
  <c r="J26" i="10"/>
  <c r="I26" i="10"/>
  <c r="H26" i="10"/>
  <c r="M25" i="10"/>
  <c r="L25" i="10"/>
  <c r="K25" i="10"/>
  <c r="J25" i="10"/>
  <c r="I25" i="10"/>
  <c r="H25" i="10"/>
  <c r="M24" i="10"/>
  <c r="L24" i="10"/>
  <c r="K24" i="10"/>
  <c r="J24" i="10"/>
  <c r="I24" i="10"/>
  <c r="H24" i="10"/>
  <c r="M23" i="10"/>
  <c r="L23" i="10"/>
  <c r="K23" i="10"/>
  <c r="J23" i="10"/>
  <c r="I23" i="10"/>
  <c r="H23" i="10"/>
  <c r="M22" i="10"/>
  <c r="L22" i="10"/>
  <c r="K22" i="10"/>
  <c r="J22" i="10"/>
  <c r="I22" i="10"/>
  <c r="H22" i="10"/>
  <c r="M21" i="10"/>
  <c r="L21" i="10"/>
  <c r="K21" i="10"/>
  <c r="J21" i="10"/>
  <c r="I21" i="10"/>
  <c r="H21" i="10"/>
  <c r="M20" i="10"/>
  <c r="L20" i="10"/>
  <c r="K20" i="10"/>
  <c r="J20" i="10"/>
  <c r="I20" i="10"/>
  <c r="H20" i="10"/>
  <c r="M19" i="10"/>
  <c r="L19" i="10"/>
  <c r="K19" i="10"/>
  <c r="J19" i="10"/>
  <c r="I19" i="10"/>
  <c r="H19" i="10"/>
  <c r="M18" i="10"/>
  <c r="L18" i="10"/>
  <c r="K18" i="10"/>
  <c r="J18" i="10"/>
  <c r="I18" i="10"/>
  <c r="H18" i="10"/>
  <c r="M17" i="10"/>
  <c r="L17" i="10"/>
  <c r="K17" i="10"/>
  <c r="J17" i="10"/>
  <c r="I17" i="10"/>
  <c r="H17" i="10"/>
  <c r="M16" i="10"/>
  <c r="L16" i="10"/>
  <c r="K16" i="10"/>
  <c r="J16" i="10"/>
  <c r="I16" i="10"/>
  <c r="H16" i="10"/>
  <c r="M15" i="10"/>
  <c r="L15" i="10"/>
  <c r="K15" i="10"/>
  <c r="J15" i="10"/>
  <c r="I15" i="10"/>
  <c r="H15" i="10"/>
  <c r="M14" i="10"/>
  <c r="L14" i="10"/>
  <c r="K14" i="10"/>
  <c r="J14" i="10"/>
  <c r="I14" i="10"/>
  <c r="H14" i="10"/>
  <c r="M13" i="10"/>
  <c r="L13" i="10"/>
  <c r="K13" i="10"/>
  <c r="J13" i="10"/>
  <c r="I13" i="10"/>
  <c r="H13" i="10"/>
  <c r="M12" i="10"/>
  <c r="L12" i="10"/>
  <c r="K12" i="10"/>
  <c r="J12" i="10"/>
  <c r="I12" i="10"/>
  <c r="H12" i="10"/>
  <c r="M10" i="10"/>
  <c r="L10" i="10"/>
  <c r="K10" i="10"/>
  <c r="J10" i="10"/>
  <c r="I10" i="10"/>
  <c r="H10" i="10"/>
  <c r="M9" i="10"/>
  <c r="L9" i="10"/>
  <c r="K9" i="10"/>
  <c r="J9" i="10"/>
  <c r="I9" i="10"/>
  <c r="H9" i="10"/>
  <c r="M8" i="10"/>
  <c r="L8" i="10"/>
  <c r="K8" i="10"/>
  <c r="J8" i="10"/>
  <c r="I8" i="10"/>
  <c r="H8" i="10"/>
  <c r="M7" i="10"/>
  <c r="L7" i="10"/>
  <c r="K7" i="10"/>
  <c r="J7" i="10"/>
  <c r="I7" i="10"/>
  <c r="H7" i="10"/>
  <c r="M6" i="10"/>
  <c r="L6" i="10"/>
  <c r="K6" i="10"/>
  <c r="J6" i="10"/>
  <c r="I6" i="10"/>
  <c r="H6" i="10"/>
  <c r="M5" i="10"/>
  <c r="L5" i="10"/>
  <c r="K5" i="10"/>
  <c r="J5" i="10"/>
  <c r="I5" i="10"/>
  <c r="G44" i="10"/>
  <c r="F44" i="10"/>
  <c r="E44" i="10"/>
  <c r="D44" i="10"/>
  <c r="C44" i="10"/>
  <c r="B44" i="10"/>
  <c r="G43" i="10"/>
  <c r="F43" i="10"/>
  <c r="E43" i="10"/>
  <c r="D43" i="10"/>
  <c r="C43" i="10"/>
  <c r="B43" i="10"/>
  <c r="G42" i="10"/>
  <c r="F42" i="10"/>
  <c r="E42" i="10"/>
  <c r="D42" i="10"/>
  <c r="C42" i="10"/>
  <c r="B42" i="10"/>
  <c r="G41" i="10"/>
  <c r="F41" i="10"/>
  <c r="E41" i="10"/>
  <c r="D41" i="10"/>
  <c r="C41" i="10"/>
  <c r="B41" i="10"/>
  <c r="G40" i="10"/>
  <c r="F40" i="10"/>
  <c r="E40" i="10"/>
  <c r="D40" i="10"/>
  <c r="C40" i="10"/>
  <c r="B40" i="10"/>
  <c r="G39" i="10"/>
  <c r="F39" i="10"/>
  <c r="E39" i="10"/>
  <c r="D39" i="10"/>
  <c r="C39" i="10"/>
  <c r="B39" i="10"/>
  <c r="G38" i="10"/>
  <c r="F38" i="10"/>
  <c r="E38" i="10"/>
  <c r="D38" i="10"/>
  <c r="C38" i="10"/>
  <c r="B38" i="10"/>
  <c r="G37" i="10"/>
  <c r="F37" i="10"/>
  <c r="E37" i="10"/>
  <c r="D37" i="10"/>
  <c r="C37" i="10"/>
  <c r="B37" i="10"/>
  <c r="G36" i="10"/>
  <c r="F36" i="10"/>
  <c r="E36" i="10"/>
  <c r="D36" i="10"/>
  <c r="C36" i="10"/>
  <c r="B36" i="10"/>
  <c r="G35" i="10"/>
  <c r="F35" i="10"/>
  <c r="E35" i="10"/>
  <c r="D35" i="10"/>
  <c r="C35" i="10"/>
  <c r="B35" i="10"/>
  <c r="G34" i="10"/>
  <c r="F34" i="10"/>
  <c r="E34" i="10"/>
  <c r="D34" i="10"/>
  <c r="C34" i="10"/>
  <c r="B34" i="10"/>
  <c r="G33" i="10"/>
  <c r="F33" i="10"/>
  <c r="E33" i="10"/>
  <c r="D33" i="10"/>
  <c r="C33" i="10"/>
  <c r="B33" i="10"/>
  <c r="G32" i="10"/>
  <c r="F32" i="10"/>
  <c r="E32" i="10"/>
  <c r="D32" i="10"/>
  <c r="C32" i="10"/>
  <c r="B32" i="10"/>
  <c r="G31" i="10"/>
  <c r="F31" i="10"/>
  <c r="E31" i="10"/>
  <c r="D31" i="10"/>
  <c r="C31" i="10"/>
  <c r="B31" i="10"/>
  <c r="G30" i="10"/>
  <c r="F30" i="10"/>
  <c r="E30" i="10"/>
  <c r="D30" i="10"/>
  <c r="C30" i="10"/>
  <c r="B30" i="10"/>
  <c r="G29" i="10"/>
  <c r="F29" i="10"/>
  <c r="E29" i="10"/>
  <c r="D29" i="10"/>
  <c r="C29" i="10"/>
  <c r="B29" i="10"/>
  <c r="G28" i="10"/>
  <c r="F28" i="10"/>
  <c r="E28" i="10"/>
  <c r="D28" i="10"/>
  <c r="C28" i="10"/>
  <c r="B28" i="10"/>
  <c r="G27" i="10"/>
  <c r="F27" i="10"/>
  <c r="E27" i="10"/>
  <c r="D27" i="10"/>
  <c r="C27" i="10"/>
  <c r="B27" i="10"/>
  <c r="G26" i="10"/>
  <c r="F26" i="10"/>
  <c r="E26" i="10"/>
  <c r="D26" i="10"/>
  <c r="C26" i="10"/>
  <c r="B26" i="10"/>
  <c r="G25" i="10"/>
  <c r="F25" i="10"/>
  <c r="E25" i="10"/>
  <c r="D25" i="10"/>
  <c r="C25" i="10"/>
  <c r="B25" i="10"/>
  <c r="G24" i="10"/>
  <c r="F24" i="10"/>
  <c r="E24" i="10"/>
  <c r="D24" i="10"/>
  <c r="C24" i="10"/>
  <c r="B24" i="10"/>
  <c r="G23" i="10"/>
  <c r="F23" i="10"/>
  <c r="E23" i="10"/>
  <c r="D23" i="10"/>
  <c r="C23" i="10"/>
  <c r="B23" i="10"/>
  <c r="G22" i="10"/>
  <c r="F22" i="10"/>
  <c r="E22" i="10"/>
  <c r="D22" i="10"/>
  <c r="C22" i="10"/>
  <c r="B22" i="10"/>
  <c r="G21" i="10"/>
  <c r="F21" i="10"/>
  <c r="E21" i="10"/>
  <c r="D21" i="10"/>
  <c r="C21" i="10"/>
  <c r="B21" i="10"/>
  <c r="G20" i="10"/>
  <c r="F20" i="10"/>
  <c r="E20" i="10"/>
  <c r="D20" i="10"/>
  <c r="C20" i="10"/>
  <c r="B20" i="10"/>
  <c r="G19" i="10"/>
  <c r="F19" i="10"/>
  <c r="E19" i="10"/>
  <c r="D19" i="10"/>
  <c r="C19" i="10"/>
  <c r="B19" i="10"/>
  <c r="G18" i="10"/>
  <c r="F18" i="10"/>
  <c r="E18" i="10"/>
  <c r="D18" i="10"/>
  <c r="C18" i="10"/>
  <c r="B18" i="10"/>
  <c r="G17" i="10"/>
  <c r="F17" i="10"/>
  <c r="E17" i="10"/>
  <c r="D17" i="10"/>
  <c r="C17" i="10"/>
  <c r="B17" i="10"/>
  <c r="G16" i="10"/>
  <c r="F16" i="10"/>
  <c r="E16" i="10"/>
  <c r="D16" i="10"/>
  <c r="C16" i="10"/>
  <c r="B16" i="10"/>
  <c r="G15" i="10"/>
  <c r="F15" i="10"/>
  <c r="E15" i="10"/>
  <c r="D15" i="10"/>
  <c r="C15" i="10"/>
  <c r="B15" i="10"/>
  <c r="G14" i="10"/>
  <c r="F14" i="10"/>
  <c r="E14" i="10"/>
  <c r="D14" i="10"/>
  <c r="C14" i="10"/>
  <c r="B14" i="10"/>
  <c r="G13" i="10"/>
  <c r="F13" i="10"/>
  <c r="E13" i="10"/>
  <c r="D13" i="10"/>
  <c r="C13" i="10"/>
  <c r="B13" i="10"/>
  <c r="G12" i="10"/>
  <c r="F12" i="10"/>
  <c r="E12" i="10"/>
  <c r="D12" i="10"/>
  <c r="C12" i="10"/>
  <c r="B12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H5" i="10"/>
  <c r="P44" i="10"/>
  <c r="O44" i="10"/>
  <c r="P43" i="10"/>
  <c r="O43" i="10"/>
  <c r="P42" i="10"/>
  <c r="O42" i="10"/>
  <c r="P41" i="10"/>
  <c r="O41" i="10"/>
  <c r="P40" i="10"/>
  <c r="O40" i="10"/>
  <c r="P39" i="10"/>
  <c r="O39" i="10"/>
  <c r="P38" i="10"/>
  <c r="O38" i="10"/>
  <c r="P37" i="10"/>
  <c r="O37" i="10"/>
  <c r="P36" i="10"/>
  <c r="O36" i="10"/>
  <c r="P35" i="10"/>
  <c r="O35" i="10"/>
  <c r="P34" i="10"/>
  <c r="O34" i="10"/>
  <c r="P33" i="10"/>
  <c r="O33" i="10"/>
  <c r="P32" i="10"/>
  <c r="O32" i="10"/>
  <c r="P31" i="10"/>
  <c r="O31" i="10"/>
  <c r="P30" i="10"/>
  <c r="O30" i="10"/>
  <c r="P29" i="10"/>
  <c r="O29" i="10"/>
  <c r="P28" i="10"/>
  <c r="O28" i="10"/>
  <c r="P27" i="10"/>
  <c r="O27" i="10"/>
  <c r="P26" i="10"/>
  <c r="O26" i="10"/>
  <c r="P25" i="10"/>
  <c r="O25" i="10"/>
  <c r="P24" i="10"/>
  <c r="O24" i="10"/>
  <c r="P23" i="10"/>
  <c r="O23" i="10"/>
  <c r="P22" i="10"/>
  <c r="O22" i="10"/>
  <c r="P21" i="10"/>
  <c r="O21" i="10"/>
  <c r="P20" i="10"/>
  <c r="O20" i="10"/>
  <c r="P19" i="10"/>
  <c r="O19" i="10"/>
  <c r="P18" i="10"/>
  <c r="O18" i="10"/>
  <c r="P17" i="10"/>
  <c r="O17" i="10"/>
  <c r="P16" i="10"/>
  <c r="O16" i="10"/>
  <c r="P15" i="10"/>
  <c r="O15" i="10"/>
  <c r="P14" i="10"/>
  <c r="O14" i="10"/>
  <c r="P13" i="10"/>
  <c r="O13" i="10"/>
  <c r="P12" i="10"/>
  <c r="O12" i="10"/>
  <c r="P11" i="10"/>
  <c r="O11" i="10"/>
  <c r="L11" i="10" s="1"/>
  <c r="P10" i="10"/>
  <c r="O10" i="10"/>
  <c r="P9" i="10"/>
  <c r="O9" i="10"/>
  <c r="P8" i="10"/>
  <c r="O8" i="10"/>
  <c r="P7" i="10"/>
  <c r="O7" i="10"/>
  <c r="P6" i="10"/>
  <c r="O6" i="10"/>
  <c r="P5" i="10"/>
  <c r="O5" i="10"/>
  <c r="K6" i="9"/>
  <c r="L6" i="9"/>
  <c r="M6" i="9"/>
  <c r="K7" i="9"/>
  <c r="L7" i="9"/>
  <c r="M7" i="9"/>
  <c r="K8" i="9"/>
  <c r="L8" i="9"/>
  <c r="M8" i="9"/>
  <c r="K9" i="9"/>
  <c r="L9" i="9"/>
  <c r="M9" i="9"/>
  <c r="K10" i="9"/>
  <c r="L10" i="9"/>
  <c r="M10" i="9"/>
  <c r="K12" i="9"/>
  <c r="L12" i="9"/>
  <c r="M12" i="9"/>
  <c r="K13" i="9"/>
  <c r="L13" i="9"/>
  <c r="M13" i="9"/>
  <c r="K14" i="9"/>
  <c r="L14" i="9"/>
  <c r="M14" i="9"/>
  <c r="K15" i="9"/>
  <c r="L15" i="9"/>
  <c r="M15" i="9"/>
  <c r="K16" i="9"/>
  <c r="L16" i="9"/>
  <c r="M16" i="9"/>
  <c r="K17" i="9"/>
  <c r="L17" i="9"/>
  <c r="M17" i="9"/>
  <c r="K18" i="9"/>
  <c r="L18" i="9"/>
  <c r="M18" i="9"/>
  <c r="K19" i="9"/>
  <c r="L19" i="9"/>
  <c r="M19" i="9"/>
  <c r="K20" i="9"/>
  <c r="L20" i="9"/>
  <c r="M20" i="9"/>
  <c r="K21" i="9"/>
  <c r="L21" i="9"/>
  <c r="M21" i="9"/>
  <c r="K22" i="9"/>
  <c r="L22" i="9"/>
  <c r="M22" i="9"/>
  <c r="K23" i="9"/>
  <c r="L23" i="9"/>
  <c r="M23" i="9"/>
  <c r="K24" i="9"/>
  <c r="L24" i="9"/>
  <c r="M24" i="9"/>
  <c r="K25" i="9"/>
  <c r="L25" i="9"/>
  <c r="M25" i="9"/>
  <c r="K26" i="9"/>
  <c r="L26" i="9"/>
  <c r="M26" i="9"/>
  <c r="K27" i="9"/>
  <c r="L27" i="9"/>
  <c r="M27" i="9"/>
  <c r="K28" i="9"/>
  <c r="L28" i="9"/>
  <c r="M28" i="9"/>
  <c r="K29" i="9"/>
  <c r="L29" i="9"/>
  <c r="M29" i="9"/>
  <c r="K30" i="9"/>
  <c r="L30" i="9"/>
  <c r="M30" i="9"/>
  <c r="K31" i="9"/>
  <c r="L31" i="9"/>
  <c r="M31" i="9"/>
  <c r="K32" i="9"/>
  <c r="L32" i="9"/>
  <c r="M32" i="9"/>
  <c r="K33" i="9"/>
  <c r="L33" i="9"/>
  <c r="M33" i="9"/>
  <c r="K34" i="9"/>
  <c r="L34" i="9"/>
  <c r="M34" i="9"/>
  <c r="K35" i="9"/>
  <c r="L35" i="9"/>
  <c r="M35" i="9"/>
  <c r="K36" i="9"/>
  <c r="L36" i="9"/>
  <c r="M36" i="9"/>
  <c r="K37" i="9"/>
  <c r="L37" i="9"/>
  <c r="M37" i="9"/>
  <c r="K38" i="9"/>
  <c r="L38" i="9"/>
  <c r="M38" i="9"/>
  <c r="K39" i="9"/>
  <c r="L39" i="9"/>
  <c r="M39" i="9"/>
  <c r="K40" i="9"/>
  <c r="L40" i="9"/>
  <c r="M40" i="9"/>
  <c r="K41" i="9"/>
  <c r="L41" i="9"/>
  <c r="M41" i="9"/>
  <c r="K42" i="9"/>
  <c r="L42" i="9"/>
  <c r="M42" i="9"/>
  <c r="K43" i="9"/>
  <c r="L43" i="9"/>
  <c r="M43" i="9"/>
  <c r="K44" i="9"/>
  <c r="L44" i="9"/>
  <c r="M44" i="9"/>
  <c r="M5" i="9"/>
  <c r="M46" i="9" s="1"/>
  <c r="L5" i="9"/>
  <c r="L46" i="9" s="1"/>
  <c r="K5" i="9"/>
  <c r="K46" i="9" s="1"/>
  <c r="I6" i="9"/>
  <c r="I4" i="15" s="1"/>
  <c r="J6" i="9"/>
  <c r="N4" i="15" s="1"/>
  <c r="I7" i="9"/>
  <c r="J7" i="9"/>
  <c r="I8" i="9"/>
  <c r="J8" i="9"/>
  <c r="I9" i="9"/>
  <c r="J9" i="9"/>
  <c r="I10" i="9"/>
  <c r="I8" i="15" s="1"/>
  <c r="J10" i="9"/>
  <c r="N8" i="15" s="1"/>
  <c r="I12" i="9"/>
  <c r="J12" i="9"/>
  <c r="I13" i="9"/>
  <c r="J13" i="9"/>
  <c r="I14" i="9"/>
  <c r="J14" i="9"/>
  <c r="I15" i="9"/>
  <c r="I13" i="15" s="1"/>
  <c r="J15" i="9"/>
  <c r="N13" i="15" s="1"/>
  <c r="I16" i="9"/>
  <c r="J16" i="9"/>
  <c r="I17" i="9"/>
  <c r="J17" i="9"/>
  <c r="I18" i="9"/>
  <c r="J18" i="9"/>
  <c r="I19" i="9"/>
  <c r="I17" i="15" s="1"/>
  <c r="J19" i="9"/>
  <c r="N17" i="15" s="1"/>
  <c r="I20" i="9"/>
  <c r="J20" i="9"/>
  <c r="I21" i="9"/>
  <c r="J21" i="9"/>
  <c r="I22" i="9"/>
  <c r="J22" i="9"/>
  <c r="I23" i="9"/>
  <c r="I21" i="15" s="1"/>
  <c r="J23" i="9"/>
  <c r="N21" i="15" s="1"/>
  <c r="I24" i="9"/>
  <c r="J24" i="9"/>
  <c r="I25" i="9"/>
  <c r="J25" i="9"/>
  <c r="I26" i="9"/>
  <c r="J26" i="9"/>
  <c r="I27" i="9"/>
  <c r="I25" i="15" s="1"/>
  <c r="J27" i="9"/>
  <c r="N25" i="15" s="1"/>
  <c r="I28" i="9"/>
  <c r="J28" i="9"/>
  <c r="I29" i="9"/>
  <c r="J29" i="9"/>
  <c r="I30" i="9"/>
  <c r="J30" i="9"/>
  <c r="I31" i="9"/>
  <c r="I29" i="15" s="1"/>
  <c r="J31" i="9"/>
  <c r="N29" i="15" s="1"/>
  <c r="I32" i="9"/>
  <c r="J32" i="9"/>
  <c r="I33" i="9"/>
  <c r="J33" i="9"/>
  <c r="I34" i="9"/>
  <c r="J34" i="9"/>
  <c r="I35" i="9"/>
  <c r="I33" i="15" s="1"/>
  <c r="J35" i="9"/>
  <c r="N33" i="15" s="1"/>
  <c r="I36" i="9"/>
  <c r="J36" i="9"/>
  <c r="I37" i="9"/>
  <c r="J37" i="9"/>
  <c r="I38" i="9"/>
  <c r="J38" i="9"/>
  <c r="I39" i="9"/>
  <c r="I37" i="15" s="1"/>
  <c r="J39" i="9"/>
  <c r="N37" i="15" s="1"/>
  <c r="I40" i="9"/>
  <c r="J40" i="9"/>
  <c r="I41" i="9"/>
  <c r="J41" i="9"/>
  <c r="I42" i="9"/>
  <c r="J42" i="9"/>
  <c r="I43" i="9"/>
  <c r="J43" i="9"/>
  <c r="I44" i="9"/>
  <c r="J44" i="9"/>
  <c r="J5" i="9"/>
  <c r="J46" i="9" s="1"/>
  <c r="I5" i="9"/>
  <c r="H6" i="9"/>
  <c r="H7" i="9"/>
  <c r="H8" i="9"/>
  <c r="H9" i="9"/>
  <c r="H10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5" i="9"/>
  <c r="B5" i="9"/>
  <c r="O40" i="9"/>
  <c r="P40" i="9"/>
  <c r="O41" i="9"/>
  <c r="P41" i="9"/>
  <c r="O42" i="9"/>
  <c r="P42" i="9"/>
  <c r="O43" i="9"/>
  <c r="P43" i="9"/>
  <c r="O44" i="9"/>
  <c r="P44" i="9"/>
  <c r="B40" i="9"/>
  <c r="C40" i="9"/>
  <c r="D40" i="9"/>
  <c r="E40" i="9"/>
  <c r="F40" i="9"/>
  <c r="G40" i="9"/>
  <c r="B41" i="9"/>
  <c r="C41" i="9"/>
  <c r="D41" i="9"/>
  <c r="E41" i="9"/>
  <c r="F41" i="9"/>
  <c r="G41" i="9"/>
  <c r="B42" i="9"/>
  <c r="C42" i="9"/>
  <c r="D42" i="9"/>
  <c r="E42" i="9"/>
  <c r="F42" i="9"/>
  <c r="G42" i="9"/>
  <c r="B43" i="9"/>
  <c r="C43" i="9"/>
  <c r="D43" i="9"/>
  <c r="E43" i="9"/>
  <c r="F43" i="9"/>
  <c r="G43" i="9"/>
  <c r="B44" i="9"/>
  <c r="C44" i="9"/>
  <c r="D44" i="9"/>
  <c r="E44" i="9"/>
  <c r="F44" i="9"/>
  <c r="G44" i="9"/>
  <c r="O39" i="9"/>
  <c r="B39" i="9" s="1"/>
  <c r="P39" i="9"/>
  <c r="B29" i="9"/>
  <c r="C29" i="9"/>
  <c r="D29" i="9"/>
  <c r="E29" i="9"/>
  <c r="F29" i="9"/>
  <c r="G29" i="9"/>
  <c r="B30" i="9"/>
  <c r="C30" i="9"/>
  <c r="D30" i="9"/>
  <c r="E30" i="9"/>
  <c r="F30" i="9"/>
  <c r="G30" i="9"/>
  <c r="B31" i="9"/>
  <c r="C31" i="9"/>
  <c r="D31" i="9"/>
  <c r="E31" i="9"/>
  <c r="F31" i="9"/>
  <c r="G31" i="9"/>
  <c r="B32" i="9"/>
  <c r="C32" i="9"/>
  <c r="D32" i="9"/>
  <c r="E32" i="9"/>
  <c r="F32" i="9"/>
  <c r="G32" i="9"/>
  <c r="B33" i="9"/>
  <c r="C33" i="9"/>
  <c r="D33" i="9"/>
  <c r="E33" i="9"/>
  <c r="F33" i="9"/>
  <c r="G33" i="9"/>
  <c r="B34" i="9"/>
  <c r="C34" i="9"/>
  <c r="D34" i="9"/>
  <c r="E34" i="9"/>
  <c r="F34" i="9"/>
  <c r="G34" i="9"/>
  <c r="B35" i="9"/>
  <c r="C35" i="9"/>
  <c r="D35" i="9"/>
  <c r="E35" i="9"/>
  <c r="F35" i="9"/>
  <c r="G35" i="9"/>
  <c r="B36" i="9"/>
  <c r="C36" i="9"/>
  <c r="D36" i="9"/>
  <c r="E36" i="9"/>
  <c r="F36" i="9"/>
  <c r="G36" i="9"/>
  <c r="B37" i="9"/>
  <c r="C37" i="9"/>
  <c r="D37" i="9"/>
  <c r="E37" i="9"/>
  <c r="F37" i="9"/>
  <c r="G37" i="9"/>
  <c r="B38" i="9"/>
  <c r="C38" i="9"/>
  <c r="D38" i="9"/>
  <c r="E38" i="9"/>
  <c r="F38" i="9"/>
  <c r="G38" i="9"/>
  <c r="C39" i="9"/>
  <c r="D39" i="9"/>
  <c r="E39" i="9"/>
  <c r="G39" i="9"/>
  <c r="O28" i="9"/>
  <c r="P28" i="9"/>
  <c r="O29" i="9"/>
  <c r="P29" i="9"/>
  <c r="O30" i="9"/>
  <c r="P30" i="9"/>
  <c r="O31" i="9"/>
  <c r="P31" i="9"/>
  <c r="O32" i="9"/>
  <c r="P32" i="9"/>
  <c r="O33" i="9"/>
  <c r="P33" i="9"/>
  <c r="O34" i="9"/>
  <c r="P34" i="9"/>
  <c r="O35" i="9"/>
  <c r="P35" i="9"/>
  <c r="O36" i="9"/>
  <c r="P36" i="9"/>
  <c r="O37" i="9"/>
  <c r="P37" i="9"/>
  <c r="O38" i="9"/>
  <c r="P38" i="9"/>
  <c r="E6" i="9"/>
  <c r="F6" i="9"/>
  <c r="G6" i="9"/>
  <c r="E7" i="9"/>
  <c r="F7" i="9"/>
  <c r="G7" i="9"/>
  <c r="E8" i="9"/>
  <c r="F8" i="9"/>
  <c r="G8" i="9"/>
  <c r="E9" i="9"/>
  <c r="F9" i="9"/>
  <c r="G9" i="9"/>
  <c r="E10" i="9"/>
  <c r="F10" i="9"/>
  <c r="G10" i="9"/>
  <c r="E12" i="9"/>
  <c r="F12" i="9"/>
  <c r="G12" i="9"/>
  <c r="E13" i="9"/>
  <c r="F13" i="9"/>
  <c r="G13" i="9"/>
  <c r="E14" i="9"/>
  <c r="F14" i="9"/>
  <c r="G14" i="9"/>
  <c r="E15" i="9"/>
  <c r="F15" i="9"/>
  <c r="G15" i="9"/>
  <c r="E16" i="9"/>
  <c r="F16" i="9"/>
  <c r="G16" i="9"/>
  <c r="E17" i="9"/>
  <c r="F17" i="9"/>
  <c r="G17" i="9"/>
  <c r="E18" i="9"/>
  <c r="F18" i="9"/>
  <c r="G18" i="9"/>
  <c r="E19" i="9"/>
  <c r="F19" i="9"/>
  <c r="G19" i="9"/>
  <c r="E20" i="9"/>
  <c r="F20" i="9"/>
  <c r="G20" i="9"/>
  <c r="E21" i="9"/>
  <c r="F21" i="9"/>
  <c r="G21" i="9"/>
  <c r="E22" i="9"/>
  <c r="F22" i="9"/>
  <c r="G22" i="9"/>
  <c r="E23" i="9"/>
  <c r="F23" i="9"/>
  <c r="G23" i="9"/>
  <c r="E24" i="9"/>
  <c r="F24" i="9"/>
  <c r="G24" i="9"/>
  <c r="E25" i="9"/>
  <c r="F25" i="9"/>
  <c r="G25" i="9"/>
  <c r="E26" i="9"/>
  <c r="F26" i="9"/>
  <c r="G26" i="9"/>
  <c r="E27" i="9"/>
  <c r="F27" i="9"/>
  <c r="G27" i="9"/>
  <c r="E28" i="9"/>
  <c r="F28" i="9"/>
  <c r="G28" i="9"/>
  <c r="E5" i="9"/>
  <c r="F5" i="9"/>
  <c r="G5" i="9"/>
  <c r="D5" i="9"/>
  <c r="D6" i="9"/>
  <c r="D7" i="9"/>
  <c r="D8" i="9"/>
  <c r="D9" i="9"/>
  <c r="D10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C5" i="9"/>
  <c r="C6" i="9"/>
  <c r="C7" i="9"/>
  <c r="C8" i="9"/>
  <c r="C9" i="9"/>
  <c r="C10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B6" i="9"/>
  <c r="B7" i="9"/>
  <c r="B8" i="9"/>
  <c r="B9" i="9"/>
  <c r="B10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O6" i="9"/>
  <c r="P6" i="9"/>
  <c r="O7" i="9"/>
  <c r="P7" i="9"/>
  <c r="O8" i="9"/>
  <c r="P8" i="9"/>
  <c r="O9" i="9"/>
  <c r="P9" i="9"/>
  <c r="O10" i="9"/>
  <c r="P10" i="9"/>
  <c r="O11" i="9"/>
  <c r="I11" i="9" s="1"/>
  <c r="I45" i="9" s="1"/>
  <c r="P11" i="9"/>
  <c r="O12" i="9"/>
  <c r="P12" i="9"/>
  <c r="O13" i="9"/>
  <c r="P13" i="9"/>
  <c r="O14" i="9"/>
  <c r="P14" i="9"/>
  <c r="O15" i="9"/>
  <c r="P15" i="9"/>
  <c r="O16" i="9"/>
  <c r="P16" i="9"/>
  <c r="O17" i="9"/>
  <c r="P17" i="9"/>
  <c r="O18" i="9"/>
  <c r="P18" i="9"/>
  <c r="O19" i="9"/>
  <c r="P19" i="9"/>
  <c r="O20" i="9"/>
  <c r="P20" i="9"/>
  <c r="O21" i="9"/>
  <c r="P21" i="9"/>
  <c r="O22" i="9"/>
  <c r="P22" i="9"/>
  <c r="O23" i="9"/>
  <c r="P23" i="9"/>
  <c r="O24" i="9"/>
  <c r="P24" i="9"/>
  <c r="O25" i="9"/>
  <c r="P25" i="9"/>
  <c r="O26" i="9"/>
  <c r="P26" i="9"/>
  <c r="O27" i="9"/>
  <c r="P27" i="9"/>
  <c r="O5" i="9"/>
  <c r="P5" i="9"/>
  <c r="F1" i="6"/>
  <c r="F3" i="6"/>
  <c r="F2" i="6"/>
  <c r="D37" i="15" l="1"/>
  <c r="D33" i="15"/>
  <c r="D29" i="15"/>
  <c r="D25" i="15"/>
  <c r="D21" i="15"/>
  <c r="D17" i="15"/>
  <c r="D13" i="15"/>
  <c r="D8" i="15"/>
  <c r="D4" i="15"/>
  <c r="I34" i="15"/>
  <c r="I30" i="15"/>
  <c r="I26" i="15"/>
  <c r="I22" i="15"/>
  <c r="I18" i="15"/>
  <c r="I14" i="15"/>
  <c r="I10" i="15"/>
  <c r="I5" i="15"/>
  <c r="D31" i="15"/>
  <c r="D23" i="15"/>
  <c r="D27" i="15"/>
  <c r="I36" i="15"/>
  <c r="I32" i="15"/>
  <c r="I28" i="15"/>
  <c r="I24" i="15"/>
  <c r="I20" i="15"/>
  <c r="I16" i="15"/>
  <c r="I12" i="15"/>
  <c r="I7" i="15"/>
  <c r="P33" i="15"/>
  <c r="D36" i="15"/>
  <c r="D32" i="15"/>
  <c r="D28" i="15"/>
  <c r="D24" i="15"/>
  <c r="D20" i="15"/>
  <c r="D16" i="15"/>
  <c r="D12" i="15"/>
  <c r="D7" i="15"/>
  <c r="N34" i="15"/>
  <c r="N30" i="15"/>
  <c r="N26" i="15"/>
  <c r="N22" i="15"/>
  <c r="N18" i="15"/>
  <c r="N14" i="15"/>
  <c r="N10" i="15"/>
  <c r="N5" i="15"/>
  <c r="K3" i="15"/>
  <c r="K38" i="15" s="1"/>
  <c r="F23" i="15"/>
  <c r="N36" i="15"/>
  <c r="I31" i="15"/>
  <c r="I27" i="15"/>
  <c r="I23" i="15"/>
  <c r="I19" i="15"/>
  <c r="I15" i="15"/>
  <c r="I11" i="15"/>
  <c r="J4" i="15"/>
  <c r="J6" i="15"/>
  <c r="J8" i="15"/>
  <c r="J11" i="15"/>
  <c r="J13" i="15"/>
  <c r="J15" i="15"/>
  <c r="J17" i="15"/>
  <c r="J19" i="15"/>
  <c r="J21" i="15"/>
  <c r="J23" i="15"/>
  <c r="J25" i="15"/>
  <c r="J27" i="15"/>
  <c r="J29" i="15"/>
  <c r="J31" i="15"/>
  <c r="J33" i="15"/>
  <c r="J35" i="15"/>
  <c r="J37" i="15"/>
  <c r="E4" i="15"/>
  <c r="C4" i="15" s="1"/>
  <c r="E8" i="15"/>
  <c r="E13" i="15"/>
  <c r="E17" i="15"/>
  <c r="E21" i="15"/>
  <c r="C21" i="15" s="1"/>
  <c r="E25" i="15"/>
  <c r="E29" i="15"/>
  <c r="E33" i="15"/>
  <c r="E37" i="15"/>
  <c r="P3" i="15"/>
  <c r="P39" i="15" s="1"/>
  <c r="F4" i="15"/>
  <c r="P5" i="15"/>
  <c r="F6" i="15"/>
  <c r="P7" i="15"/>
  <c r="F8" i="15"/>
  <c r="P10" i="15"/>
  <c r="F11" i="15"/>
  <c r="P12" i="15"/>
  <c r="F13" i="15"/>
  <c r="P14" i="15"/>
  <c r="F15" i="15"/>
  <c r="P16" i="15"/>
  <c r="F17" i="15"/>
  <c r="P18" i="15"/>
  <c r="F19" i="15"/>
  <c r="P20" i="15"/>
  <c r="F21" i="15"/>
  <c r="P22" i="15"/>
  <c r="P24" i="15"/>
  <c r="F25" i="15"/>
  <c r="P26" i="15"/>
  <c r="F27" i="15"/>
  <c r="P28" i="15"/>
  <c r="F29" i="15"/>
  <c r="P30" i="15"/>
  <c r="F31" i="15"/>
  <c r="P32" i="15"/>
  <c r="F33" i="15"/>
  <c r="P34" i="15"/>
  <c r="F35" i="15"/>
  <c r="P36" i="15"/>
  <c r="F37" i="15"/>
  <c r="N35" i="15"/>
  <c r="N31" i="15"/>
  <c r="N27" i="15"/>
  <c r="N23" i="15"/>
  <c r="N19" i="15"/>
  <c r="N15" i="15"/>
  <c r="N11" i="15"/>
  <c r="N6" i="15"/>
  <c r="D35" i="15"/>
  <c r="D19" i="15"/>
  <c r="D15" i="15"/>
  <c r="D11" i="15"/>
  <c r="D6" i="15"/>
  <c r="O37" i="15"/>
  <c r="K35" i="15"/>
  <c r="K37" i="15"/>
  <c r="K39" i="15"/>
  <c r="I46" i="9"/>
  <c r="I3" i="15"/>
  <c r="H3" i="15" s="1"/>
  <c r="E5" i="15"/>
  <c r="O6" i="15"/>
  <c r="O8" i="15"/>
  <c r="E12" i="15"/>
  <c r="O13" i="15"/>
  <c r="E18" i="15"/>
  <c r="O19" i="15"/>
  <c r="E22" i="15"/>
  <c r="E24" i="15"/>
  <c r="E26" i="15"/>
  <c r="E28" i="15"/>
  <c r="O29" i="15"/>
  <c r="O31" i="15"/>
  <c r="O33" i="15"/>
  <c r="F22" i="15"/>
  <c r="P29" i="15"/>
  <c r="H46" i="9"/>
  <c r="D3" i="15"/>
  <c r="I35" i="15"/>
  <c r="I6" i="15"/>
  <c r="J3" i="15"/>
  <c r="J36" i="15"/>
  <c r="F3" i="15"/>
  <c r="P4" i="15"/>
  <c r="F5" i="15"/>
  <c r="P6" i="15"/>
  <c r="F7" i="15"/>
  <c r="P8" i="15"/>
  <c r="F10" i="15"/>
  <c r="P11" i="15"/>
  <c r="F12" i="15"/>
  <c r="P13" i="15"/>
  <c r="F14" i="15"/>
  <c r="P15" i="15"/>
  <c r="F16" i="15"/>
  <c r="P17" i="15"/>
  <c r="F18" i="15"/>
  <c r="P19" i="15"/>
  <c r="F20" i="15"/>
  <c r="P21" i="15"/>
  <c r="P23" i="15"/>
  <c r="F24" i="15"/>
  <c r="P25" i="15"/>
  <c r="F28" i="15"/>
  <c r="F32" i="15"/>
  <c r="P35" i="15"/>
  <c r="F36" i="15"/>
  <c r="E3" i="15"/>
  <c r="O4" i="15"/>
  <c r="E7" i="15"/>
  <c r="E10" i="15"/>
  <c r="O11" i="15"/>
  <c r="E14" i="15"/>
  <c r="O15" i="15"/>
  <c r="E16" i="15"/>
  <c r="O17" i="15"/>
  <c r="E20" i="15"/>
  <c r="O21" i="15"/>
  <c r="O23" i="15"/>
  <c r="O25" i="15"/>
  <c r="O27" i="15"/>
  <c r="E30" i="15"/>
  <c r="E32" i="15"/>
  <c r="E34" i="15"/>
  <c r="O35" i="15"/>
  <c r="E36" i="15"/>
  <c r="K36" i="15"/>
  <c r="F26" i="15"/>
  <c r="P27" i="15"/>
  <c r="F30" i="15"/>
  <c r="P31" i="15"/>
  <c r="F34" i="15"/>
  <c r="D34" i="15"/>
  <c r="D30" i="15"/>
  <c r="C30" i="15" s="1"/>
  <c r="D26" i="15"/>
  <c r="D22" i="15"/>
  <c r="D18" i="15"/>
  <c r="D14" i="15"/>
  <c r="D10" i="15"/>
  <c r="D5" i="15"/>
  <c r="N32" i="15"/>
  <c r="N28" i="15"/>
  <c r="N24" i="15"/>
  <c r="N20" i="15"/>
  <c r="O3" i="15"/>
  <c r="E6" i="15"/>
  <c r="E11" i="15"/>
  <c r="E15" i="15"/>
  <c r="E19" i="15"/>
  <c r="E23" i="15"/>
  <c r="E27" i="15"/>
  <c r="E31" i="15"/>
  <c r="O32" i="15"/>
  <c r="O34" i="15"/>
  <c r="E35" i="15"/>
  <c r="O36" i="15"/>
  <c r="P38" i="15"/>
  <c r="K4" i="15"/>
  <c r="K6" i="15"/>
  <c r="K8" i="15"/>
  <c r="K11" i="15"/>
  <c r="H11" i="15" s="1"/>
  <c r="K13" i="15"/>
  <c r="K15" i="15"/>
  <c r="K17" i="15"/>
  <c r="K19" i="15"/>
  <c r="K21" i="15"/>
  <c r="K23" i="15"/>
  <c r="K25" i="15"/>
  <c r="K27" i="15"/>
  <c r="H27" i="15" s="1"/>
  <c r="K29" i="15"/>
  <c r="K31" i="15"/>
  <c r="K33" i="15"/>
  <c r="J5" i="15"/>
  <c r="J7" i="15"/>
  <c r="J10" i="15"/>
  <c r="J12" i="15"/>
  <c r="J14" i="15"/>
  <c r="J16" i="15"/>
  <c r="J18" i="15"/>
  <c r="J20" i="15"/>
  <c r="J22" i="15"/>
  <c r="J24" i="15"/>
  <c r="J26" i="15"/>
  <c r="J28" i="15"/>
  <c r="J30" i="15"/>
  <c r="J32" i="15"/>
  <c r="J34" i="15"/>
  <c r="P37" i="15"/>
  <c r="N3" i="15"/>
  <c r="N16" i="15"/>
  <c r="N12" i="15"/>
  <c r="N7" i="15"/>
  <c r="O5" i="15"/>
  <c r="O7" i="15"/>
  <c r="O10" i="15"/>
  <c r="O12" i="15"/>
  <c r="O14" i="15"/>
  <c r="O16" i="15"/>
  <c r="O18" i="15"/>
  <c r="O20" i="15"/>
  <c r="O22" i="15"/>
  <c r="O24" i="15"/>
  <c r="O26" i="15"/>
  <c r="O28" i="15"/>
  <c r="O30" i="15"/>
  <c r="K5" i="15"/>
  <c r="K7" i="15"/>
  <c r="K10" i="15"/>
  <c r="K12" i="15"/>
  <c r="K14" i="15"/>
  <c r="K16" i="15"/>
  <c r="K18" i="15"/>
  <c r="K20" i="15"/>
  <c r="K22" i="15"/>
  <c r="K24" i="15"/>
  <c r="K26" i="15"/>
  <c r="K28" i="15"/>
  <c r="K30" i="15"/>
  <c r="K32" i="15"/>
  <c r="K34" i="15"/>
  <c r="H11" i="13"/>
  <c r="L11" i="13"/>
  <c r="B11" i="13"/>
  <c r="F11" i="13"/>
  <c r="I11" i="13"/>
  <c r="M11" i="13"/>
  <c r="C11" i="13"/>
  <c r="G11" i="13"/>
  <c r="J11" i="13"/>
  <c r="D11" i="13"/>
  <c r="K11" i="13"/>
  <c r="B11" i="10"/>
  <c r="F11" i="10"/>
  <c r="I11" i="10"/>
  <c r="M11" i="10"/>
  <c r="C11" i="10"/>
  <c r="G11" i="10"/>
  <c r="J11" i="10"/>
  <c r="D11" i="10"/>
  <c r="K11" i="10"/>
  <c r="E11" i="10"/>
  <c r="H11" i="10"/>
  <c r="H45" i="10" s="1"/>
  <c r="F11" i="9"/>
  <c r="F45" i="9" s="1"/>
  <c r="H11" i="9"/>
  <c r="H45" i="9" s="1"/>
  <c r="M11" i="9"/>
  <c r="M45" i="9" s="1"/>
  <c r="E11" i="9"/>
  <c r="E45" i="9" s="1"/>
  <c r="L11" i="9"/>
  <c r="L45" i="9" s="1"/>
  <c r="C11" i="9"/>
  <c r="C45" i="9" s="1"/>
  <c r="D11" i="9"/>
  <c r="D45" i="9" s="1"/>
  <c r="J11" i="9"/>
  <c r="K11" i="9"/>
  <c r="K45" i="9" s="1"/>
  <c r="B11" i="9"/>
  <c r="G11" i="9"/>
  <c r="G45" i="9" s="1"/>
  <c r="I45" i="13"/>
  <c r="M45" i="10"/>
  <c r="J45" i="10"/>
  <c r="F45" i="10"/>
  <c r="L45" i="10"/>
  <c r="B45" i="10"/>
  <c r="D45" i="10"/>
  <c r="F39" i="9"/>
  <c r="C23" i="15" l="1"/>
  <c r="C32" i="15"/>
  <c r="H35" i="15"/>
  <c r="M4" i="15"/>
  <c r="M34" i="15"/>
  <c r="C17" i="15"/>
  <c r="C13" i="15"/>
  <c r="M30" i="15"/>
  <c r="M22" i="15"/>
  <c r="M14" i="15"/>
  <c r="M5" i="15"/>
  <c r="C16" i="15"/>
  <c r="M35" i="15"/>
  <c r="C36" i="15"/>
  <c r="C19" i="15"/>
  <c r="M26" i="15"/>
  <c r="M18" i="15"/>
  <c r="M10" i="15"/>
  <c r="H23" i="15"/>
  <c r="C31" i="15"/>
  <c r="H29" i="15"/>
  <c r="H21" i="15"/>
  <c r="H13" i="15"/>
  <c r="H4" i="15"/>
  <c r="R4" i="15" s="1"/>
  <c r="H37" i="15"/>
  <c r="C33" i="15"/>
  <c r="M25" i="15"/>
  <c r="M3" i="15"/>
  <c r="M39" i="15" s="1"/>
  <c r="H19" i="15"/>
  <c r="C35" i="15"/>
  <c r="C27" i="15"/>
  <c r="C20" i="15"/>
  <c r="M36" i="15"/>
  <c r="C15" i="15"/>
  <c r="C22" i="15"/>
  <c r="M19" i="15"/>
  <c r="C6" i="15"/>
  <c r="C28" i="15"/>
  <c r="C12" i="15"/>
  <c r="M6" i="15"/>
  <c r="C8" i="15"/>
  <c r="H36" i="15"/>
  <c r="H34" i="15"/>
  <c r="H10" i="15"/>
  <c r="M28" i="15"/>
  <c r="C11" i="15"/>
  <c r="C10" i="15"/>
  <c r="M23" i="15"/>
  <c r="M33" i="15"/>
  <c r="C25" i="15"/>
  <c r="C18" i="15"/>
  <c r="M20" i="15"/>
  <c r="M37" i="15"/>
  <c r="H33" i="15"/>
  <c r="H25" i="15"/>
  <c r="H17" i="15"/>
  <c r="H8" i="15"/>
  <c r="M17" i="15"/>
  <c r="H31" i="15"/>
  <c r="H15" i="15"/>
  <c r="C14" i="15"/>
  <c r="M21" i="15"/>
  <c r="R21" i="15" s="1"/>
  <c r="M15" i="15"/>
  <c r="C7" i="15"/>
  <c r="M12" i="15"/>
  <c r="M27" i="15"/>
  <c r="C37" i="15"/>
  <c r="H5" i="15"/>
  <c r="C26" i="15"/>
  <c r="H28" i="15"/>
  <c r="H20" i="15"/>
  <c r="H12" i="15"/>
  <c r="C29" i="15"/>
  <c r="M16" i="15"/>
  <c r="H16" i="15"/>
  <c r="M29" i="15"/>
  <c r="H30" i="15"/>
  <c r="H22" i="15"/>
  <c r="H14" i="15"/>
  <c r="M11" i="15"/>
  <c r="M8" i="15"/>
  <c r="M32" i="15"/>
  <c r="H26" i="15"/>
  <c r="H18" i="15"/>
  <c r="M24" i="15"/>
  <c r="M31" i="15"/>
  <c r="C24" i="15"/>
  <c r="M13" i="15"/>
  <c r="J39" i="15"/>
  <c r="J38" i="15"/>
  <c r="J45" i="9"/>
  <c r="N9" i="15"/>
  <c r="J9" i="15"/>
  <c r="H39" i="15"/>
  <c r="H38" i="15"/>
  <c r="M7" i="15"/>
  <c r="H32" i="15"/>
  <c r="H24" i="15"/>
  <c r="H7" i="15"/>
  <c r="O39" i="15"/>
  <c r="O38" i="15"/>
  <c r="C34" i="15"/>
  <c r="D45" i="13"/>
  <c r="P9" i="15"/>
  <c r="O9" i="15"/>
  <c r="K9" i="15"/>
  <c r="N39" i="15"/>
  <c r="N38" i="15"/>
  <c r="C5" i="15"/>
  <c r="E39" i="15"/>
  <c r="E38" i="15"/>
  <c r="I9" i="15"/>
  <c r="F39" i="15"/>
  <c r="F38" i="15"/>
  <c r="H6" i="15"/>
  <c r="C3" i="15"/>
  <c r="D39" i="15"/>
  <c r="D38" i="15"/>
  <c r="I39" i="15"/>
  <c r="I38" i="15"/>
  <c r="F9" i="15"/>
  <c r="E9" i="15"/>
  <c r="B45" i="9"/>
  <c r="D9" i="15"/>
  <c r="H45" i="13"/>
  <c r="F45" i="13"/>
  <c r="C45" i="13"/>
  <c r="B45" i="13"/>
  <c r="G45" i="13"/>
  <c r="J45" i="13"/>
  <c r="K45" i="13"/>
  <c r="M45" i="13"/>
  <c r="L45" i="13"/>
  <c r="E45" i="13"/>
  <c r="G45" i="10"/>
  <c r="C45" i="10"/>
  <c r="I45" i="10"/>
  <c r="E45" i="10"/>
  <c r="K45" i="10"/>
  <c r="R30" i="15" l="1"/>
  <c r="R35" i="15"/>
  <c r="R10" i="15"/>
  <c r="R27" i="15"/>
  <c r="R23" i="15"/>
  <c r="R32" i="15"/>
  <c r="R34" i="15"/>
  <c r="R26" i="15"/>
  <c r="R12" i="15"/>
  <c r="R36" i="15"/>
  <c r="R19" i="15"/>
  <c r="R13" i="15"/>
  <c r="R18" i="15"/>
  <c r="R6" i="15"/>
  <c r="M38" i="15"/>
  <c r="R20" i="15"/>
  <c r="R5" i="15"/>
  <c r="R22" i="15"/>
  <c r="R28" i="15"/>
  <c r="R17" i="15"/>
  <c r="R33" i="15"/>
  <c r="R11" i="15"/>
  <c r="R8" i="15"/>
  <c r="R29" i="15"/>
  <c r="R14" i="15"/>
  <c r="R37" i="15"/>
  <c r="R15" i="15"/>
  <c r="R31" i="15"/>
  <c r="R25" i="15"/>
  <c r="R7" i="15"/>
  <c r="R16" i="15"/>
  <c r="R24" i="15"/>
  <c r="H9" i="15"/>
  <c r="M9" i="15"/>
  <c r="C39" i="15"/>
  <c r="R3" i="15"/>
  <c r="C38" i="15"/>
  <c r="C9" i="15"/>
  <c r="R9" i="15" l="1"/>
  <c r="R39" i="15"/>
  <c r="R40" i="15" s="1"/>
  <c r="U40" i="15" s="1"/>
  <c r="T3" i="15"/>
  <c r="T4" i="15" s="1"/>
  <c r="T5" i="15" s="1"/>
  <c r="T6" i="15" s="1"/>
  <c r="T7" i="15" s="1"/>
  <c r="T8" i="15" s="1"/>
  <c r="R38" i="15"/>
  <c r="T9" i="15" l="1"/>
  <c r="T10" i="15" s="1"/>
  <c r="T11" i="15" s="1"/>
  <c r="T12" i="15" s="1"/>
  <c r="T13" i="15" s="1"/>
  <c r="T14" i="15" s="1"/>
  <c r="T15" i="15" s="1"/>
  <c r="T16" i="15" s="1"/>
  <c r="T17" i="15" s="1"/>
  <c r="T18" i="15" s="1"/>
  <c r="T19" i="15" s="1"/>
  <c r="T20" i="15" s="1"/>
  <c r="T21" i="15" s="1"/>
  <c r="T22" i="15" s="1"/>
  <c r="T23" i="15" s="1"/>
  <c r="T24" i="15" s="1"/>
  <c r="T25" i="15" s="1"/>
  <c r="T26" i="15" s="1"/>
  <c r="T27" i="15" s="1"/>
  <c r="T28" i="15" s="1"/>
  <c r="T29" i="15" s="1"/>
  <c r="T30" i="15" s="1"/>
  <c r="T31" i="15" s="1"/>
  <c r="T32" i="15" s="1"/>
  <c r="T33" i="15" s="1"/>
  <c r="T34" i="15" s="1"/>
  <c r="T35" i="15" s="1"/>
  <c r="T36" i="15" s="1"/>
  <c r="T37" i="15" s="1"/>
</calcChain>
</file>

<file path=xl/sharedStrings.xml><?xml version="1.0" encoding="utf-8"?>
<sst xmlns="http://schemas.openxmlformats.org/spreadsheetml/2006/main" count="24001" uniqueCount="1776">
  <si>
    <t>10.152.26.30</t>
  </si>
  <si>
    <t>10.152.26.31</t>
  </si>
  <si>
    <t>10.152.26.32</t>
  </si>
  <si>
    <t>Totals</t>
  </si>
  <si>
    <t>(10.152.26.30)</t>
  </si>
  <si>
    <t>record_type=QUR</t>
  </si>
  <si>
    <t>(10.152.26.31)</t>
  </si>
  <si>
    <t>(10.152.26.32)</t>
  </si>
  <si>
    <t>record_type=DER</t>
  </si>
  <si>
    <t>WD1</t>
  </si>
  <si>
    <t>WBD-V1</t>
  </si>
  <si>
    <t>QUR</t>
  </si>
  <si>
    <t>DER</t>
  </si>
  <si>
    <t>WD2</t>
  </si>
  <si>
    <t>08:00:00 - 08:00:10</t>
  </si>
  <si>
    <t>08:00:11 - 08:00:20</t>
  </si>
  <si>
    <t>08:00:21 - 08:00:30</t>
  </si>
  <si>
    <t>08:00:31 - 08:00:40</t>
  </si>
  <si>
    <t>08:00:41 - 08:00:50</t>
  </si>
  <si>
    <t>08:00:51 - 08:01:00</t>
  </si>
  <si>
    <t>08:01:11 - 08:01:20</t>
  </si>
  <si>
    <t>08:01:21 - 08:01:30</t>
  </si>
  <si>
    <t>08:01:31 - 08:01:40</t>
  </si>
  <si>
    <t>08:01:41 - 08:01:50</t>
  </si>
  <si>
    <t>08:01:51 - 08:02:00</t>
  </si>
  <si>
    <t>08:02:00 - 08:02:10</t>
  </si>
  <si>
    <t>08:02:11 - 08:02:20</t>
  </si>
  <si>
    <t>08:02:21 - 08:02:30</t>
  </si>
  <si>
    <t>08:02:31 - 08:02:40</t>
  </si>
  <si>
    <t>08:02:41 - 08:02:50</t>
  </si>
  <si>
    <t>08:02:51 - 08:03:00</t>
  </si>
  <si>
    <t>08:03:00 - 08:03:10</t>
  </si>
  <si>
    <t>08:03:11 - 08:03:20</t>
  </si>
  <si>
    <t>08:03:21 - 08:03:30</t>
  </si>
  <si>
    <t>08:03:31 - 08:03:40</t>
  </si>
  <si>
    <t>08:03:41 - 08:03:50</t>
  </si>
  <si>
    <t>08:03:51 - 08:04:00</t>
  </si>
  <si>
    <t>08:04:00 - 08:04:10</t>
  </si>
  <si>
    <t>08:04:11 - 08:04:20</t>
  </si>
  <si>
    <t>08:04:21 - 08:04:30</t>
  </si>
  <si>
    <t>08:04:31 - 08:04:40</t>
  </si>
  <si>
    <t>08:04:41 - 08:04:50</t>
  </si>
  <si>
    <t>08:04:51 - 08:05:00</t>
  </si>
  <si>
    <t>08:05:11 - 08:05:20</t>
  </si>
  <si>
    <t>08:05:21 - 08:05:30</t>
  </si>
  <si>
    <t>08:05:31 - 08:05:40</t>
  </si>
  <si>
    <t>08:05:41 - 08:05:50</t>
  </si>
  <si>
    <t>08:05:51 - 08:06:00</t>
  </si>
  <si>
    <t>WBD-V2</t>
  </si>
  <si>
    <t>WBD-V3</t>
  </si>
  <si>
    <t>TOTALS</t>
  </si>
  <si>
    <t>TDWH-APJAPI-V3.TDWH.co.uk</t>
  </si>
  <si>
    <t>TDWH-APJAPI-V2.TDWH.co.uk</t>
  </si>
  <si>
    <t>TDWH-APJAPI-V1.TDWH.co.uk</t>
  </si>
  <si>
    <t>WD3</t>
  </si>
  <si>
    <t>08:01:01 - 08:01:10</t>
  </si>
  <si>
    <t>WebDeal Servers</t>
  </si>
  <si>
    <t>RawData</t>
  </si>
  <si>
    <t>Total Raw Data</t>
  </si>
  <si>
    <t>Total WebDeals</t>
  </si>
  <si>
    <t>Raw Data</t>
  </si>
  <si>
    <t>WebDeals</t>
  </si>
  <si>
    <t>Cumulative Data</t>
  </si>
  <si>
    <t>Average</t>
  </si>
  <si>
    <t>Capacity per DealServer per 10 seconds</t>
  </si>
  <si>
    <t>Load per DealServer per 10 seconds</t>
  </si>
  <si>
    <t>04/03/20 08:00:01 9236 (10.152.26.31) : Got quo request:                      ICV        GB00B4WQVY43                                                        100000      B20200306  2                                     LSC     B4WQVY4 PHE.L                         PHE   GB00B4WQVY43    GBXGB   PHE.L   0250884                    GBP</t>
  </si>
  <si>
    <t>04/03/20 08:00:01 9236 (10.152.26.31) : Sending....: 0267"record_type=QU" "user=tdw" "counterparty=277" "device=Aitken" "system=Equity" "time=28801" "quantity=100000" "buy_sell=S" "isin=GB00B4WQVY43" "epic=PHE" "t+=2" "settlement_date=20200306" "user_details=0250884" "quantity=100000" "buy_sell=S" "currency=GBP" "link="</t>
  </si>
  <si>
    <t>04/03/20 08:00:02 9236 (10.152.26.31) : Read: "record_type=QUR" "reply_reason=0" "agency_time=2020-03-04 08:00:02.437" "bid_price=0" "bid_size=0" "buy_sell=S" "control_ref=26a9589a-5dee-11ea-b899-005056a25061" "counterparty=277" "currency=GBP" "device=Aitken" "epic=PHE.L" "isin=GB00B4WQVY43" "link=871" "market_maker=871" "offer_price=0.01585" "offer_size=1000000" "professional=N" "ps_bid_price=0" "ps_offer_price=0.01585" "quantity=100000" "rsp=PLHCGB3LBIC" "sent_time=2020-03-04 08:00:02.437" "serial_number=809014999" "settlement_date=20200306" "system=Equity" "t+=2" "time=28801" "user=tdw" "user_details=0250884"</t>
  </si>
  <si>
    <t>04/03/20 08:00:02 9236: Quo reply :                       ICV        GB00B4WQVY43                                                    871 100000      B20200306  2     1         1.585              30 LSC     B4WQVY4 PHE.L                         PHE   GB00B4WQVY43    GBXGB   PHE.L   0250884                    871</t>
  </si>
  <si>
    <t>04/03/20 08:00:02 9580 (10.152.26.30) : Got quo request:                      ICV        GB00BD0S4T13                                                        1000000     B20200306  2                                     LSC     BD0S4T1 EDL.L                         EDL   GB00BD0S4T13    GBXGB   EDL.L   2223855                    GBP</t>
  </si>
  <si>
    <t>04/03/20 08:00:02 9580 (10.152.26.30) : Sending....: 0269"record_type=QU" "user=tdw" "counterparty=277" "device=Aitken" "system=Equity" "time=28802" "quantity=1000000" "buy_sell=S" "isin=GB00BD0S4T13" "epic=EDL" "t+=2" "settlement_date=20200306" "user_details=2223855" "quantity=1000000" "buy_sell=S" "currency=GBP" "link="</t>
  </si>
  <si>
    <t>04/03/20 08:00:03 9580 (10.152.26.30) : Read: "record_type=QUR" "reply_reason=0" "agency_time=2020-03-04 08:00:03.656" "bid_price=0" "bid_size=0" "buy_sell=S" "control_ref=2719154a-5dee-11ea-ad62-005056a25061" "counterparty=277" "currency=GBP" "device=Aitken" "epic=EDL" "isin=GB00BD0S4T13" "link=635" "market_maker=635" "offer_price=0.00045" "offer_size=12500000" "professional=N" "ps_bid_price=0" "ps_offer_price=0.00045" "quantity=1000000" "rsp=CFEQGB21EPE" "sent_time=2020-03-04 08:00:03.656" "serial_number=1902718032" "settlement_date=20200306" "system=Equity" "t+=2" "time=28802" "user=tdw" "user_details=2223855"</t>
  </si>
  <si>
    <t>04/03/20 08:00:03 9580: Quo reply :                       ICV        GB00BD0S4T13                                                    635 1000000     B20200306  2     2         0.045              30 LSC     BD0S4T1 EDL.L                         EDL   GB00BD0S4T13    GBXGB   EDL.L   2223855                    635</t>
  </si>
  <si>
    <t>04/03/20 08:00:04 11996 (10.152.26.32) : Got quo request:                      ICV        GB00BKWQ1135                                                        30000       B20200306  2                                     LSC     BKWQ113 HAYD.L                        HAYD  GB00BKWQ1135    GBXGB   HAYD.L  2250993                    GBP</t>
  </si>
  <si>
    <t>04/03/20 08:00:04 11996 (10.152.26.32) : Sending....: 0266"record_type=QU" "user=tdw" "counterparty=277" "device=Aitken" "system=Equity" "time=28804" "quantity=30000" "buy_sell=S" "isin=GB00BKWQ1135" "epic=HAYD" "t+=2" "settlement_date=20200306" "user_details=2250993" "quantity=30000" "buy_sell=S" "currency=GBP" "link="</t>
  </si>
  <si>
    <t>04/03/20 08:00:04 11996 (10.152.26.32) : Read: "record_type=QUR" "reply_reason=0" "agency_time=2020-03-04 08:00:04.671" "bid_price=0" "bid_size=0" "buy_sell=S" "control_ref=282fdc02-5dee-11ea-9bea-005056a25061" "counterparty=277" "currency=GBP" "device=Aitken" "epic=HAYD" "isin=GB00BKWQ1135" "link=801" "market_maker=801" "offer_price=0.01799" "offer_size=75000" "professional=N" "ps_bid_price=0" "ps_offer_price=0.01799" "quantity=30000" "rsp=WNTSGB2LBIC" "sent_time=2020-03-04 08:00:04.671" "serial_number=779680127" "settlement_date=20200306" "system=Equity" "t+=2" "time=28804" "user=tdw" "user_details=2250993" "quotation_amount=1"</t>
  </si>
  <si>
    <t>04/03/20 08:00:04 11996: Quo reply :                       ICV        GB00BKWQ1135                                                    801 30000       B20200306  2     3         1.799              30 LSC     BKWQ113 HAYD.L                        HAYD  GB00BKWQ1135    GBXGB   HAYD.L  2250993                    801</t>
  </si>
  <si>
    <t>04/03/20 08:00:05 12728(10.152.26.31) : Got exe request:                      ICV        GB00BD0S4T13                                                    0.045000           1000000     BABGBXA 2                              Y                                                     2223855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635 GB     EDL.L   00</t>
  </si>
  <si>
    <t>04/03/20 08:00:05 12728 (10.152.26.31) : Sending....: 0302"record_type=DE" "user=tdw" "counterparty=277" "device=Aitken" "system=Equity" "time=28805" "isin=GB00BD0S4T13" "epic=EDL" "serial_number=1902718032" "buy_sell=S" "quantity=1000000" "t+=2" "currency=GBP" "booking_c/party=" "settlement_date=20200306" "user_details=2223855" "market_maker=635" "link="</t>
  </si>
  <si>
    <t>04/03/20 08:00:05 12728 (10.152.26.31) : Read: "record_type=DER" "reply_reason=0" "agency_time=2020-03-04 08:00:06.036" "bargain_ref=0234810073LOA2-1" "buy_sell=S" "control_ref=0066411733LOA1" "counterparty=277" "currency=GBP" "deal_time=08:00:06" "device=Aitken" "epic=EDL" "execution_venue=AIMX" "isin=GB00BD0S4T13" "market_maker=635" "price=0.00045" "professional=N" "quantity=1000000" "sent_time=2020-03-04 08:00:05.809" "serial_number=0234810073LOA2-1" "settlement_date=20200306" "system=Equity" "t+=2" "time=28805" "user=tdw" "user_details=2223855"</t>
  </si>
  <si>
    <t>04/03/20 08:00:05 12728: Exe reply :                       ICV        GB00BD0S4T13                                                    0.045000           1000000     BABGBXA 2                              Y                                                     2223855                                                                                                                                                                                                                                                                       0234810073LOA220200306     023481007320200304080005   0.045                 1000000             635 GB     EDL.L   02</t>
  </si>
  <si>
    <t>04/03/20 08:00:07 4124 (10.152.26.31) : Got quo request:                      ICV        GB00B0H2K534                                                        600         S20200306  2                                     LSA     B0H2K53 PFC.L                         PFC   GB00B0H2K534    GBXJE   PFC.L   4673100                    GBP</t>
  </si>
  <si>
    <t>04/03/20 08:00:07 4124 (10.152.26.31) : Sending....: 0261"record_type=QU" "user=tdw" "counterparty=277" "device=Aitken" "system=Equity" "time=28807" "quantity=600" "buy_sell=B" "isin=GB00B0H2K534" "epic=PFC" "t+=2" "settlement_date=20200306" "user_details=4673100" "quantity=600" "buy_sell=B" "currency=GBP" "link="</t>
  </si>
  <si>
    <t>04/03/20 08:00:08 4124 (10.152.26.31) : Read: "record_type=QUR" "reply_reason=0" "agency_time=2020-03-04 08:00:08.948" "bid_price=3.0125" "bid_size=3750" "buy_sell=B" "control_ref=2a3ae398-5dee-11ea-8eb4-005056a25061" "counterparty=277" "currency=GBP" "device=Aitken" "epic=PFC" "isin=GB00B0H2K534" "link=801" "market_maker=801" "offer_price=0" "offer_size=0" "professional=N" "ps_bid_price=3.0125" "ps_offer_price=0" "quantity=600" "rsp=WNTSGB2LBIC" "sent_time=2020-03-04 08:00:08.948" "serial_number=1763580160" "settlement_date=20200306" "system=Equity" "t+=2" "time=28807" "user=tdw" "user_details=4673100" "quotation_amount=1"</t>
  </si>
  <si>
    <t>04/03/20 08:00:08 4124: Quo reply :                       ICV        GB00B0H2K534                                                    801 600         S20200306  2     4         301.25             30 LSA     B0H2K53 PFC.L                         PFC   GB00B0H2K534    GBXJE   PFC.L   4673100                    801</t>
  </si>
  <si>
    <t>04/03/20 08:00:10 10288(10.152.26.31) : Got exe request:                      ICV        GB00B4WQVY43                                                    1.585000           100000      BABGBXA 1                              Y                                                     0250884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871 GB     PHE.L   00</t>
  </si>
  <si>
    <t>04/03/20 08:00:10 10288 (10.152.26.31) : Sending....: 0300"record_type=DE" "user=tdw" "counterparty=277" "device=Aitken" "system=Equity" "time=28810" "isin=GB00B4WQVY43" "epic=PHE" "serial_number=809014999" "buy_sell=S" "quantity=100000" "t+=2" "currency=GBP" "booking_c/party=" "settlement_date=20200306" "user_details=0250884" "market_maker=871" "link="</t>
  </si>
  <si>
    <t>04/03/20 08:00:10 10288 (10.152.26.31) : Read: "record_type=DER" "reply_reason=0" "agency_time=2020-03-04 08:00:10.430" "bargain_ref=080002G06400b0-1" "buy_sell=S" "control_ref=080002G06400b0" "counterparty=277" "currency=GBP" "deal_time=08:00:10" "device=Aitken" "epic=PHE.L" "execution_venue=AIMX" "isin=GB00B4WQVY43" "market_maker=871" "price=0.01585" "professional=N" "quantity=100000" "sent_time=2020-03-04 08:00:10.415" "serial_number=080002G06400b0-1" "settlement_date=20200306" "system=Equity" "t+=2" "time=28810" "user=tdw" "user_details=0250884"</t>
  </si>
  <si>
    <t>04/03/20 08:00:10 10288: Exe reply :                       ICV        GB00B4WQVY43                                                    1.585000           100000      BABGBXA 1                              Y                                                     0250884                                                                                                                                                                                                                                                                       080002G06400b020200306     080002G06420200304080010   1.585                 100000              871 GB     PHE.L   02</t>
  </si>
  <si>
    <t>04/03/20 08:00:10 8992 (10.152.26.30) : Got quo request:                      ICV        GG00B4L84979                                                        1953        S20200306  2                                     LSB     B4L8497 BUR.L                         BUR   GG00B4L84979    GBXGG   BUR.L   1052673                    GBP</t>
  </si>
  <si>
    <t>04/03/20 08:00:10 8992 (10.152.26.30) : Sending....: 0263"record_type=QU" "user=tdw" "counterparty=277" "device=Aitken" "system=Equity" "time=28810" "quantity=1953" "buy_sell=B" "isin=GG00B4L84979" "epic=BUR" "t+=2" "settlement_date=20200306" "user_details=1052673" "quantity=1953" "buy_sell=B" "currency=GBP" "link="</t>
  </si>
  <si>
    <t>04/03/20 08:00:10 8992 (10.152.26.30) : Read: "record_type=QUR" "reply_reason=99" "reply_message=No valid quote available" "agency_time=2020-03-04 08:00:10.859" "buy_sell=B" "counterparty=277" "currency=GBP" "device=Aitken" "epic=BUR" "isin=GG00B4L84979" "link=000" "professional=N" "quantity=1953" "system=Equity" "t+=2" "time=20200304-08:00:10" "user=tdw" "user_details=1052673"</t>
  </si>
  <si>
    <t>04/03/20 08:00:10 8992: Quo reject : 10099 : No valid quote available</t>
  </si>
  <si>
    <t>04/03/20 08:00:11 6048 (10.152.26.32) : Got quo request:                      ICV        GB0008854563                                                        69649       B20200306  2                                     LSE     0885456 TYM.L                         TYM   GB0008854563    GBXGB   TYM.L   2239759                    GBP</t>
  </si>
  <si>
    <t>04/03/20 08:00:11 6048 (10.152.26.32) : Sending....: 0265"record_type=QU" "user=tdw" "counterparty=277" "device=Aitken" "system=Equity" "time=28811" "quantity=69649" "buy_sell=S" "isin=GB0008854563" "epic=TYM" "t+=2" "settlement_date=20200306" "user_details=2239759" "quantity=69649" "buy_sell=S" "currency=GBP" "link="</t>
  </si>
  <si>
    <t>04/03/20 08:00:11 6048 (10.152.26.32) : Read: "record_type=QUR" "reply_reason=99" "reply_message=No valid quote available" "agency_time=2020-03-04 08:00:11.864" "buy_sell=S" "counterparty=277" "currency=GBP" "device=Aitken" "epic=TYM" "isin=GB0008854563" "link=000" "professional=N" "quantity=69649" "system=Equity" "t+=2" "time=20200304-08:00:11" "user=tdw" "user_details=2239759"</t>
  </si>
  <si>
    <t>04/03/20 08:00:11 6048: Quo reject : 10099 : No valid quote available</t>
  </si>
  <si>
    <t>04/03/20 08:00:16 9236 (10.152.26.31) : Got quo request:                      ICV        GB00B0HZPV38                                                        2500        B20200401 20                                     LSA     B0HZPV3 KAZ.L                         KAZ   GB00B0HZPV38    GBXGB   KAZ.L   0880300                    GBP</t>
  </si>
  <si>
    <t>04/03/20 08:00:16 9236 (10.152.26.31) : Sending....: 0264"record_type=QU" "user=tdw" "counterparty=277" "device=Aitken" "system=Equity" "time=28816" "quantity=2500" "buy_sell=S" "isin=GB00B0HZPV38" "epic=KAZ" "t+=20" "settlement_date=20200401" "user_details=0880300" "quantity=2500" "buy_sell=S" "currency=GBP" "link="</t>
  </si>
  <si>
    <t>04/03/20 08:00:17 9236 (10.152.26.31) : Read: "record_type=QUR" "reply_reason=0" "agency_time=2020-03-04 08:00:17.464" "bid_price=0" "bid_size=0" "buy_sell=S" "control_ref=2fa77d64-5dee-11ea-bf3e-005056a25061" "counterparty=277" "currency=GBP" "device=Aitken" "epic=KAZ" "isin=GB00B0HZPV38" "link=331" "market_maker=331" "offer_price=4.223" "offer_size=10000" "professional=N" "ps_bid_price=0" "ps_offer_price=4.223" "quantity=2500" "rsp=IHCSGB21002" "sent_time=2020-03-04 08:00:17.464" "serial_number=595608599" "settlement_date=20200401" "system=Equity" "t+=20" "time=28816" "user=tdw" "user_details=0880300"</t>
  </si>
  <si>
    <t>04/03/20 08:00:17 9236: Quo reply :                       ICV        GB00B0HZPV38                                                    331 2500        B20200401 20     5         422.3              30 LSA     B0HZPV3 KAZ.L                         KAZ   GB00B0HZPV38    GBXGB   KAZ.L   0880300                    331</t>
  </si>
  <si>
    <t>04/03/20 08:00:17 12900 (10.152.26.30) : Got quo request:                      ICV        IM00B3NTV894                                                        100000      B20200306  2                                     LSC     B3NTV89 BPC.L                         BPC   IM00B3NTV894    GBXGB   BPC.L   1079177                    GBP</t>
  </si>
  <si>
    <t>04/03/20 08:00:17 12900 (10.152.26.30) : Sending....: 0267"record_type=QU" "user=tdw" "counterparty=277" "device=Aitken" "system=Equity" "time=28817" "quantity=100000" "buy_sell=S" "isin=IM00B3NTV894" "epic=BPC" "t+=2" "settlement_date=20200306" "user_details=1079177" "quantity=100000" "buy_sell=S" "currency=GBP" "link="</t>
  </si>
  <si>
    <t>04/03/20 08:00:18 12900 (10.152.26.30) : Read: "record_type=QUR" "reply_reason=0" "agency_time=2020-03-04 08:00:19.040" "bid_price=0" "bid_size=0" "buy_sell=S" "control_ref=2fda84ca-5dee-11ea-9ddd-005056a25061" "counterparty=277" "currency=GBP" "device=Aitken" "epic=BPC" "isin=IM00B3NTV894" "link=589" "market_maker=589" "offer_price=0.04575" "offer_size=312500" "professional=N" "ps_bid_price=0" "ps_offer_price=0.04575" "quantity=100000" "rsp=SHOCGB21" "sent_time=2020-03-04 08:00:19.040" "serial_number=156624872" "settlement_date=20200306" "system=Equity" "t+=2" "time=28817" "user=tdw" "user_details=1079177"</t>
  </si>
  <si>
    <t>04/03/20 08:00:18 12900: Quo reply :                       ICV        IM00B3NTV894                                                    589 100000      B20200306  2     6         4.575              30 LSC     B3NTV89 BPC.L                         BPC   IM00B3NTV894    GBXGB   BPC.L   1079177                    589</t>
  </si>
  <si>
    <t>04/03/20 08:00:20 5992(10.152.26.30) : Got exe request:                      ICV        GB00B0HZPV38                                                    422.300000         2500        BABGBXA 5                              Y                                                     0880300                                                                                                                                                                                                                                                                                     20200401                                                                          331 GB     KAZ.L   00</t>
  </si>
  <si>
    <t>04/03/20 08:00:20 5992 (10.152.26.30) : Sending....: 0299"record_type=DE" "user=tdw" "counterparty=277" "device=Aitken" "system=Equity" "time=28820" "isin=GB00B0HZPV38" "epic=KAZ" "serial_number=595608599" "buy_sell=S" "quantity=2500" "t+=20" "currency=GBP" "booking_c/party=" "settlement_date=20200401" "user_details=0880300" "market_maker=331" "link="</t>
  </si>
  <si>
    <t>04/03/20 08:00:20 5992 (10.152.26.30) : Read: "record_type=DER" "reply_reason=999" "agency_time=2020-03-04 08:00:20.671" "bargain_ref=0900044353" "buy_sell=S" "control_ref=NONE" "counterparty=277" "currency=GBP" "deal_time=08:00:20" "device=Aitken" "epic=KAZ" "isin=GB00B0HZPV38" "market_maker=331" "price=0.000000" "professional=N" "quantity=0" "sent_time=2020-03-04 08:00:20.426" "serial_number=0900044353" "settlement_date=20200401" "system=Equity" "t+=20" "time=28820" "user=tdw" "user_details=0880300" "reply_message=0 - Request rejected by available RSP(s)."</t>
  </si>
  <si>
    <t>04/03/20 08:00:20 5992: Exe rejected : 10999 : 0 - Request rejected by available RSP(s).</t>
  </si>
  <si>
    <t>04/03/20 08:00:20 6048 (10.152.26.32) : Got quo request:                      ICV        JE00B4T3BW64                                                        10000       B20200306  2                                     LSF     B4T3BW6 GLEN.L                        GLEN  JE00B4T3BW64    GBXJE   GLEN.L  4739159                    GBP</t>
  </si>
  <si>
    <t>04/03/20 08:00:20 6048 (10.152.26.32) : Sending....: 0266"record_type=QU" "user=tdw" "counterparty=277" "device=Aitken" "system=Equity" "time=28820" "quantity=10000" "buy_sell=S" "isin=JE00B4T3BW64" "epic=GLEN" "t+=2" "settlement_date=20200306" "user_details=4739159" "quantity=10000" "buy_sell=S" "currency=GBP" "link="</t>
  </si>
  <si>
    <t>04/03/20 08:00:21 6048 (10.152.26.32) : Read: "record_type=QUR" "reply_reason=0" "agency_time=2020-03-04 08:00:21.692" "bid_price=0" "bid_size=0" "buy_sell=S" "control_ref=31c4ef3c-5dee-11ea-9c49-005056a25061" "counterparty=277" "currency=GBP" "device=Aitken" "epic=GLEN.L" "isin=JE00B4T3BW64" "link=871" "market_maker=871" "offer_price=1.937227" "offer_size=13000" "professional=N" "ps_bid_price=0" "ps_offer_price=1.937227" "quantity=10000" "rsp=PLHCGB3LBIC" "sent_time=2020-03-04 08:00:21.692" "serial_number=685380373" "settlement_date=20200306" "system=Equity" "t+=2" "time=28820" "user=tdw" "user_details=4739159"</t>
  </si>
  <si>
    <t>04/03/20 08:00:21 6048: Quo reply :                       ICV        JE00B4T3BW64                                                    871 10000       B20200306  2     7         193.7227           30 LSF     B4T3BW6 GLEN.L                        GLEN  JE00B4T3BW64    GBXJE   GLEN.L  4739159                    871</t>
  </si>
  <si>
    <t>04/03/20 08:00:21 12728 (10.152.26.31) : Got quo request:                      ICV        GB0008847096                                                        80000       B20200401 20                                     LSD     0884709 TSCO.L                        TSCO  GB0008847096    GBXGB   TSCO.L  6150399                    GBP</t>
  </si>
  <si>
    <t>04/03/20 08:00:21 12728 (10.152.26.31) : Sending....: 0267"record_type=QU" "user=tdw" "counterparty=277" "device=Aitken" "system=Equity" "time=28821" "quantity=80000" "buy_sell=S" "isin=GB0008847096" "epic=TSCO" "t+=20" "settlement_date=20200401" "user_details=6150399" "quantity=80000" "buy_sell=S" "currency=GBP" "link="</t>
  </si>
  <si>
    <t>04/03/20 08:00:22 12728 (10.152.26.31) : Read: "record_type=QUR" "reply_reason=99" "reply_message=No valid quote available" "agency_time=2020-03-04 08:00:22.380" "buy_sell=S" "counterparty=277" "currency=GBP" "device=Aitken" "epic=TSCO" "isin=GB0008847096" "link=000" "professional=N" "quantity=80000" "system=Equity" "t+=20" "time=20200304-08:00:21" "user=tdw" "user_details=6150399"</t>
  </si>
  <si>
    <t>04/03/20 08:00:22 12728: Quo reject : 10099 : No valid quote available</t>
  </si>
  <si>
    <t>04/03/20 08:00:23 9580 (10.152.26.30) : Got quo request:                      ICV        ES0177542018                                                        1020        S20200324 14                                     LSD     B5M6XQ7 IAG.L                         IAG   ES0177542018    GBXGB   IAG.L   0227195                    GBP</t>
  </si>
  <si>
    <t>04/03/20 08:00:23 9580 (10.152.26.30) : Sending....: 0264"record_type=QU" "user=tdw" "counterparty=277" "device=Aitken" "system=Equity" "time=28823" "quantity=1020" "buy_sell=B" "isin=ES0177542018" "epic=IAG" "t+=14" "settlement_date=20200324" "user_details=0227195" "quantity=1020" "buy_sell=B" "currency=GBP" "link="</t>
  </si>
  <si>
    <t>04/03/20 08:00:24 9580 (10.152.26.30) : Read: "record_type=QUR" "reply_reason=99" "reply_message=No valid quote available" "agency_time=2020-03-04 08:00:25.354" "buy_sell=B" "counterparty=277" "currency=GBP" "device=Aitken" "epic=IAG" "isin=ES0177542018" "link=000" "professional=N" "quantity=1020" "system=Equity" "t+=14" "time=20200304-08:00:23" "user=tdw" "user_details=0227195"</t>
  </si>
  <si>
    <t>04/03/20 08:00:24 9580: Quo reject : 10099 : No valid quote available</t>
  </si>
  <si>
    <t>04/03/20 08:00:25 4124 (10.152.26.31) : Got quo request:                      ICV        GB00B0DG3H29                                                        276559      B20200306  2                                     LSB     B0DG3H2 SXX.L                         SXX   GB00B0DG3H29    GBXGB   SXX.L   0585827                    GBP</t>
  </si>
  <si>
    <t>04/03/20 08:00:25 4124 (10.152.26.31) : Sending....: 0267"record_type=QU" "user=tdw" "counterparty=277" "device=Aitken" "system=Equity" "time=28825" "quantity=276559" "buy_sell=S" "isin=GB00B0DG3H29" "epic=SXX" "t+=2" "settlement_date=20200306" "user_details=0585827" "quantity=276559" "buy_sell=S" "currency=GBP" "link="</t>
  </si>
  <si>
    <t>04/03/20 08:00:26 4124 (10.152.26.31) : Read: "record_type=QUR" "reply_reason=99" "reply_message=No valid quote available" "agency_time=2020-03-04 08:00:26.886" "buy_sell=S" "counterparty=277" "currency=GBP" "device=Aitken" "epic=SXX" "isin=GB00B0DG3H29" "link=000" "professional=N" "quantity=276559" "system=Equity" "t+=2" "time=20200304-08:00:25" "user=tdw" "user_details=0585827"</t>
  </si>
  <si>
    <t>04/03/20 08:00:26 4124: Quo reject : 10099 : No valid quote available</t>
  </si>
  <si>
    <t>04/03/20 08:00:26 11108 (10.152.26.32) : Got quo request:                      ICV        JE00BG6L7297                                                        2326        B20200401 20                                     LSB     BG6L729 BOO.L                         BOO   JE00BG6L7297    GBXJE   BOO.L   8149933                    GBP</t>
  </si>
  <si>
    <t>04/03/20 08:00:26 11108 (10.152.26.32) : Sending....: 0264"record_type=QU" "user=tdw" "counterparty=277" "device=Aitken" "system=Equity" "time=28826" "quantity=2326" "buy_sell=S" "isin=JE00BG6L7297" "epic=BOO" "t+=20" "settlement_date=20200401" "user_details=8149933" "quantity=2326" "buy_sell=S" "currency=GBP" "link="</t>
  </si>
  <si>
    <t>04/03/20 08:00:27 11108 (10.152.26.32) : Read: "record_type=QUR" "reply_reason=0" "agency_time=2020-03-04 08:00:27.772" "bid_price=0" "bid_size=0" "buy_sell=S" "control_ref=357823a6-5dee-11ea-aa02-005056a25061" "counterparty=277" "currency=GBP" "device=Aitken" "epic=BOO" "isin=JE00BG6L7297" "link=331" "market_maker=331" "offer_price=2.966" "offer_size=12500" "professional=N" "ps_bid_price=0" "ps_offer_price=2.966" "quantity=2326" "rsp=IHCSGB21002" "sent_time=2020-03-04 08:00:27.772" "serial_number=244642209" "settlement_date=20200401" "system=Equity" "t+=20" "time=28826" "user=tdw" "user_details=8149933"</t>
  </si>
  <si>
    <t>04/03/20 08:00:27 11108: Quo reply :                       ICV        JE00BG6L7297                                                    331 2326        B20200401 20     8         296.6              30 LSB     BG6L729 BOO.L                         BOO   JE00BG6L7297    GBXJE   BOO.L   8149933                    331</t>
  </si>
  <si>
    <t>04/03/20 08:00:28 9580 (10.152.26.30) : Got quo request:                      ICV        GB00B4WQVY43                                                        300000      B20200306  2                                     LSC     B4WQVY4 PHE.L                         PHE   GB00B4WQVY43    GBXGB   PHE.L   4703179                    GBP</t>
  </si>
  <si>
    <t>04/03/20 08:00:28 9580 (10.152.26.30) : Sending....: 0267"record_type=QU" "user=tdw" "counterparty=277" "device=Aitken" "system=Equity" "time=28828" "quantity=300000" "buy_sell=S" "isin=GB00B4WQVY43" "epic=PHE" "t+=2" "settlement_date=20200306" "user_details=4703179" "quantity=300000" "buy_sell=S" "currency=GBP" "link="</t>
  </si>
  <si>
    <t>04/03/20 08:00:28 9580 (10.152.26.30) : Read: "record_type=QUR" "reply_reason=99" "reply_message=No valid quote available" "agency_time=2020-03-04 08:00:29.036" "buy_sell=S" "counterparty=277" "currency=GBP" "device=Aitken" "epic=PHE" "isin=GB00B4WQVY43" "link=000" "professional=N" "quantity=300000" "system=Equity" "t+=2" "time=20200304-08:00:28" "user=tdw" "user_details=4703179"</t>
  </si>
  <si>
    <t>04/03/20 08:00:28 9580: Quo reject : 10099 : No valid quote available</t>
  </si>
  <si>
    <t>04/03/20 08:00:31 12900 (10.152.26.30) : Got quo request:                      ICV        GB00B15XDH89                                                        177600      B20200306  2                                     LSC     B15XDH8 GGP.L                         GGP   GB00B15XDH89    GBXGB   GGP.L   0953031                    GBP</t>
  </si>
  <si>
    <t>04/03/20 08:00:31 12900 (10.152.26.30) : Sending....: 0267"record_type=QU" "user=tdw" "counterparty=277" "device=Aitken" "system=Equity" "time=28831" "quantity=177600" "buy_sell=S" "isin=GB00B15XDH89" "epic=GGP" "t+=2" "settlement_date=20200306" "user_details=0953031" "quantity=177600" "buy_sell=S" "currency=GBP" "link="</t>
  </si>
  <si>
    <t>04/03/20 08:00:31 12900 (10.152.26.30) : Read: "record_type=QUR" "reply_reason=0" "agency_time=2020-03-04 08:00:32.298" "bid_price=0" "bid_size=0" "buy_sell=S" "control_ref=38813d6c-5dee-11ea-915d-005056a25061" "counterparty=277" "currency=GBP" "device=Aitken" "epic=GGP" "isin=GB00B15XDH89" "link=589" "market_maker=589" "offer_price=0.04689" "offer_size=625000" "professional=N" "ps_bid_price=0" "ps_offer_price=0.04689" "quantity=177600" "rsp=SHOCGB21" "sent_time=2020-03-04 08:00:32.298" "serial_number=2068731569" "settlement_date=20200306" "system=Equity" "t+=2" "time=28831" "user=tdw" "user_details=0953031"</t>
  </si>
  <si>
    <t>04/03/20 08:00:31 12900: Quo reply :                       ICV        GB00B15XDH89                                                    589 177600      B20200306  2     9         4.689              30 LSC     B15XDH8 GGP.L                         GGP   GB00B15XDH89    GBXGB   GGP.L   0953031                    589</t>
  </si>
  <si>
    <t>04/03/20 08:00:32 10288 (10.152.26.31) : Got quo request:                      ICV        GB00B63D3314                                                        6176        B20200306  2                                     LSC     B63D331 SCLP.L                        SCLP  GB00B63D3314    GBXGB   SCLP.L  0481595                    GBP</t>
  </si>
  <si>
    <t>04/03/20 08:00:32 10288 (10.152.26.31) : Sending....: 0264"record_type=QU" "user=tdw" "counterparty=277" "device=Aitken" "system=Equity" "time=28832" "quantity=6176" "buy_sell=S" "isin=GB00B63D3314" "epic=SCLP" "t+=2" "settlement_date=20200306" "user_details=0481595" "quantity=6176" "buy_sell=S" "currency=GBP" "link="</t>
  </si>
  <si>
    <t>04/03/20 08:00:33 10288 (10.152.26.31) : Read: "record_type=QUR" "reply_reason=0" "agency_time=2020-03-04 08:00:34.003" "bid_price=0" "bid_size=0" "buy_sell=S" "control_ref=38c4ac5a-5dee-11ea-9ac3-005056a25061" "counterparty=277" "currency=GBP" "device=Aitken" "epic=SCLP.L" "isin=GB00B63D3314" "link=871" "market_maker=871" "offer_price=0.0698" "offer_size=100000" "professional=N" "ps_bid_price=0" "ps_offer_price=0.0698" "quantity=6176" "rsp=PLHCGB3LBIC" "sent_time=2020-03-04 08:00:34.003" "serial_number=48566611" "settlement_date=20200306" "system=Equity" "t+=2" "time=28832" "user=tdw" "user_details=0481595"</t>
  </si>
  <si>
    <t>04/03/20 08:00:33 10288: Quo reply :                       ICV        GB00B63D3314                                                    871 6176        B20200306  2     10        6.98               30 LSC     B63D331 SCLP.L                        SCLP  GB00B63D3314    GBXGB   SCLP.L  0481595                    871</t>
  </si>
  <si>
    <t>04/03/20 08:00:33 11996 (10.152.26.32) : Got quo request:                      ICV        DE000TUAG000                                                        1000        S20200306  2                                     LSD     B11LJN4 TUI.L                         TUI   DE000TUAG000    GBXGB   TUI.L   8166356                    GBP</t>
  </si>
  <si>
    <t>04/03/20 08:00:33 11996 (10.152.26.32) : Sending....: 0263"record_type=QU" "user=tdw" "counterparty=277" "device=Aitken" "system=Equity" "time=28833" "quantity=1000" "buy_sell=B" "isin=DE000TUAG000" "epic=TUI" "t+=2" "settlement_date=20200306" "user_details=8166356" "quantity=1000" "buy_sell=B" "currency=GBP" "link="</t>
  </si>
  <si>
    <t>04/03/20 08:00:35 11996 (10.152.26.32) : Read: "record_type=QUR" "reply_reason=0" "agency_time=2020-03-04 08:00:35.566" "bid_price=6.193312" "bid_size=4100" "buy_sell=B" "control_ref=39b6ed8a-5dee-11ea-acca-005056a25061" "counterparty=277" "currency=GBP" "device=Aitken" "epic=TUI.L" "isin=DE000TUAG000" "link=871" "market_maker=871" "offer_price=0" "offer_size=0" "professional=N" "ps_bid_price=6.193312" "ps_offer_price=0" "quantity=1000" "rsp=PLHCGB3LBIC" "sent_time=2020-03-04 08:00:35.566" "serial_number=626704607" "settlement_date=20200306" "system=Equity" "t+=2" "time=28833" "user=tdw" "user_details=8166356"</t>
  </si>
  <si>
    <t>04/03/20 08:00:35 11996: Quo reply :                       ICV        DE000TUAG000                                                    871 1000        S20200306  2     11        619.3312           30 LSD     B11LJN4 TUI.L                         TUI   DE000TUAG000    GBXGB   TUI.L   8166356                    871</t>
  </si>
  <si>
    <t>04/03/20 08:00:35 5992 (10.152.26.30) : Got quo request:                      ICV        GB00BJ7HMW26                                                        22786       S20200306  2                                     LSA     BJ7HMW2 FIN.L                         FIN   GB00BJ7HMW26    GBXGB   FIN.L   1705152                    GBP</t>
  </si>
  <si>
    <t>04/03/20 08:00:35 5992 (10.152.26.30) : Sending....: 0265"record_type=QU" "user=tdw" "counterparty=277" "device=Aitken" "system=Equity" "time=28835" "quantity=22786" "buy_sell=B" "isin=GB00BJ7HMW26" "epic=FIN" "t+=2" "settlement_date=20200306" "user_details=1705152" "quantity=22786" "buy_sell=B" "currency=GBP" "link="</t>
  </si>
  <si>
    <t>04/03/20 08:00:36 5992 (10.152.26.30) : Read: "record_type=QUR" "reply_reason=0" "agency_time=2020-03-04 08:00:37.194" "bid_price=0.503863" "bid_size=49200" "buy_sell=B" "control_ref=3b1bacce-5dee-11ea-9cc5-005056a25061" "counterparty=277" "currency=GBP" "device=Aitken" "epic=FIN.L" "isin=GB00BJ7HMW26" "link=871" "market_maker=871" "offer_price=0" "offer_size=0" "professional=N" "ps_bid_price=0.503863" "ps_offer_price=0" "quantity=22786" "rsp=PLHCGB3LBIC" "sent_time=2020-03-04 08:00:37.194" "serial_number=469174099" "settlement_date=20200306" "system=Equity" "t+=2" "time=28835" "user=tdw" "user_details=1705152"</t>
  </si>
  <si>
    <t>04/03/20 08:00:36 5992: Quo reply :                       ICV        GB00BJ7HMW26                                                    871 22786       S20200306  2     12        50.3863            30 LSA     BJ7HMW2 FIN.L                         FIN   GB00BJ7HMW26    GBXGB   FIN.L   1705152                    871</t>
  </si>
  <si>
    <t>04/03/20 08:00:37 11888 (10.152.26.32) : Got quo request:                      ICV        GB00B4WQVY43                                                        10000       B20200306  2                                     LSC     B4WQVY4 PHE.L                         PHE   GB00B4WQVY43    GBXGB   PHE.L   4726047                    GBP</t>
  </si>
  <si>
    <t>04/03/20 08:00:37 11888 (10.152.26.32) : Sending....: 0265"record_type=QU" "user=tdw" "counterparty=277" "device=Aitken" "system=Equity" "time=28837" "quantity=10000" "buy_sell=S" "isin=GB00B4WQVY43" "epic=PHE" "t+=2" "settlement_date=20200306" "user_details=4726047" "quantity=10000" "buy_sell=S" "currency=GBP" "link="</t>
  </si>
  <si>
    <t>04/03/20 08:00:39 11888 (10.152.26.32) : Read: "record_type=QUR" "reply_reason=0" "agency_time=2020-03-04 08:00:40.016" "bid_price=0" "bid_size=0" "buy_sell=S" "control_ref=3c29f436-5dee-11ea-ae81-005056a25061" "counterparty=277" "currency=GBP" "device=Aitken" "epic=PHE" "isin=GB00B4WQVY43" "link=589" "market_maker=589" "offer_price=0.016" "offer_size=12500" "professional=N" "ps_bid_price=0" "ps_offer_price=0.016" "quantity=10000" "rsp=SHOCGB21" "sent_time=2020-03-04 08:00:40.016" "serial_number=531582499" "settlement_date=20200306" "system=Equity" "t+=2" "time=28837" "user=tdw" "user_details=4726047"</t>
  </si>
  <si>
    <t>04/03/20 08:00:39 11888: Quo reply :                       ICV        GB00B4WQVY43                                                    589 10000       B20200306  2     13        1.6                30 LSC     B4WQVY4 PHE.L                         PHE   GB00B4WQVY43    GBXGB   PHE.L   4726047                    589</t>
  </si>
  <si>
    <t>04/03/20 08:00:39 9236 (10.152.26.31) : Got quo request:                      ICV        IM00B3NTV894                                                        50000       B20200306  2                                     LSC     B3NTV89 BPC.L                         BPC   IM00B3NTV894    GBXGB   BPC.L   2223855                    GBP</t>
  </si>
  <si>
    <t>04/03/20 08:00:39 9236 (10.152.26.31) : Sending....: 0265"record_type=QU" "user=tdw" "counterparty=277" "device=Aitken" "system=Equity" "time=28839" "quantity=50000" "buy_sell=S" "isin=IM00B3NTV894" "epic=BPC" "t+=2" "settlement_date=20200306" "user_details=2223855" "quantity=50000" "buy_sell=S" "currency=GBP" "link="</t>
  </si>
  <si>
    <t>04/03/20 08:00:40 9236 (10.152.26.31) : Read: "record_type=QUR" "reply_reason=0" "agency_time=2020-03-04 08:00:40.624" "bid_price=0" "bid_size=0" "buy_sell=S" "control_ref=3d4c9058-5dee-11ea-bb0a-005056a25061" "counterparty=277" "currency=GBP" "device=Aitken" "epic=BPC" "isin=IM00B3NTV894" "link=589" "market_maker=589" "offer_price=0.04575" "offer_size=312500" "professional=N" "ps_bid_price=0" "ps_offer_price=0.04575" "quantity=50000" "rsp=SHOCGB21" "sent_time=2020-03-04 08:00:40.624" "serial_number=765924357" "settlement_date=20200306" "system=Equity" "t+=2" "time=28839" "user=tdw" "user_details=2223855"</t>
  </si>
  <si>
    <t>04/03/20 08:00:40 9236: Quo reply :                       ICV        IM00B3NTV894                                                    589 50000       B20200306  2     14        4.575              30 LSC     B3NTV89 BPC.L                         BPC   IM00B3NTV894    GBXGB   BPC.L   2223855                    589</t>
  </si>
  <si>
    <t>04/03/20 08:00:40 8992(10.152.26.30) : Got exe request:                      ICV        GB00BJ7HMW26                                                    50.386300          22786       SABGBXA 12                             Y                                                     1705152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871 GB     FIN.L   00</t>
  </si>
  <si>
    <t>04/03/20 08:00:40 8992 (10.152.26.30) : Sending....: 0299"record_type=DE" "user=tdw" "counterparty=277" "device=Aitken" "system=Equity" "time=28840" "isin=GB00BJ7HMW26" "epic=FIN" "serial_number=469174099" "buy_sell=B" "quantity=22786" "t+=2" "currency=GBP" "booking_c/party=" "settlement_date=20200306" "user_details=1705152" "market_maker=871" "link="</t>
  </si>
  <si>
    <t>04/03/20 08:00:40 8992 (10.152.26.30) : Read: "record_type=DER" "reply_reason=0" "agency_time=2020-03-04 08:00:40.791" "bargain_ref=080036G06407ba-1" "buy_sell=B" "control_ref=080036G06407ba" "counterparty=277" "currency=GBP" "deal_time=08:00:40" "device=Aitken" "epic=FIN.L" "execution_venue=XLON" "isin=GB00BJ7HMW26" "market_maker=871" "price=0.503863" "professional=N" "quantity=22786" "sent_time=2020-03-04 08:00:40.777" "serial_number=080036G06407ba-1" "settlement_date=20200306" "system=Equity" "t+=2" "time=28840" "user=tdw" "user_details=1705152"</t>
  </si>
  <si>
    <t>04/03/20 08:00:40 8992: Exe reply :                       ICV        GB00BJ7HMW26                                                    50.386300          22786       SABGBXA 12                             Y                                                     1705152                                                                                                                                                                                                                                                                       080036G06407ba20200306     080036G06420200304080040   50.3863               22786               871 GB     FIN.L   02</t>
  </si>
  <si>
    <t>04/03/20 08:00:42 9580 (10.152.26.30) : Got quo request:                      ICV        GB0008706128                                                        10326       B20200306  2                                     LSF     0870612 LLOY.L                        LLOY  GB0008706128    GBXGB   LLOY.L  4623059                    GBP</t>
  </si>
  <si>
    <t>04/03/20 08:00:42 9580 (10.152.26.30) : Sending....: 0266"record_type=QU" "user=tdw" "counterparty=277" "device=Aitken" "system=Equity" "time=28842" "quantity=10326" "buy_sell=S" "isin=GB0008706128" "epic=LLOY" "t+=2" "settlement_date=20200306" "user_details=4623059" "quantity=10326" "buy_sell=S" "currency=GBP" "link="</t>
  </si>
  <si>
    <t>04/03/20 08:00:43 9580 (10.152.26.30) : Read: "record_type=QUR" "reply_reason=0" "agency_time=2020-03-04 08:00:43.852" "bid_price=0" "bid_size=0" "buy_sell=S" "control_ref=3ebf1776-5dee-11ea-bd1d-005056a25061" "counterparty=277" "currency=GBP" "device=Aitken" "epic=LLOY" "isin=GB0008706128" "link=801" "market_maker=801" "offer_price=0.4818" "offer_size=53300" "professional=N" "ps_bid_price=0" "ps_offer_price=0.4818" "quantity=10326" "rsp=WNTSGB2LBIC" "sent_time=2020-03-04 08:00:43.852" "serial_number=353502624" "settlement_date=20200306" "system=Equity" "t+=2" "time=28842" "user=tdw" "user_details=4623059" "quotation_amount=1"</t>
  </si>
  <si>
    <t>04/03/20 08:00:43 9580: Quo reply :                       ICV        GB0008706128                                                    801 10326       B20200306  2     15        48.18              30 LSF     0870612 LLOY.L                        LLOY  GB0008706128    GBXGB   LLOY.L  4623059                    801</t>
  </si>
  <si>
    <t>04/03/20 08:00:43 12728 (10.152.26.31) : Got quo request:                      ICV        GB00BT9PTW34                                                        10000       S20200306  2                                     LSE     BD89P59 IDP.L                         IDP   GB00BT9PTW34    GBXGB   IDP.L   8185297                    GBP</t>
  </si>
  <si>
    <t>04/03/20 08:00:43 12728 (10.152.26.31) : Sending....: 0265"record_type=QU" "user=tdw" "counterparty=277" "device=Aitken" "system=Equity" "time=28843" "quantity=10000" "buy_sell=B" "isin=GB00BT9PTW34" "epic=IDP" "t+=2" "settlement_date=20200306" "user_details=8185297" "quantity=10000" "buy_sell=B" "currency=GBP" "link="</t>
  </si>
  <si>
    <t>04/03/20 08:00:45 12728 (10.152.26.31) : Read: "record_type=QUR" "reply_reason=99" "reply_message=No valid quote available" "agency_time=2020-03-04 08:00:45.869" "buy_sell=B" "counterparty=277" "currency=GBP" "device=Aitken" "epic=IDP" "isin=GB00BT9PTW34" "link=000" "professional=N" "quantity=10000" "system=Equity" "t+=2" "time=20200304-08:00:43" "user=tdw" "user_details=8185297"</t>
  </si>
  <si>
    <t>04/03/20 08:00:45 12728: Quo reject : 10099 : No valid quote available</t>
  </si>
  <si>
    <t>04/03/20 08:00:45 6048 (10.152.26.32) : Got quo request:                      ICV        IL0011284465                                                        2058        B20200306  2                                     LSA     BBT3PS9 PLUS.L                        PLUS  IL0011284465    GBXGB   PLUS.L  0906504                    GBP</t>
  </si>
  <si>
    <t>04/03/20 08:00:45 6048 (10.152.26.32) : Sending....: 0264"record_type=QU" "user=tdw" "counterparty=277" "device=Aitken" "system=Equity" "time=28845" "quantity=2058" "buy_sell=S" "isin=IL0011284465" "epic=PLUS" "t+=2" "settlement_date=20200306" "user_details=0906504" "quantity=2058" "buy_sell=S" "currency=GBP" "link="</t>
  </si>
  <si>
    <t>04/03/20 08:00:47 6048 (10.152.26.32) : Read: "record_type=QUR" "reply_reason=0" "agency_time=2020-03-04 08:00:48.110" "bid_price=0" "bid_size=0" "buy_sell=S" "control_ref=40c8cc7e-5dee-11ea-951c-005056a25061" "counterparty=277" "currency=GBP" "device=Aitken" "epic=PLUS" "isin=IL0011284465" "link=087" "market_maker=087" "offer_price=9.711" "offer_size=25000" "professional=N" "ps_bid_price=0" "ps_offer_price=9.711" "quantity=2058" "rsp=LCAPGB21" "sent_time=2020-03-04 08:00:48.110" "serial_number=1518748236" "settlement_date=20200306" "system=Equity" "t+=2" "time=28845" "user=tdw" "user_details=0906504"</t>
  </si>
  <si>
    <t>04/03/20 08:00:47 6048: Quo reply :                       ICV        IL0011284465                                                    087 2058        B20200306  2     16        971.1              30 LSA     BBT3PS9 PLUS.L                        PLUS  IL0011284465    GBXGB   PLUS.L  0906504                    087</t>
  </si>
  <si>
    <t>04/03/20 08:00:47 12900(10.152.26.30) : Got exe request:                      ICV        IM00B3NTV894                                                    4.575000           50000       BABGBXA 14                             Y                                                     2223855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589 GB     BPC.L   00</t>
  </si>
  <si>
    <t>04/03/20 08:00:47 12900 (10.152.26.30) : Sending....: 0299"record_type=DE" "user=tdw" "counterparty=277" "device=Aitken" "system=Equity" "time=28847" "isin=IM00B3NTV894" "epic=BPC" "serial_number=765924357" "buy_sell=S" "quantity=50000" "t+=2" "currency=GBP" "booking_c/party=" "settlement_date=20200306" "user_details=2223855" "market_maker=589" "link="</t>
  </si>
  <si>
    <t>04/03/20 08:00:49 12900 (10.152.26.30) : Read: "record_type=DER" "reply_reason=0" "agency_time=2020-03-04 08:00:50.131" "bargain_ref=0919412963LOA2-1" "buy_sell=S" "control_ref=0066411852LOA1" "counterparty=277" "currency=GBP" "deal_time=08:00:50" "device=Aitken" "epic=BPC" "execution_venue=AIMX" "isin=IM00B3NTV894" "market_maker=589" "price=0.04575" "professional=N" "quantity=50000" "sent_time=2020-03-04 08:00:48.113" "serial_number=0919412963LOA2-1" "settlement_date=20200306" "system=Equity" "t+=2" "time=28847" "user=tdw" "user_details=2223855"</t>
  </si>
  <si>
    <t>04/03/20 08:00:49 12900: Exe reply :                       ICV        IM00B3NTV894                                                    4.575000           50000       BABGBXA 14                             Y                                                     2223855                                                                                                                                                                                                                                                                       0919412963LOA220200306     091941296320200304080047   4.575                 50000               589 GB     BPC.L   02</t>
  </si>
  <si>
    <t>04/03/20 08:00:49 5992 (10.152.26.30) : Got quo request:                      ICV        GB00B580MF54                                                        68          B20200306  2                                     LSB     B580MF5 HUR.L                         HUR   GB00B580MF54    GBXGB   HUR.L   2261493                    GBP</t>
  </si>
  <si>
    <t>04/03/20 08:00:49 5992 (10.152.26.30) : Sending....: 0259"record_type=QU" "user=tdw" "counterparty=277" "device=Aitken" "system=Equity" "time=28849" "quantity=68" "buy_sell=S" "isin=GB00B580MF54" "epic=HUR" "t+=2" "settlement_date=20200306" "user_details=2261493" "quantity=68" "buy_sell=S" "currency=GBP" "link="</t>
  </si>
  <si>
    <t>04/03/20 08:00:51 5992 (10.152.26.30) : Read: "record_type=QUR" "reply_reason=0" "agency_time=2020-03-04 08:00:51.873" "bid_price=0" "bid_size=0" "buy_sell=S" "control_ref=4353ae5a-5dee-11ea-8d14-005056a25061" "counterparty=277" "currency=GBP" "device=Aitken" "epic=HUR" "isin=GB00B580MF54" "link=801" "market_maker=801" "offer_price=0.149516" "offer_size=15000" "professional=N" "ps_bid_price=0" "ps_offer_price=0.149516" "quantity=68" "rsp=WNTSGB2LBIC" "sent_time=2020-03-04 08:00:51.873" "serial_number=346399927" "settlement_date=20200306" "system=Equity" "t+=2" "time=28849" "user=tdw" "user_details=2261493" "quotation_amount=1"</t>
  </si>
  <si>
    <t>04/03/20 08:00:51 5992: Quo reply :                       ICV        GB00B580MF54                                                    801 68          B20200306  2     17        14.9516            30 LSB     B580MF5 HUR.L                         HUR   GB00B580MF54    GBXGB   HUR.L   2261493                    801</t>
  </si>
  <si>
    <t>04/03/20 08:00:51 8992(10.152.26.30) : Got exe request:                      ICV        GB0008706128                                                    48.180000          10326       BABGBXA 15                             Y                                                     4623059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GB     LLOY.L  00</t>
  </si>
  <si>
    <t>04/03/20 08:00:51 8992 (10.152.26.30) : Sending....: 0300"record_type=DE" "user=tdw" "counterparty=277" "device=Aitken" "system=Equity" "time=28851" "isin=GB0008706128" "epic=LLOY" "serial_number=353502624" "buy_sell=S" "quantity=10326" "t+=2" "currency=GBP" "booking_c/party=" "settlement_date=20200306" "user_details=4623059" "market_maker=801" "link="</t>
  </si>
  <si>
    <t>04/03/20 08:00:51 8992 (10.152.26.30) : Read: "record_type=DER" "reply_reason=999" "agency_time=2020-03-04 08:00:51.917" "bargain_ref=28851919-04/03/20-08:00:51" "buy_sell=S" "control_ref=28851918-04/03/20-08:00:51" "counterparty=277" "currency=GBP" "deal_time=08:00:51" "device=Aitken" "epic=LLOY" "isin=GB0008706128" "market_maker=801" "price=0" "professional=N" "quantity=0" "sent_time=2020-03-04 08:00:51.876" "serial_number=28851919-04/03/20-08:00:51" "settlement_date=20200306" "system=Equity" "t+=2" "time=28851" "user=tdw" "user_details=4623059" "reply_message=206 - "</t>
  </si>
  <si>
    <t>04/03/20 08:00:51 8992: Exe rejected : 10999 : 206 -</t>
  </si>
  <si>
    <t>04/03/20 08:00:51 11996 (10.152.26.32) : Got quo request:                      ICV        GB0008706128                                                        20685       B20200306  2                                     LSF     0870612 LLOY.L                        LLOY  GB0008706128    GBXGB   LLOY.L  0930175                    GBP</t>
  </si>
  <si>
    <t>04/03/20 08:00:51 11996 (10.152.26.32) : Sending....: 0266"record_type=QU" "user=tdw" "counterparty=277" "device=Aitken" "system=Equity" "time=28851" "quantity=20685" "buy_sell=S" "isin=GB0008706128" "epic=LLOY" "t+=2" "settlement_date=20200306" "user_details=0930175" "quantity=20685" "buy_sell=S" "currency=GBP" "link="</t>
  </si>
  <si>
    <t>04/03/20 08:00:53 11996 (10.152.26.32) : Read: "record_type=QUR" "reply_reason=0" "agency_time=2020-03-04 08:00:53.656" "bid_price=0" "bid_size=0" "buy_sell=S" "control_ref=4463be2a-5dee-11ea-8262-005056a25061" "counterparty=277" "currency=GBP" "device=Aitken" "epic=LLOY" "isin=GB0008706128" "link=393" "market_maker=393" "offer_price=0.48055" "offer_size=1000000" "professional=N" "ps_bid_price=0" "ps_offer_price=0.48055" "quantity=20685" "rsp=JEFFGB2X" "sent_time=2020-03-04 08:00:53.656" "serial_number=1739234041" "settlement_date=20200306" "system=Equity" "t+=2" "time=28851" "user=tdw" "user_details=0930175"</t>
  </si>
  <si>
    <t>04/03/20 08:00:53 11996: Quo reply :                       ICV        GB0008706128                                                    393 20685       B20200306  2     18        48.055             30 LSF     0870612 LLOY.L                        LLOY  GB0008706128    GBXGB   LLOY.L  0930175                    393</t>
  </si>
  <si>
    <t>04/03/20 08:00:53 9580 (10.152.26.30) : Got quo request:                      ICV        JE00B4T3BW64                                                        10000       B20200306  2                                     LSF     B4T3BW6 GLEN.L                        GLEN  JE00B4T3BW64    GBXJE   GLEN.L  0901072                    GBP</t>
  </si>
  <si>
    <t>04/03/20 08:00:53 9580 (10.152.26.30) : Sending....: 0266"record_type=QU" "user=tdw" "counterparty=277" "device=Aitken" "system=Equity" "time=28853" "quantity=10000" "buy_sell=S" "isin=JE00B4T3BW64" "epic=GLEN" "t+=2" "settlement_date=20200306" "user_details=0901072" "quantity=10000" "buy_sell=S" "currency=GBP" "link="</t>
  </si>
  <si>
    <t>04/03/20 08:00:54 9580 (10.152.26.30) : Read: "record_type=QUR" "reply_reason=0" "agency_time=2020-03-04 08:00:54.741" "bid_price=0" "bid_size=0" "buy_sell=S" "control_ref=456dc02c-5dee-11ea-b8e5-005056a25061" "counterparty=277" "currency=GBP" "device=Aitken" "epic=GLEN.L" "isin=JE00B4T3BW64" "link=871" "market_maker=871" "offer_price=1.929788" "offer_size=13000" "professional=N" "ps_bid_price=0" "ps_offer_price=1.929788" "quantity=10000" "rsp=PLHCGB3LBIC" "sent_time=2020-03-04 08:00:54.741" "serial_number=1712952586" "settlement_date=20200306" "system=Equity" "t+=2" "time=28853" "user=tdw" "user_details=0901072"</t>
  </si>
  <si>
    <t>04/03/20 08:00:54 9580: Quo reply :                       ICV        JE00B4T3BW64                                                    871 10000       B20200306  2     19        192.9788           30 LSF     B4T3BW6 GLEN.L                        GLEN  JE00B4T3BW64    GBXJE   GLEN.L  0901072                    871</t>
  </si>
  <si>
    <t>04/03/20 08:00:54 4124 (10.152.26.31) : Got quo request:                      ICV        FR0010397232                                                        9995        S20200306  2                                     LSC     BF16YK9 NCYT.L                        NCYT  FR0010397232    GBXGB   NCYT.L  4695231                    GBP</t>
  </si>
  <si>
    <t>04/03/20 08:00:54 4124 (10.152.26.31) : Sending....: 0264"record_type=QU" "user=tdw" "counterparty=277" "device=Aitken" "system=Equity" "time=28854" "quantity=9995" "buy_sell=B" "isin=FR0010397232" "epic=NCYT" "t+=2" "settlement_date=20200306" "user_details=4695231" "quantity=9995" "buy_sell=B" "currency=GBP" "link="</t>
  </si>
  <si>
    <t>04/03/20 08:00:56 4124 (10.152.26.31) : Read: "record_type=QUR" "reply_reason=99" "reply_message=No valid quote available" "agency_time=2020-03-04 08:00:57.102" "buy_sell=B" "counterparty=277" "currency=GBP" "device=Aitken" "epic=NCYT" "isin=FR0010397232" "link=000" "professional=N" "quantity=9995" "system=Equity" "t+=2" "time=20200304-08:00:54" "user=tdw" "user_details=4695231"</t>
  </si>
  <si>
    <t>04/03/20 08:00:56 4124: Quo reject : 10099 : No valid quote available</t>
  </si>
  <si>
    <t>04/03/20 08:00:56 11888(10.152.26.32) : Got exe request:                      ICV        IL0011284465                                                    971.100000         2058        BABGBXA 16                             Y                                                     0906504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087 GB     PLUS.L  00</t>
  </si>
  <si>
    <t>04/03/20 08:00:56 11888 (10.152.26.32) : Sending....: 0300"record_type=DE" "user=tdw" "counterparty=277" "device=Aitken" "system=Equity" "time=28856" "isin=IL0011284465" "epic=PLUS" "serial_number=1518748236" "buy_sell=S" "quantity=2058" "t+=2" "currency=GBP" "booking_c/party=" "settlement_date=20200306" "user_details=0906504" "market_maker=087" "link="</t>
  </si>
  <si>
    <t>04/03/20 08:00:57 11888 (10.152.26.32) : Read: "record_type=DER" "reply_reason=0" "agency_time=2020-03-04 08:00:57.554" "bargain_ref=0340671419LOA1-1" "buy_sell=S" "control_ref=0066411880LOA1" "counterparty=277" "currency=GBP" "deal_time=08:00:57" "device=Aitken" "epic=PLUS" "execution_venue=XLON" "isin=IL0011284465" "market_maker=087" "price=9.711" "professional=N" "quantity=2058" "sent_time=2020-03-04 08:00:57.104" "serial_number=0340671419LOA1-1" "settlement_date=20200306" "system=Equity" "t+=2" "time=28856" "user=tdw" "user_details=0906504"</t>
  </si>
  <si>
    <t>04/03/20 08:00:57 11888: Exe reply :                       ICV        IL0011284465                                                    971.100000         2058        BABGBXA 16                             Y                                                     0906504                                                                                                                                                                                                                                                                       0340671419LOA120200306     034067141920200304080056   971.1                 2058                087 GB     PLUS.L  02</t>
  </si>
  <si>
    <t>04/03/20 08:00:57 10288 (10.152.26.31) : Got quo request:                      ICV        GB0008854563                                                        200000      B20200306  2                                     LSE     0885456 TYM.L                         TYM   GB0008854563    GBXGB   TYM.L   0936723                    GBP</t>
  </si>
  <si>
    <t>04/03/20 08:00:57 10288 (10.152.26.31) : Sending....: 0267"record_type=QU" "user=tdw" "counterparty=277" "device=Aitken" "system=Equity" "time=28857" "quantity=200000" "buy_sell=S" "isin=GB0008854563" "epic=TYM" "t+=2" "settlement_date=20200306" "user_details=0936723" "quantity=200000" "buy_sell=S" "currency=GBP" "link="</t>
  </si>
  <si>
    <t>04/03/20 08:00:57 10288 (10.152.26.31) : Read: "record_type=QUR" "reply_reason=99" "reply_message=No valid quote available" "agency_time=2020-03-04 08:00:57.991" "buy_sell=S" "counterparty=277" "currency=GBP" "device=Aitken" "epic=TYM" "isin=GB0008854563" "link=000" "professional=N" "quantity=200000" "system=Equity" "t+=2" "time=20200304-08:00:57" "user=tdw" "user_details=0936723"</t>
  </si>
  <si>
    <t>04/03/20 08:00:57 10288: Quo reject : 10099 : No valid quote available</t>
  </si>
  <si>
    <t>04/03/20 08:00:57 6048 (10.152.26.32) : Got quo request:                      ICV        JE00B5TT1872                                                        15000       B20200306  2                                     LSA     B5TT187 CEY.L                         CEY   JE00B5TT1872    GBXJE   CEY.L   0909675                    GBP</t>
  </si>
  <si>
    <t>04/03/20 08:00:57 6048 (10.152.26.32) : Sending....: 0265"record_type=QU" "user=tdw" "counterparty=277" "device=Aitken" "system=Equity" "time=28857" "quantity=15000" "buy_sell=S" "isin=JE00B5TT1872" "epic=CEY" "t+=2" "settlement_date=20200306" "user_details=0909675" "quantity=15000" "buy_sell=S" "currency=GBP" "link="</t>
  </si>
  <si>
    <t>04/03/20 08:00:57 6048 (10.152.26.32) : Read: "record_type=QUR" "reply_reason=0" "agency_time=2020-03-04 08:00:58.308" "bid_price=0" "bid_size=0" "buy_sell=S" "control_ref=4802a1cc-5dee-11ea-bd26-005056a25061" "counterparty=277" "currency=GBP" "device=Aitken" "epic=CEY" "isin=JE00B5TT1872" "link=801" "market_maker=801" "offer_price=1.41078" "offer_size=15000" "professional=N" "ps_bid_price=0" "ps_offer_price=1.41078" "quantity=15000" "rsp=WNTSGB2LBIC" "sent_time=2020-03-04 08:00:58.308" "serial_number=1425144653" "settlement_date=20200306" "system=Equity" "t+=2" "time=28857" "user=tdw" "user_details=0909675" "quotation_amount=1"</t>
  </si>
  <si>
    <t>04/03/20 08:00:57 6048: Quo reply :                       ICV        JE00B5TT1872                                                    801 15000       B20200306  2     20        141.078            30 LSA     B5TT187 CEY.L                         CEY   JE00B5TT1872    GBXJE   CEY.L   0909675                    801</t>
  </si>
  <si>
    <t>04/03/20 08:00:57 9236(10.152.26.31) : Got exe request:                      ICV        GB0008706128                                                    48.180000          10326       BABGBXA 15                             Y                                                     4623059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GB     LLOY.L  00</t>
  </si>
  <si>
    <t>04/03/20 08:00:58 12900 (10.152.26.30) : Got quo request:                      ICV        GB00B580MF54                                                        14278       S20200306  2                                     LSB     B580MF5 HUR.L                         HUR   GB00B580MF54    GBXGB   HUR.L   4736303                    GBP</t>
  </si>
  <si>
    <t>04/03/20 08:00:58 12900 (10.152.26.30) : Sending....: 0265"record_type=QU" "user=tdw" "counterparty=277" "device=Aitken" "system=Equity" "time=28858" "quantity=14278" "buy_sell=B" "isin=GB00B580MF54" "epic=HUR" "t+=2" "settlement_date=20200306" "user_details=4736303" "quantity=14278" "buy_sell=B" "currency=GBP" "link="</t>
  </si>
  <si>
    <t>04/03/20 08:00:59 12900 (10.152.26.30) : Read: "record_type=QUR" "reply_reason=0" "agency_time=2020-03-04 08:00:59.653" "bid_price=0.146" "bid_size=112500" "buy_sell=B" "control_ref=485abb96-5dee-11ea-8b01-005056a25061" "counterparty=277" "currency=GBP" "device=Aitken" "epic=HUR" "isin=GB00B580MF54" "link=801" "market_maker=801" "offer_price=0" "offer_size=0" "professional=N" "ps_bid_price=0.146" "ps_offer_price=0" "quantity=14278" "rsp=WNTSGB2LBIC" "sent_time=2020-03-04 08:00:59.653" "serial_number=36705398" "settlement_date=20200306" "system=Equity" "t+=2" "time=28858" "user=tdw" "user_details=4736303" "quotation_amount=1"</t>
  </si>
  <si>
    <t>04/03/20 08:00:59 12900: Quo reply :                       ICV        GB00B580MF54                                                    801 14278       S20200306  2     21        14.6               30 LSB     B580MF5 HUR.L                         HUR   GB00B580MF54    GBXGB   HUR.L   4736303                    801</t>
  </si>
  <si>
    <t>04/03/20 08:01:03 12728 (10.152.26.31) : Got quo request:                      ICV        JE00B5TT1872                                                        5000        B20200306  2                                     LSA     B5TT187 CEY.L                         CEY   JE00B5TT1872    GBXJE   CEY.L   0426920                    GBP</t>
  </si>
  <si>
    <t>04/03/20 08:01:03 12728 (10.152.26.31) : Sending....: 0263"record_type=QU" "user=tdw" "counterparty=277" "device=Aitken" "system=Equity" "time=28863" "quantity=5000" "buy_sell=S" "isin=JE00B5TT1872" "epic=CEY" "t+=2" "settlement_date=20200306" "user_details=0426920" "quantity=5000" "buy_sell=S" "currency=GBP" "link="</t>
  </si>
  <si>
    <t>04/03/20 08:01:03 12728 (10.152.26.31) : Read: "record_type=QUR" "reply_reason=0" "agency_time=2020-03-04 08:01:03.541" "bid_price=0" "bid_size=0" "buy_sell=S" "control_ref=4b3c6bfc-5dee-11ea-95a8-005056a25061" "counterparty=277" "currency=GBP" "device=Aitken" "epic=CEY" "isin=JE00B5TT1872" "link=801" "market_maker=801" "offer_price=1.4035" "offer_size=7500" "professional=N" "ps_bid_price=0" "ps_offer_price=1.4035" "quantity=5000" "rsp=WNTSGB2LBIC" "sent_time=2020-03-04 08:01:03.541" "serial_number=1326706013" "settlement_date=20200306" "system=Equity" "t+=2" "time=28863" "user=tdw" "user_details=0426920" "quotation_amount=1"</t>
  </si>
  <si>
    <t>04/03/20 08:01:03 12728: Quo reply :                       ICV        JE00B5TT1872                                                    801 5000        B20200306  2     22        140.35             30 LSA     B5TT187 CEY.L                         CEY   JE00B5TT1872    GBXJE   CEY.L   0426920                    801</t>
  </si>
  <si>
    <t>04/03/20 08:01:03 11108 (10.152.26.32) : Got quo request:                      ICV        GB00BD8QVC95                                                        16293       B20200306  2                                     LSC     BD8QVC9 ESL.L                         ESL   GB00BD8QVC95    GBXGB   ESL.L   4729585                    GBP</t>
  </si>
  <si>
    <t>04/03/20 08:01:03 11108 (10.152.26.32) : Sending....: 0265"record_type=QU" "user=tdw" "counterparty=277" "device=Aitken" "system=Equity" "time=28863" "quantity=16293" "buy_sell=S" "isin=GB00BD8QVC95" "epic=ESL" "t+=2" "settlement_date=20200306" "user_details=4729585" "quantity=16293" "buy_sell=S" "currency=GBP" "link="</t>
  </si>
  <si>
    <t>04/03/20 08:01:04 11108 (10.152.26.32) : Read: "record_type=QUR" "reply_reason=0" "agency_time=2020-03-04 08:01:04.773" "bid_price=0" "bid_size=0" "buy_sell=S" "control_ref=4b7f2d8e-5dee-11ea-9733-005056a25061" "counterparty=277" "currency=GBP" "device=Aitken" "epic=ESL" "isin=GB00BD8QVC95" "link=801" "market_maker=801" "offer_price=0.12" "offer_size=150000" "professional=N" "ps_bid_price=0" "ps_offer_price=0.12" "quantity=16293" "rsp=WNTSGB2LBIC" "sent_time=2020-03-04 08:01:04.773" "serial_number=1279924009" "settlement_date=20200306" "system=Equity" "t+=2" "time=28863" "user=tdw" "user_details=4729585" "quotation_amount=1"</t>
  </si>
  <si>
    <t>04/03/20 08:01:04 11108: Quo reply :                       ICV        GB00BD8QVC95                                                    801 16293       B20200306  2     23        12                 30 LSC     BD8QVC9 ESL.L                         ESL   GB00BD8QVC95    GBXGB   ESL.L   4729585                    801</t>
  </si>
  <si>
    <t>04/03/20 08:01:04 5992 (10.152.26.30) : Got quo request:                      ICV        GB00BF3TBT48                                                        18650       B20200306  2                                     LSC     BF3TBT4 BLOE.L                        BLOE  GB00BF3TBT48    GBXGB   BLOE.L  4731067                    GBP</t>
  </si>
  <si>
    <t>04/03/20 08:01:04 5992 (10.152.26.30) : Sending....: 0266"record_type=QU" "user=tdw" "counterparty=277" "device=Aitken" "system=Equity" "time=28864" "quantity=18650" "buy_sell=S" "isin=GB00BF3TBT48" "epic=BLOE" "t+=2" "settlement_date=20200306" "user_details=4731067" "quantity=18650" "buy_sell=S" "currency=GBP" "link="</t>
  </si>
  <si>
    <t>04/03/20 08:01:05 5992 (10.152.26.30) : Read: "record_type=QUR" "reply_reason=0" "agency_time=2020-03-04 08:01:05.888" "bid_price=0" "bid_size=0" "buy_sell=S" "control_ref=4c39241e-5dee-11ea-87c6-005056a25061" "counterparty=277" "currency=GBP" "device=Aitken" "epic=BLOE" "isin=GB00BF3TBT48" "link=791" "market_maker=791" "offer_price=0.0406" "offer_size=192500" "professional=N" "ps_bid_price=0" "ps_offer_price=0.0406" "quantity=18650" "rsp=BEGODEHH" "sent_time=2020-03-04 08:01:05.888" "serial_number=914901016" "settlement_date=20200306" "system=Equity" "t+=2" "time=28864" "user=tdw" "user_details=4731067"</t>
  </si>
  <si>
    <t>04/03/20 08:01:05 5992: Quo reply :                       ICV        GB00BF3TBT48                                                    791 18650       B20200306  2     24        4.06               30 LSC     BF3TBT4 BLOE.L                        BLOE  GB00BF3TBT48    GBXGB   BLOE.L  4731067                    791</t>
  </si>
  <si>
    <t>04/03/20 08:01:06 4124 (10.152.26.31) : Got quo request:                      ICV        GB00B0DG3H29                                                        33013       S20200306  2                                     LSB     B0DG3H2 SXX.L                         SXX   GB00B0DG3H29    GBXGB   SXX.L   4717852                    GBP</t>
  </si>
  <si>
    <t>04/03/20 08:01:06 4124 (10.152.26.31) : Sending....: 0265"record_type=QU" "user=tdw" "counterparty=277" "device=Aitken" "system=Equity" "time=28866" "quantity=33013" "buy_sell=B" "isin=GB00B0DG3H29" "epic=SXX" "t+=2" "settlement_date=20200306" "user_details=4717852" "quantity=33013" "buy_sell=B" "currency=GBP" "link="</t>
  </si>
  <si>
    <t>04/03/20 08:01:07 4124 (10.152.26.31) : Read: "record_type=QUR" "reply_reason=99" "reply_message=No valid quote available" "agency_time=2020-03-04 08:01:07.894" "buy_sell=B" "counterparty=277" "currency=GBP" "device=Aitken" "epic=SXX" "isin=GB00B0DG3H29" "link=000" "professional=N" "quantity=33013" "system=Equity" "t+=2" "time=20200304-08:01:07" "user=tdw" "user_details=4717852"</t>
  </si>
  <si>
    <t>04/03/20 08:01:07 4124: Quo reject : 10099 : No valid quote available</t>
  </si>
  <si>
    <t>04/03/20 08:01:09 11996 (10.152.26.32) : Got quo request:                      ICV        FR0010397232                                                        1           S20200306  2                                     LSC     BF16YK9 NCYT.L                        NCYT  FR0010397232    GBXGB   NCYT.L  0964353                    GBP</t>
  </si>
  <si>
    <t>04/03/20 08:01:09 11996 (10.152.26.32) : Sending....: 0258"record_type=QU" "user=tdw" "counterparty=277" "device=Aitken" "system=Equity" "time=28869" "quantity=1" "buy_sell=B" "isin=FR0010397232" "epic=NCYT" "t+=2" "settlement_date=20200306" "user_details=0964353" "quantity=1" "buy_sell=B" "currency=GBP" "link="</t>
  </si>
  <si>
    <t>04/03/20 08:01:10 11996 (10.152.26.32) : Read: "record_type=QUR" "reply_reason=0" "agency_time=2020-03-04 08:01:10.595" "bid_price=1.1125" "bid_size=625" "buy_sell=B" "control_ref=4f1eeb96-5dee-11ea-a4df-005056a25061" "counterparty=277" "currency=GBP" "device=Aitken" "epic=NCYT" "isin=FR0010397232" "link=589" "market_maker=589" "offer_price=0" "offer_size=0" "professional=N" "ps_bid_price=1.1125" "ps_offer_price=0" "quantity=1" "rsp=SHOCGB21" "sent_time=2020-03-04 08:01:10.595" "serial_number=526438396" "settlement_date=20200306" "system=Equity" "t+=2" "time=28869" "user=tdw" "user_details=0964353"</t>
  </si>
  <si>
    <t>04/03/20 08:01:10 11996: Quo reply :                       ICV        FR0010397232                                                    589 1           S20200306  2     25        111.25             30 LSC     BF16YK9 NCYT.L                        NCYT  FR0010397232    GBXGB   NCYT.L  0964353                    589</t>
  </si>
  <si>
    <t>04/03/20 08:01:10 8992 (10.152.26.30) : Got quo request:                      ICV        JE00BN574F90                                                        250         B20200306  2                                     LSA     BN574F9 WIZZ.L                        WIZZ  JE00BN574F90    GBXJE   WIZZ.L  9300533                    GBP</t>
  </si>
  <si>
    <t>04/03/20 08:01:10 8992 (10.152.26.30) : Sending....: 0262"record_type=QU" "user=tdw" "counterparty=277" "device=Aitken" "system=Equity" "time=28870" "quantity=250" "buy_sell=S" "isin=JE00BN574F90" "epic=WIZZ" "t+=2" "settlement_date=20200306" "user_details=9300533" "quantity=250" "buy_sell=S" "currency=GBP" "link="</t>
  </si>
  <si>
    <t>04/03/20 08:01:12 8992 (10.152.26.30) : Read: "record_type=QUR" "reply_reason=0" "agency_time=2020-03-04 08:01:13.114" "bid_price=0" "bid_size=0" "buy_sell=S" "control_ref=4f862338-5dee-11ea-b258-005056a25061" "counterparty=277" "currency=GBP" "device=Aitken" "epic=WIZZ" "isin=JE00BN574F90" "link=801" "market_maker=801" "offer_price=34.41" "offer_size=250" "professional=N" "ps_bid_price=0" "ps_offer_price=34.41" "quantity=250" "rsp=WNTSGB2LBIC" "sent_time=2020-03-04 08:01:13.114" "serial_number=166999622" "settlement_date=20200306" "system=Equity" "t+=2" "time=28870" "user=tdw" "user_details=9300533" "quotation_amount=1"</t>
  </si>
  <si>
    <t>04/03/20 08:01:12 8992: Quo reply :                       ICV        JE00BN574F90                                                    801 250         B20200306  2     26        3441               30 LSA     BN574F9 WIZZ.L                        WIZZ  JE00BN574F90    GBXJE   WIZZ.L  9300533                    801</t>
  </si>
  <si>
    <t>04/03/20 08:01:12 9580 (10.152.26.30) : Got quo request:                      ICV        JE00BG6L7297                                                        2370        B20200401 20                                     LSB     BG6L729 BOO.L                         BOO   JE00BG6L7297    GBXJE   BOO.L   8149933                    GBP</t>
  </si>
  <si>
    <t>04/03/20 08:01:12 9580 (10.152.26.30) : Sending....: 0264"record_type=QU" "user=tdw" "counterparty=277" "device=Aitken" "system=Equity" "time=28872" "quantity=2370" "buy_sell=S" "isin=JE00BG6L7297" "epic=BOO" "t+=20" "settlement_date=20200401" "user_details=8149933" "quantity=2370" "buy_sell=S" "currency=GBP" "link="</t>
  </si>
  <si>
    <t>04/03/20 08:01:15 9580 (10.152.26.30) : Read: "record_type=QUR" "reply_reason=0" "agency_time=2020-03-04 08:01:16.104" "bid_price=0" "bid_size=0" "buy_sell=S" "control_ref=5106359a-5dee-11ea-ad89-005056a25061" "counterparty=277" "currency=GBP" "device=Aitken" "epic=BOO" "isin=JE00BG6L7297" "link=331" "market_maker=331" "offer_price=3.015" "offer_size=12500" "professional=N" "ps_bid_price=0" "ps_offer_price=3.015" "quantity=2370" "rsp=IHCSGB21002" "sent_time=2020-03-04 08:01:16.104" "serial_number=1874371770" "settlement_date=20200401" "system=Equity" "t+=20" "time=28872" "user=tdw" "user_details=8149933"</t>
  </si>
  <si>
    <t>04/03/20 08:01:15 9580: Quo reply :                       ICV        JE00BG6L7297                                                    331 2370        B20200401 20     27        301.5              30 LSB     BG6L729 BOO.L                         BOO   JE00BG6L7297    GBXJE   BOO.L   8149933                    331</t>
  </si>
  <si>
    <t>04/03/20 08:01:15 10288 (10.152.26.31) : Got quo request:                      ICV        GB00BZ15CS02                                                        10000       B20200306  2                                     LSE     BZ15CS0 ARB.L                         ARB   GB00BZ15CS02    GBXGB   ARB.L   0746831                    GBP</t>
  </si>
  <si>
    <t>04/03/20 08:01:15 10288 (10.152.26.31) : Sending....: 0265"record_type=QU" "user=tdw" "counterparty=277" "device=Aitken" "system=Equity" "time=28875" "quantity=10000" "buy_sell=S" "isin=GB00BZ15CS02" "epic=ARB" "t+=2" "settlement_date=20200306" "user_details=0746831" "quantity=10000" "buy_sell=S" "currency=GBP" "link="</t>
  </si>
  <si>
    <t>04/03/20 08:01:15 10288 (10.152.26.31) : Read: "record_type=QUR" "reply_reason=0" "agency_time=2020-03-04 08:01:16.221" "bid_price=0" "bid_size=0" "buy_sell=S" "control_ref=52ce63e8-5dee-11ea-bfef-005056a25061" "counterparty=277" "currency=GBP" "device=Aitken" "epic=ARB" "isin=GB00BZ15CS02" "link=801" "market_maker=801" "offer_price=0.0593" "offer_size=225000" "professional=N" "ps_bid_price=0" "ps_offer_price=0.0593" "quantity=10000" "rsp=WNTSGB2LBIC" "sent_time=2020-03-04 08:01:16.221" "serial_number=965629583" "settlement_date=20200306" "system=Equity" "t+=2" "time=28875" "user=tdw" "user_details=0746831" "quotation_amount=1"</t>
  </si>
  <si>
    <t>04/03/20 08:01:15 10288: Quo reply :                       ICV        GB00BZ15CS02                                                    801 10000       B20200306  2     28        5.93               30 LSE     BZ15CS0 ARB.L                         ARB   GB00BZ15CS02    GBXGB   ARB.L   0746831                    801</t>
  </si>
  <si>
    <t>04/03/20 08:01:15 11888 (10.152.26.32) : Got quo request:                      ICV        GB0001048619                                                        900         S20200306  2                                     LSB     0104861 TED.L                         TED   GB0001048619    GBXGB   TED.L   9019477                    GBP</t>
  </si>
  <si>
    <t>04/03/20 08:01:15 11888 (10.152.26.32) : Sending....: 0261"record_type=QU" "user=tdw" "counterparty=277" "device=Aitken" "system=Equity" "time=28875" "quantity=900" "buy_sell=B" "isin=GB0001048619" "epic=TED" "t+=2" "settlement_date=20200306" "user_details=9019477" "quantity=900" "buy_sell=B" "currency=GBP" "link="</t>
  </si>
  <si>
    <t>04/03/20 08:01:17 11888 (10.152.26.32) : Read: "record_type=QUR" "reply_reason=0" "agency_time=2020-03-04 08:01:17.546" "bid_price=2.484901" "bid_size=9800" "buy_sell=B" "control_ref=52e046c6-5dee-11ea-ad4a-005056a25061" "counterparty=277" "currency=GBP" "device=Aitken" "epic=TED.L" "isin=GB0001048619" "link=871" "market_maker=871" "offer_price=0" "offer_size=0" "professional=N" "ps_bid_price=2.484901" "ps_offer_price=0" "quantity=900" "rsp=PLHCGB3LBIC" "sent_time=2020-03-04 08:01:17.546" "serial_number=952784691" "settlement_date=20200306" "system=Equity" "t+=2" "time=28875" "user=tdw" "user_details=9019477"</t>
  </si>
  <si>
    <t>04/03/20 08:01:17 11888: Quo reply :                       ICV        GB0001048619                                                    871 900         S20200306  2     29        248.4901           30 LSB     0104861 TED.L                         TED   GB0001048619    GBXGB   TED.L   9019477                    871</t>
  </si>
  <si>
    <t>04/03/20 08:01:17 12900 (10.152.26.30) : Got quo request:                      ICV        GB00BMH46555                                                        1512730     B20200306  2                                     LSE     BMH4655 7DIG.L                        7DIG  GB00BMH46555    GBXGB   7DIG.L  2227499                    GBP</t>
  </si>
  <si>
    <t>04/03/20 08:01:17 12900 (10.152.26.30) : Sending....: 0270"record_type=QU" "user=tdw" "counterparty=277" "device=Aitken" "system=Equity" "time=28877" "quantity=1512730" "buy_sell=S" "isin=GB00BMH46555" "epic=7DIG" "t+=2" "settlement_date=20200306" "user_details=2227499" "quantity=1512730" "buy_sell=S" "currency=GBP" "link="</t>
  </si>
  <si>
    <t>04/03/20 08:01:17 12900 (10.152.26.30) : Read: "record_type=QUR" "reply_reason=0" "agency_time=2020-03-04 08:01:18.048" "bid_price=0" "bid_size=0" "buy_sell=S" "control_ref=53acc188-5dee-11ea-abcf-005056a25061" "counterparty=277" "currency=GBP" "device=Aitken" "epic=7DIG" "isin=GB00BMH46555" "link=635" "market_maker=635" "offer_price=0.0033" "offer_size=3125000" "professional=N" "ps_bid_price=0" "ps_offer_price=0.0033" "quantity=1512730" "rsp=CFEQGB21EPE" "sent_time=2020-03-04 08:01:18.048" "serial_number=1596897651" "settlement_date=20200306" "system=Equity" "t+=2" "time=28877" "user=tdw" "user_details=2227499"</t>
  </si>
  <si>
    <t>04/03/20 08:01:17 12900: Quo reply :                       ICV        GB00BMH46555                                                    635 1512730     B20200306  2     30        0.33               30 LSE     BMH4655 7DIG.L                        7DIG  GB00BMH46555    GBXGB   7DIG.L  2227499                    635</t>
  </si>
  <si>
    <t>04/03/20 08:01:17 9236 (10.152.26.31) : Got quo request:                      ICV        GB00B580MF54                                                        14278       S20200306  2                                     LSB     B580MF5 HUR.L                         HUR   GB00B580MF54    GBXGB   HUR.L   4736303                    GBP</t>
  </si>
  <si>
    <t>04/03/20 08:01:17 9236 (10.152.26.31) : Sending....: 0265"record_type=QU" "user=tdw" "counterparty=277" "device=Aitken" "system=Equity" "time=28877" "quantity=14278" "buy_sell=B" "isin=GB00B580MF54" "epic=HUR" "t+=2" "settlement_date=20200306" "user_details=4736303" "quantity=14278" "buy_sell=B" "currency=GBP" "link="</t>
  </si>
  <si>
    <t>04/03/20 08:01:19 9236 (10.152.26.31) : Read: "record_type=QUR" "reply_reason=0" "agency_time=2020-03-04 08:01:19.618" "bid_price=0.148" "bid_size=150000" "buy_sell=B" "control_ref=53f72106-5dee-11ea-be0d-005056a25061" "counterparty=277" "currency=GBP" "device=Aitken" "epic=HUR" "isin=GB00B580MF54" "link=801" "market_maker=801" "offer_price=0" "offer_size=0" "professional=N" "ps_bid_price=0.148" "ps_offer_price=0" "quantity=14278" "rsp=WNTSGB2LBIC" "sent_time=2020-03-04 08:01:19.618" "serial_number=1719119076" "settlement_date=20200306" "system=Equity" "t+=2" "time=28877" "user=tdw" "user_details=4736303" "quotation_amount=1"</t>
  </si>
  <si>
    <t>04/03/20 08:01:19 9236: Quo reply :                       ICV        GB00B580MF54                                                    801 14278       S20200306  2     31        14.8               30 LSB     B580MF5 HUR.L                         HUR   GB00B580MF54    GBXGB   HUR.L   4736303                    801</t>
  </si>
  <si>
    <t>04/03/20 08:01:19 6048(10.152.26.32) : Got exe request:                      ICV        GB00BZ15CS02                                                    5.930000           10000       BABGBXA 28                             Y                                                     0746831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GB     ARB.L   00</t>
  </si>
  <si>
    <t>04/03/20 08:01:19 6048 (10.152.26.32) : Sending....: 0299"record_type=DE" "user=tdw" "counterparty=277" "device=Aitken" "system=Equity" "time=28879" "isin=GB00BZ15CS02" "epic=ARB" "serial_number=965629583" "buy_sell=S" "quantity=10000" "t+=2" "currency=GBP" "booking_c/party=" "settlement_date=20200306" "user_details=0746831" "market_maker=801" "link="</t>
  </si>
  <si>
    <t>04/03/20 08:01:19 6048 (10.152.26.32) : Read: "record_type=DER" "reply_reason=0" "agency_time=2020-03-04 08:01:19.644" "bargain_ref=1824399037" "buy_sell=S" "control_ref=1824399037" "counterparty=277" "currency=GBP" "deal_time=08:01:19" "device=Aitken" "epic=ARB" "execution_venue=XLON" "isin=GB00BZ15CS02" "market_maker=801" "price=0.0593" "professional=N" "quantity=10000." "sent_time=2020-03-04 08:01:19.622" "serial_number=1824399037" "settlement_date=20200306" "system=Equity" "t+=2" "time=28879" "user=tdw" "user_details=0746831" "quotation_amount=1"</t>
  </si>
  <si>
    <t>04/03/20 08:01:19 6048: Exe reply :                       ICV        GB00BZ15CS02                                                    5.930000           10000       BABGBXA 28                             Y                                                     0746831                                                                                                                                                                                                                                                                       1824399037    20200306     182439903720200304080119   5.93                  10000               801 GB     ARB.L   02</t>
  </si>
  <si>
    <t>04/03/20 08:01:20 11108 (10.152.26.32) : Got quo request:                      ICV        GB00BD8QVC95                                                        30000       B20200306  2                                     LSC     BD8QVC9 ESL.L                         ESL   GB00BD8QVC95    GBXGB   ESL.L   2243843                    GBP</t>
  </si>
  <si>
    <t>04/03/20 08:01:20 11108 (10.152.26.32) : Sending....: 0265"record_type=QU" "user=tdw" "counterparty=277" "device=Aitken" "system=Equity" "time=28880" "quantity=30000" "buy_sell=S" "isin=GB00BD8QVC95" "epic=ESL" "t+=2" "settlement_date=20200306" "user_details=2243843" "quantity=30000" "buy_sell=S" "currency=GBP" "link="</t>
  </si>
  <si>
    <t>04/03/20 08:01:23 11108 (10.152.26.32) : Read: "record_type=QUR" "reply_reason=99" "reply_message=No valid quote available" "agency_time=2020-03-04 08:01:24.105" "buy_sell=S" "counterparty=277" "currency=GBP" "device=Aitken" "epic=ESL" "isin=GB00BD8QVC95" "link=000" "professional=N" "quantity=30000" "system=Equity" "t+=2" "time=20200304-08:01:21" "user=tdw" "user_details=2243843"</t>
  </si>
  <si>
    <t>04/03/20 08:01:23 11108: Quo reject : 10099 : No valid quote available</t>
  </si>
  <si>
    <t>04/03/20 08:01:23 11996(10.152.26.32) : Got exe request:                      ICV        GB00BMH46555                                                    0.330000           1512730     BABGBXA 30                             Y                                                     2227499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635 GB     7DIG.L  00</t>
  </si>
  <si>
    <t>04/03/20 08:01:23 11996 (10.152.26.32) : Sending....: 0303"record_type=DE" "user=tdw" "counterparty=277" "device=Aitken" "system=Equity" "time=28883" "isin=GB00BMH46555" "epic=7DIG" "serial_number=1596897651" "buy_sell=S" "quantity=1512730" "t+=2" "currency=GBP" "booking_c/party=" "settlement_date=20200306" "user_details=2227499" "market_maker=635" "link="</t>
  </si>
  <si>
    <t>04/03/20 08:01:24 11996 (10.152.26.32) : Read: "record_type=DER" "reply_reason=0" "agency_time=2020-03-04 08:01:24.532" "bargain_ref=0234811642LOA2-1" "buy_sell=S" "control_ref=0066411966LOA1" "counterparty=277" "currency=GBP" "deal_time=08:01:24" "device=Aitken" "epic=7DIG" "execution_venue=AIMX" "isin=GB00BMH46555" "market_maker=635" "price=0.0033" "professional=N" "quantity=1512730" "sent_time=2020-03-04 08:01:24.108" "serial_number=0234811642LOA2-1" "settlement_date=20200306" "system=Equity" "t+=2" "time=28883" "user=tdw" "user_details=2227499"</t>
  </si>
  <si>
    <t>04/03/20 08:01:24 11996: Exe reply :                       ICV        GB00BMH46555                                                    0.330000           1512730     BABGBXA 30                             Y                                                     2227499                                                                                                                                                                                                                                                                       0234811642LOA220200306     023481164220200304080123   0.33                  1512730             635 GB     7DIG.L  02</t>
  </si>
  <si>
    <t>04/03/20 08:01:24 5992 (10.152.26.30) : Got quo request:                      ICV        GB00BD8QVC95                                                        10000       B20200306  2                                     LSC     BD8QVC9 ESL.L                         ESL   GB00BD8QVC95    GBXGB   ESL.L   2017230                    GBP</t>
  </si>
  <si>
    <t>04/03/20 08:01:24 5992 (10.152.26.30) : Sending....: 0265"record_type=QU" "user=tdw" "counterparty=277" "device=Aitken" "system=Equity" "time=28884" "quantity=10000" "buy_sell=S" "isin=GB00BD8QVC95" "epic=ESL" "t+=2" "settlement_date=20200306" "user_details=2017230" "quantity=10000" "buy_sell=S" "currency=GBP" "link="</t>
  </si>
  <si>
    <t>04/03/20 08:01:26 5992 (10.152.26.30) : Read: "record_type=QUR" "reply_reason=99" "reply_message=No valid quote available" "agency_time=2020-03-04 08:01:27.103" "buy_sell=S" "counterparty=277" "currency=GBP" "device=Aitken" "epic=ESL" "isin=GB00BD8QVC95" "link=000" "professional=N" "quantity=10000" "system=Equity" "t+=2" "time=20200304-08:01:24" "user=tdw" "user_details=2017230"</t>
  </si>
  <si>
    <t>04/03/20 08:01:26 5992: Quo reject : 10099 : No valid quote available</t>
  </si>
  <si>
    <t>04/03/20 08:01:26 8992(10.152.26.30) : Got exe request:                      ICV        GB0001048619                                                    248.490100         900         SABGBXA 29                             Y                                                     9019477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871 GB     TED.L   00</t>
  </si>
  <si>
    <t>04/03/20 08:01:26 8992 (10.152.26.30) : Sending....: 0297"record_type=DE" "user=tdw" "counterparty=277" "device=Aitken" "system=Equity" "time=28886" "isin=GB0001048619" "epic=TED" "serial_number=952784691" "buy_sell=B" "quantity=900" "t+=2" "currency=GBP" "booking_c/party=" "settlement_date=20200306" "user_details=9019477" "market_maker=871" "link="</t>
  </si>
  <si>
    <t>04/03/20 08:01:26 8992 (10.152.26.30) : Read: "record_type=DER" "reply_reason=0" "agency_time=2020-03-04 08:01:27.134" "bargain_ref=080116G064118a-1" "buy_sell=B" "control_ref=080116G064118a" "counterparty=277" "currency=GBP" "deal_time=08:01:27" "device=Aitken" "epic=TED.L" "execution_venue=XLON" "isin=GB0001048619" "market_maker=871" "price=2.484901" "professional=N" "quantity=900" "sent_time=2020-03-04 08:01:27.105" "serial_number=080116G064118a-1" "settlement_date=20200306" "system=Equity" "t+=2" "time=28886" "user=tdw" "user_details=9019477"</t>
  </si>
  <si>
    <t>04/03/20 08:01:26 8992: Exe reply :                       ICV        GB0001048619                                                    248.490100         900         SABGBXA 29                             Y                                                     9019477                                                                                                                                                                                                                                                                       080116G064118a20200306     080116G06420200304080126   248.4901              900                 871 GB     TED.L   02</t>
  </si>
  <si>
    <t>04/03/20 08:01:26 12728 (10.152.26.31) : Got quo request:                      ICV        GB00B18S7B29                                                        200000      S20200306  2                                     LSB     B18S7B2 AFC.L                         AFC   GB00B18S7B29    GBXGB   AFC.L   0484791                    GBP</t>
  </si>
  <si>
    <t>04/03/20 08:01:26 12728 (10.152.26.31) : Sending....: 0267"record_type=QU" "user=tdw" "counterparty=277" "device=Aitken" "system=Equity" "time=28886" "quantity=200000" "buy_sell=B" "isin=GB00B18S7B29" "epic=AFC" "t+=2" "settlement_date=20200306" "user_details=0484791" "quantity=200000" "buy_sell=B" "currency=GBP" "link="</t>
  </si>
  <si>
    <t>04/03/20 08:01:27 12728 (10.152.26.31) : Read: "record_type=QUR" "reply_reason=0" "agency_time=2020-03-04 08:01:27.800" "bid_price=0.243286" "bid_size=240000" "buy_sell=B" "control_ref=59614ff4-5dee-11ea-b295-005056a25061" "counterparty=277" "currency=GBP" "device=Aitken" "epic=AFC.L" "isin=GB00B18S7B29" "link=871" "market_maker=871" "offer_price=0" "offer_size=0" "professional=N" "ps_bid_price=0.243286" "ps_offer_price=0" "quantity=200000" "rsp=PLHCGB3LBIC" "sent_time=2020-03-04 08:01:27.800" "serial_number=1394669910" "settlement_date=20200306" "system=Equity" "t+=2" "time=28886" "user=tdw" "user_details=0484791"</t>
  </si>
  <si>
    <t>04/03/20 08:01:27 12728: Quo reply :                       ICV        GB00B18S7B29                                                    871 200000      S20200306  2     32        24.3286            30 LSB     B18S7B2 AFC.L                         AFC   GB00B18S7B29    GBXGB   AFC.L   0484791                    871</t>
  </si>
  <si>
    <t>04/03/20 08:01:27 11888 (10.152.26.32)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</si>
  <si>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08:01:27 11888 (10.152.26.32) : Sending....: 0264"record_type=QU" "user=tdw" "counterparty=277" "device=Aitken" "system=Equity" "time=28887" "quantity=5029" "buy_sell=B" "isin=GB00B17BBQ50" "epic=INVP" "t+=2" "settlement_date=20200306" "user_details=0680395" "quantity=5029" "buy_sell=B" "currency=GBP" "link="</t>
  </si>
  <si>
    <t>04/03/20 08:01:28 11888 (10.152.26.32) : Read: "record_type=QUR" "reply_reason=0" "agency_time=2020-03-04 08:01:29.348" "bid_price=3.964138" "bid_size=6450" "buy_sell=B" "control_ref=59c6f674-5dee-11ea-afaf-005056a25061" "counterparty=277" "currency=GBP" "device=Aitken" "epic=INVP.L" "isin=GB00B17BBQ50" "link=871" "market_maker=871" "offer_price=0" "offer_size=0" "professional=N" "ps_bid_price=3.964138" "ps_offer_price=0" "quantity=5029" "rsp=PLHCGB3LBIC" "sent_time=2020-03-04 08:01:29.348" "serial_number=723949862" "settlement_date=20200306" "system=Equity" "t+=2" "time=28887" "user=tdw" "user_details=0680395"</t>
  </si>
  <si>
    <t>04/03/20 08:01:28 11888: Quo reply :                       ICV        GB00B17BBQ50                                                    871 5029        S20200306  2     33        396.4138           30 LSA     B17BBQ5 INVP.L                        INVP  GB00B17BBQ50    GBXGB   INVP.L  0680395                    871</t>
  </si>
  <si>
    <t>04/03/20 08:01:28 9580 (10.152.26.30)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</si>
  <si>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08:01:28 9580 (10.152.26.30) : Sending....: 0264"record_type=QU" "user=tdw" "counterparty=277" "device=Aitken" "system=Equity" "time=28888" "quantity=5000" "buy_sell=S" "isin=JE00B5TT1872" "epic=CEY" "t+=20" "settlement_date=20200401" "user_details=0426920" "quantity=5000" "buy_sell=S" "currency=GBP" "link="</t>
  </si>
  <si>
    <t>04/03/20 08:01:29 9580 (10.152.26.30) : Read: "record_type=QUR" "reply_reason=0" "agency_time=2020-03-04 08:01:29.390" "bid_price=0" "bid_size=0" "buy_sell=S" "control_ref=5ab31de2-5dee-11ea-910d-005056a25061" "counterparty=277" "currency=GBP" "device=Aitken" "epic=CEY" "isin=JE00B5TT1872" "link=331" "market_maker=331" "offer_price=1.409" "offer_size=50000" "professional=N" "ps_bid_price=0" "ps_offer_price=1.409" "quantity=5000" "rsp=IHCSGB21002" "sent_time=2020-03-04 08:01:29.390" "serial_number=1880955479" "settlement_date=20200401" "system=Equity" "t+=20" "time=28888" "user=tdw" "user_details=0426920"</t>
  </si>
  <si>
    <t>04/03/20 08:01:29 9580: Quo reply :                       ICV        JE00B5TT1872                                                    331 5000        B20200401 20     34        140.9              30 LSA     B5TT187 CEY.L                         CEY   JE00B5TT1872    GBXJE   CEY.L   0426920                    331</t>
  </si>
  <si>
    <t>04/03/20 08:01:29 4124 (10.152.26.31) : Got quo request:                      ICV        GB0008854563                                                        200000      B20200306  2                                     LSE     0885456 TYM.L                         TYM   GB0008854563    GBXGB   TYM.L   0936723                    GBP</t>
  </si>
  <si>
    <t>04/03/20 08:01:29 4124 (10.152.26.31) : Sending....: 0267"record_type=QU" "user=tdw" "counterparty=277" "device=Aitken" "system=Equity" "time=28889" "quantity=200000" "buy_sell=S" "isin=GB0008854563" "epic=TYM" "t+=2" "settlement_date=20200306" "user_details=0936723" "quantity=200000" "buy_sell=S" "currency=GBP" "link="</t>
  </si>
  <si>
    <t>04/03/20 08:01:29 4124 (10.152.26.31) : Read: "record_type=QUR" "reply_reason=99" "reply_message=No valid quote available" "agency_time=2020-03-04 08:01:29.858" "buy_sell=S" "counterparty=277" "currency=GBP" "device=Aitken" "epic=TYM" "isin=GB0008854563" "link=000" "professional=N" "quantity=200000" "system=Equity" "t+=2" "time=20200304-08:01:29" "user=tdw" "user_details=0936723"</t>
  </si>
  <si>
    <t>04/03/20 08:01:29 4124: Quo reject : 10099 : No valid quote available</t>
  </si>
  <si>
    <t>04/03/20 08:01:32 12900 (10.152.26.30) : Got quo request:                      ICV        JE00BN574F90                                                        250         B20200306  2                                     LSA     BN574F9 WIZZ.L                        WIZZ  JE00BN574F90    GBXJE   WIZZ.L  9300533                    GBP</t>
  </si>
  <si>
    <t>04/03/20 08:01:32 12900 (10.152.26.30) : Sending....: 0262"record_type=QU" "user=tdw" "counterparty=277" "device=Aitken" "system=Equity" "time=28892" "quantity=250" "buy_sell=S" "isin=JE00BN574F90" "epic=WIZZ" "t+=2" "settlement_date=20200306" "user_details=9300533" "quantity=250" "buy_sell=S" "currency=GBP" "link="</t>
  </si>
  <si>
    <t>04/03/20 08:01:33 12900 (10.152.26.30) : Read: "record_type=QUR" "reply_reason=0" "agency_time=2020-03-04 08:01:33.510" "bid_price=0" "bid_size=0" "buy_sell=S" "control_ref=5ce88caa-5dee-11ea-aec0-005056a25061" "counterparty=277" "currency=GBP" "device=Aitken" "epic=WIZZ" "isin=JE00BN574F90" "link=801" "market_maker=801" "offer_price=34.37" "offer_size=250" "professional=N" "ps_bid_price=0" "ps_offer_price=34.37" "quantity=250" "rsp=WNTSGB2LBIC" "sent_time=2020-03-04 08:01:33.510" "serial_number=1286683189" "settlement_date=20200306" "system=Equity" "t+=2" "time=28892" "user=tdw" "user_details=9300533" "quotation_amount=1"</t>
  </si>
  <si>
    <t>04/03/20 08:01:33 12900: Quo reply :                       ICV        JE00BN574F90                                                    801 250         B20200306  2     35        3437               30 LSA     BN574F9 WIZZ.L                        WIZZ  JE00BN574F90    GBXJE   WIZZ.L  9300533                    801</t>
  </si>
  <si>
    <t>04/03/20 08:01:35 10288 (10.152.26.31) : Got quo request:                      ICV        JE00B6T5S470                                                        200         S20200306  2                                     LSD     B6T5S47 POLY.L                        POLY  JE00B6T5S470    GBXJE   POLY.L  3367114                    GBP</t>
  </si>
  <si>
    <t>04/03/20 08:01:35 10288 (10.152.26.31) : Sending....: 0262"record_type=QU" "user=tdw" "counterparty=277" "device=Aitken" "system=Equity" "time=28895" "quantity=200" "buy_sell=B" "isin=JE00B6T5S470" "epic=POLY" "t+=2" "settlement_date=20200306" "user_details=3367114" "quantity=200" "buy_sell=B" "currency=GBP" "link="</t>
  </si>
  <si>
    <t>04/03/20 08:01:35 10288 (10.152.26.31) : Read: "record_type=QUR" "reply_reason=0" "agency_time=2020-03-04 08:01:36.217" "bid_price=12.610358" "bid_size=1772" "buy_sell=B" "control_ref=5e61892e-5dee-11ea-90e0-005056a25061" "counterparty=277" "currency=GBP" "device=Aitken" "epic=POLY.L" "isin=JE00B6T5S470" "link=871" "market_maker=871" "offer_price=0" "offer_size=0" "professional=N" "ps_bid_price=12.610358" "ps_offer_price=0" "quantity=200" "rsp=PLHCGB3LBIC" "sent_time=2020-03-04 08:01:36.217" "serial_number=206787942" "settlement_date=20200306" "system=Equity" "t+=2" "time=28895" "user=tdw" "user_details=3367114"</t>
  </si>
  <si>
    <t>04/03/20 08:01:35 10288: Quo reply :                       ICV        JE00B6T5S470                                                    871 200         S20200306  2     36        1261.0358          30 LSD     B6T5S47 POLY.L                        POLY  JE00B6T5S470    GBXJE   POLY.L  3367114                    871</t>
  </si>
  <si>
    <t>04/03/20 08:01:37 6048 (10.152.26.32) : Got quo request:                      ICV        GB00B18S7B29                                                        10000       S20200306  2                                     LSB     B18S7B2 AFC.L                         AFC   GB00B18S7B29    GBXGB   AFC.L   2227057                    GBP</t>
  </si>
  <si>
    <t>04/03/20 08:01:37 6048 (10.152.26.32) : Sending....: 0265"record_type=QU" "user=tdw" "counterparty=277" "device=Aitken" "system=Equity" "time=28897" "quantity=10000" "buy_sell=B" "isin=GB00B18S7B29" "epic=AFC" "t+=2" "settlement_date=20200306" "user_details=2227057" "quantity=10000" "buy_sell=B" "currency=GBP" "link="</t>
  </si>
  <si>
    <t>04/03/20 08:01:37 6048 (10.152.26.32) : Read: "record_type=QUR" "reply_reason=0" "agency_time=2020-03-04 08:01:38.054" "bid_price=0.247" "bid_size=150000" "buy_sell=B" "control_ref=5fdc0400-5dee-11ea-8eaf-005056a25061" "counterparty=277" "currency=GBP" "device=Aitken" "epic=AFC" "isin=GB00B18S7B29" "link=801" "market_maker=801" "offer_price=0" "offer_size=0" "professional=N" "ps_bid_price=0.247" "ps_offer_price=0" "quantity=10000" "rsp=WNTSGB2LBIC" "sent_time=2020-03-04 08:01:38.054" "serial_number=271905599" "settlement_date=20200306" "system=Equity" "t+=2" "time=28897" "user=tdw" "user_details=2227057" "quotation_amount=1"</t>
  </si>
  <si>
    <t>04/03/20 08:01:37 6048: Quo reply :                       ICV        GB00B18S7B29                                                    801 10000       S20200306  2     37        24.7               30 LSB     B18S7B2 AFC.L                         AFC   GB00B18S7B29    GBXGB   AFC.L   2227057                    801</t>
  </si>
  <si>
    <t>04/03/20 08:01:38 5992 (10.152.26.30) : Got quo request:                      ICV        GB0009895292                                                        65          S20200306  2                                     LSD     0989529 AZN.L                         AZN   GB0009895292    GBXGB   AZN.L   2406870                    GBP</t>
  </si>
  <si>
    <t>04/03/20 08:01:38 5992 (10.152.26.30) : Sending....: 0259"record_type=QU" "user=tdw" "counterparty=277" "device=Aitken" "system=Equity" "time=28898" "quantity=65" "buy_sell=B" "isin=GB0009895292" "epic=AZN" "t+=2" "settlement_date=20200306" "user_details=2406870" "quantity=65" "buy_sell=B" "currency=GBP" "link="</t>
  </si>
  <si>
    <t>04/03/20 08:01:39 5992 (10.152.26.30) : Read: "record_type=QUR" "reply_reason=0" "agency_time=2020-03-04 08:01:39.829" "bid_price=72.179315" "bid_size=156" "buy_sell=B" "control_ref=6038e620-5dee-11ea-ab2a-005056a25061" "counterparty=277" "currency=GBP" "device=Aitken" "epic=AZN.L" "isin=GB0009895292" "link=871" "market_maker=871" "offer_price=0" "offer_size=0" "professional=N" "ps_bid_price=72.179315" "ps_offer_price=0" "quantity=65" "rsp=PLHCGB3LBIC" "sent_time=2020-03-04 08:01:39.829" "serial_number=1943932088" "settlement_date=20200306" "system=Equity" "t+=2" "time=28898" "user=tdw" "user_details=2406870"</t>
  </si>
  <si>
    <t>04/03/20 08:01:39 5992: Quo reply :                       ICV        GB0009895292                                                    871 65          S20200306  2     38        7217.9315          30 LSD     0989529 AZN.L                         AZN   GB0009895292    GBXGB   AZN.L   2406870                    871</t>
  </si>
  <si>
    <t>04/03/20 08:01:42 8992 (10.152.26.30) : Got quo request:                      ICV        GB00BD0S4T13                                                        1000000     B20200306  2                                     LSC     BD0S4T1 EDL.L                         EDL   GB00BD0S4T13    GBXGB   EDL.L   2223855                    GBP</t>
  </si>
  <si>
    <t>04/03/20 08:01:42 8992 (10.152.26.30) : Sending....: 0269"record_type=QU" "user=tdw" "counterparty=277" "device=Aitken" "system=Equity" "time=28902" "quantity=1000000" "buy_sell=S" "isin=GB00BD0S4T13" "epic=EDL" "t+=2" "settlement_date=20200306" "user_details=2223855" "quantity=1000000" "buy_sell=S" "currency=GBP" "link="</t>
  </si>
  <si>
    <t>04/03/20 08:01:42 8992 (10.152.26.30) : Read: "record_type=QUR" "reply_reason=0" "agency_time=2020-03-04 08:01:42.592" "bid_price=0" "bid_size=0" "buy_sell=S" "control_ref=628eb1b6-5dee-11ea-8bed-005056a25061" "counterparty=277" "currency=GBP" "device=Aitken" "epic=EDL" "isin=GB00BD0S4T13" "link=801" "market_maker=801" "offer_price=0.000475" "offer_size=7500000" "professional=N" "ps_bid_price=0" "ps_offer_price=0.000475" "quantity=1000000" "rsp=WNTSGB2LBIC" "sent_time=2020-03-04 08:01:42.592" "serial_number=2140721369" "settlement_date=20200306" "system=Equity" "t+=2" "time=28902" "user=tdw" "user_details=2223855" "quotation_amount=1"</t>
  </si>
  <si>
    <t>04/03/20 08:01:42 8992: Quo reply :                       ICV        GB00BD0S4T13                                                    801 1000000     B20200306  2     39        0.0475             30 LSC     BD0S4T1 EDL.L                         EDL   GB00BD0S4T13    GBXGB   EDL.L   2223855                    801</t>
  </si>
  <si>
    <t>04/03/20 08:01:42 9236 (10.152.26.31) : Got quo request:                      ICV        GB0008706128                                                        2000        B20200306  2                                     LSF     0870612 LLOY.L                        LLOY  GB0008706128    GBXGB   LLOY.L  0237108                    GBP</t>
  </si>
  <si>
    <t>04/03/20 08:01:42 9236 (10.152.26.31) : Sending....: 0264"record_type=QU" "user=tdw" "counterparty=277" "device=Aitken" "system=Equity" "time=28902" "quantity=2000" "buy_sell=S" "isin=GB0008706128" "epic=LLOY" "t+=2" "settlement_date=20200306" "user_details=0237108" "quantity=2000" "buy_sell=S" "currency=GBP" "link="</t>
  </si>
  <si>
    <t>04/03/20 08:01:43 9236 (10.152.26.31) : Read: "record_type=QUR" "reply_reason=0" "agency_time=2020-03-04 08:01:43.852" "bid_price=0" "bid_size=0" "buy_sell=S" "control_ref=62d3cfee-5dee-11ea-9a3b-005056a25061" "counterparty=277" "currency=GBP" "device=Aitken" "epic=LLOY" "isin=GB0008706128" "link=006" "market_maker=006" "offer_price=0.4806" "offer_size=5000" "professional=N" "ps_bid_price=0" "ps_offer_price=0.4806" "quantity=2000" "rsp=STNOGB21" "sent_time=2020-03-04 08:01:43.852" "serial_number=1935501323" "settlement_date=20200306" "system=Equity" "t+=2" "time=28902" "user=tdw" "user_details=0237108"</t>
  </si>
  <si>
    <t>04/03/20 08:01:43 9236: Quo reply :                       ICV        GB0008706128                                                    006 2000        B20200306  2     40        48.06              30 LSF     0870612 LLOY.L                        LLOY  GB0008706128    GBXGB   LLOY.L  0237108                    006</t>
  </si>
  <si>
    <t>04/03/20 08:01:43 11108 (10.152.26.32) : Got quo request:                      ICV        GB00B0DG3H29                                                        10859       S20200306  2                                     LSB     B0DG3H2 SXX.L                         SXX   GB00B0DG3H29    GBXGB   SXX.L   0590199                    GBP</t>
  </si>
  <si>
    <t>04/03/20 08:01:43 11108 (10.152.26.32) : Sending....: 0265"record_type=QU" "user=tdw" "counterparty=277" "device=Aitken" "system=Equity" "time=28903" "quantity=10859" "buy_sell=B" "isin=GB00B0DG3H29" "epic=SXX" "t+=2" "settlement_date=20200306" "user_details=0590199" "quantity=10859" "buy_sell=B" "currency=GBP" "link="</t>
  </si>
  <si>
    <t>04/03/20 08:01:44 11108 (10.152.26.32) : Read: "record_type=QUR" "reply_reason=99" "reply_message=No valid quote available" "agency_time=2020-03-04 08:01:45.298" "buy_sell=B" "counterparty=277" "currency=GBP" "device=Aitken" "epic=SXX" "isin=GB00B0DG3H29" "link=000" "professional=N" "quantity=10859" "system=Equity" "t+=2" "time=20200304-08:01:44" "user=tdw" "user_details=0590199"</t>
  </si>
  <si>
    <t>04/03/20 08:01:44 11108: Quo reject : 10099 : No valid quote available</t>
  </si>
  <si>
    <t>04/03/20 08:01:47 9580 (10.152.26.30) : Got quo request:                      ICV        JE00BG6L7297                                                        2326        B20200401 20                                     LSB     BG6L729 BOO.L                         BOO   JE00BG6L7297    GBXJE   BOO.L   8149933                    GBP</t>
  </si>
  <si>
    <t>04/03/20 08:01:47 9580 (10.152.26.30) : Sending....: 0264"record_type=QU" "user=tdw" "counterparty=277" "device=Aitken" "system=Equity" "time=28907" "quantity=2326" "buy_sell=S" "isin=JE00BG6L7297" "epic=BOO" "t+=20" "settlement_date=20200401" "user_details=8149933" "quantity=2326" "buy_sell=S" "currency=GBP" "link="</t>
  </si>
  <si>
    <t>04/03/20 08:01:49 9580 (10.152.26.30) : Read: "record_type=QUR" "reply_reason=0" "agency_time=2020-03-04 08:01:50.122" "bid_price=0" "bid_size=0" "buy_sell=S" "control_ref=65a43a6a-5dee-11ea-b402-005056a25061" "counterparty=277" "currency=GBP" "device=Aitken" "epic=BOO" "isin=JE00BG6L7297" "link=801" "market_maker=801" "offer_price=3.13" "offer_size=15000" "professional=N" "ps_bid_price=0" "ps_offer_price=3.13" "quantity=2326" "rsp=WNTSGB2LBIC" "sent_time=2020-03-04 08:01:50.122" "serial_number=616155387" "settlement_date=20200401" "system=Equity" "t+=20" "time=28907" "user=tdw" "user_details=8149933" "quotation_amount=1"</t>
  </si>
  <si>
    <t>04/03/20 08:01:49 9580: Quo reply :                       ICV        JE00BG6L7297                                                    801 2326        B20200401 20     41        313                30 LSB     BG6L729 BOO.L                         BOO   JE00BG6L7297    GBXJE   BOO.L   8149933                    801</t>
  </si>
  <si>
    <t>04/03/20 08:01:50 11108 (10.152.26.32) : Got quo request:                      ICV        GB0005603997                                                        3777        B20200306  2                                     LSD     0560399 LGEN.L                        LGEN  GB0005603997    GBXGB   LGEN.L  5235922                    GBP</t>
  </si>
  <si>
    <t>04/03/20 08:01:50 11108 (10.152.26.32) : Sending....: 0264"record_type=QU" "user=tdw" "counterparty=277" "device=Aitken" "system=Equity" "time=28910" "quantity=3777" "buy_sell=S" "isin=GB0005603997" "epic=LGEN" "t+=2" "settlement_date=20200306" "user_details=5235922" "quantity=3777" "buy_sell=S" "currency=GBP" "link="</t>
  </si>
  <si>
    <t>04/03/20 08:01:52 11108 (10.152.26.32) : Read: "record_type=QUR" "reply_reason=0" "agency_time=2020-03-04 08:01:52.788" "bid_price=0" "bid_size=0" "buy_sell=S" "control_ref=677a0cfc-5dee-11ea-861f-005056a25061" "counterparty=277" "currency=GBP" "device=Aitken" "epic=LGEN" "isin=GB0005603997" "link=006" "market_maker=006" "offer_price=2.632" "offer_size=10000" "professional=N" "ps_bid_price=0" "ps_offer_price=2.632" "quantity=3777" "rsp=STNOGB21" "sent_time=2020-03-04 08:01:52.788" "serial_number=1509707444" "settlement_date=20200306" "system=Equity" "t+=2" "time=28910" "user=tdw" "user_details=5235922"</t>
  </si>
  <si>
    <t>04/03/20 08:01:52 11108: Quo reply :                       ICV        GB0005603997                                                    006 3777        B20200306  2     42        263.2              30 LSD     0560399 LGEN.L                        LGEN  GB0005603997    GBXGB   LGEN.L  5235922                    006</t>
  </si>
  <si>
    <t>04/03/20 08:01:52 12900 (10.152.26.30) : Got quo request:                      ICV        GB00B0SWJX34                                                        743         S20200306  2                                     LSD     B0SWJX3 LSE.L                         LSE   GB00B0SWJX34    GBXGB   LSE.L   2227138                    GBP</t>
  </si>
  <si>
    <t>04/03/20 08:01:52 12900 (10.152.26.30) : Sending....: 0261"record_type=QU" "user=tdw" "counterparty=277" "device=Aitken" "system=Equity" "time=28912" "quantity=743" "buy_sell=B" "isin=GB00B0SWJX34" "epic=LSE" "t+=2" "settlement_date=20200306" "user_details=2227138" "quantity=743" "buy_sell=B" "currency=GBP" "link="</t>
  </si>
  <si>
    <t>04/03/20 08:01:54 12900 (10.152.26.30) : Read: "record_type=QUR" "reply_reason=0" "agency_time=2020-03-04 08:01:54.801" "bid_price=78.28556" "bid_size=743" "buy_sell=B" "control_ref=68abf518-5dee-11ea-99c4-005056a25061" "counterparty=277" "currency=GBP" "device=Aitken" "epic=LSE" "isin=GB00B0SWJX34" "link=801" "market_maker=801" "offer_price=0" "offer_size=0" "professional=N" "ps_bid_price=78.28556" "ps_offer_price=0" "quantity=743" "rsp=WNTSGB2LBIC" "sent_time=2020-03-04 08:01:54.801" "serial_number=241194408" "settlement_date=20200306" "system=Equity" "t+=2" "time=28912" "user=tdw" "user_details=2227138" "quotation_amount=1"</t>
  </si>
  <si>
    <t>04/03/20 08:01:54 12900: Quo reply :                       ICV        GB00B0SWJX34                                                    801 743         S20200306  2     43        7828.556           30 LSD     B0SWJX3 LSE.L                         LSE   GB00B0SWJX34    GBXGB   LSE.L   2227138                    801</t>
  </si>
  <si>
    <t>04/03/20 08:01:54 12728 (10.152.26.31) : Got quo request:                      ICV        GB00B1P6ZR11                                                        15000       B20200306  2                                     LSB     B1P6ZR1 BWNG.L                        BWNG  GB00B1P6ZR11    GBXGB   BWNG.L  5221269                    GBP</t>
  </si>
  <si>
    <t>04/03/20 08:01:54 12728 (10.152.26.31) : Sending....: 0266"record_type=QU" "user=tdw" "counterparty=277" "device=Aitken" "system=Equity" "time=28914" "quantity=15000" "buy_sell=S" "isin=GB00B1P6ZR11" "epic=BWNG" "t+=2" "settlement_date=20200306" "user_details=5221269" "quantity=15000" "buy_sell=S" "currency=GBP" "link="</t>
  </si>
  <si>
    <t>04/03/20 08:01:55 12728 (10.152.26.31) : Read: "record_type=QUR" "reply_reason=0" "agency_time=2020-03-04 08:01:55.998" "bid_price=0" "bid_size=0" "buy_sell=S" "control_ref=69df0628-5dee-11ea-9e72-005056a25061" "counterparty=277" "currency=GBP" "device=Aitken" "epic=BWNG" "isin=GB00B1P6ZR11" "link=801" "market_maker=801" "offer_price=0.552" "offer_size=15000" "professional=N" "ps_bid_price=0" "ps_offer_price=0.552" "quantity=15000" "rsp=WNTSGB2LBIC" "sent_time=2020-03-04 08:01:55.998" "serial_number=83090934" "settlement_date=20200306" "system=Equity" "t+=2" "time=28914" "user=tdw" "user_details=5221269" "quotation_amount=1"</t>
  </si>
  <si>
    <t>04/03/20 08:01:55 12728: Quo reply :                       ICV        GB00B1P6ZR11                                                    801 15000       B20200306  2     44        55.2               30 LSB     B1P6ZR1 BWNG.L                        BWNG  GB00B1P6ZR11    GBXGB   BWNG.L  5221269                    801</t>
  </si>
  <si>
    <t>04/03/20 08:01:55 11888(10.152.26.32) : Got exe request:                      ICV        GB0008706128                                                    48.060000          2000        BABGBXA 40                             Y                                                     0237108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006 GB     LLOY.L  00</t>
  </si>
  <si>
    <t>04/03/20 08:01:55 11888 (10.152.26.32) : Sending....: 0300"record_type=DE" "user=tdw" "counterparty=277" "device=Aitken" "system=Equity" "time=28915" "isin=GB0008706128" "epic=LLOY" "serial_number=1935501323" "buy_sell=S" "quantity=2000" "t+=2" "currency=GBP" "booking_c/party=" "settlement_date=20200306" "user_details=0237108" "market_maker=006" "link="</t>
  </si>
  <si>
    <t>04/03/20 08:01:55 11888 (10.152.26.32) : Read: "record_type=DER" "reply_reason=0" "agency_time=2020-03-04 08:01:56.091" "bargain_ref=0563918419LOA2-1" "buy_sell=S" "control_ref=0066412117LOA1" "counterparty=277" "currency=GBP" "deal_time=08:01:56" "device=Aitken" "epic=LLOY" "execution_venue=XLON" "isin=GB0008706128" "market_maker=006" "price=0.4806" "professional=N" "quantity=2000" "sent_time=2020-03-04 08:01:56.001" "serial_number=0563918419LOA2-1" "settlement_date=20200306" "system=Equity" "t+=2" "time=28915" "user=tdw" "user_details=0237108"</t>
  </si>
  <si>
    <t>04/03/20 08:01:55 11888: Exe reply :                       ICV        GB0008706128                                                    48.060000          2000        BABGBXA 40                             Y                                                     0237108                                                                                                                                                                                                                                                                       0563918419LOA220200306     056391841920200304080155   48.06                 2000                006 GB     LLOY.L  02</t>
  </si>
  <si>
    <t>04/03/20 08:01:55 6048 (10.152.26.32) : Got quo request:                      ICV        GB0008854563                                                        69649       B20200306  2                                     LSE     0885456 TYM.L                         TYM   GB0008854563    GBXGB   TYM.L   2239759                    GBP</t>
  </si>
  <si>
    <t>04/03/20 08:01:55 6048 (10.152.26.32) : Sending....: 0265"record_type=QU" "user=tdw" "counterparty=277" "device=Aitken" "system=Equity" "time=28915" "quantity=69649" "buy_sell=S" "isin=GB0008854563" "epic=TYM" "t+=2" "settlement_date=20200306" "user_details=2239759" "quantity=69649" "buy_sell=S" "currency=GBP" "link="</t>
  </si>
  <si>
    <t>04/03/20 08:01:55 6048 (10.152.26.32) : Read: "record_type=QUR" "reply_reason=99" "reply_message=No valid quote available" "agency_time=2020-03-04 08:01:56.244" "buy_sell=S" "counterparty=277" "currency=GBP" "device=Aitken" "epic=TYM" "isin=GB0008854563" "link=000" "professional=N" "quantity=69649" "system=Equity" "t+=2" "time=20200304-08:01:56" "user=tdw" "user_details=2239759"</t>
  </si>
  <si>
    <t>04/03/20 08:01:55 6048: Quo reject : 10099 : No valid quote available</t>
  </si>
  <si>
    <t>04/03/20 08:01:55 4124 (10.152.26.31) : Got quo request:                      ICV        GB0009589168                                                        12748       B20200306  2                                     LSE     0958916 SYM.L                         SYM   GB0009589168    GBXGB   SYM.L   0627928                    GBP</t>
  </si>
  <si>
    <t>04/03/20 08:01:55 4124 (10.152.26.31) : Sending....: 0265"record_type=QU" "user=tdw" "counterparty=277" "device=Aitken" "system=Equity" "time=28915" "quantity=12748" "buy_sell=S" "isin=GB0009589168" "epic=SYM" "t+=2" "settlement_date=20200306" "user_details=0627928" "quantity=12748" "buy_sell=S" "currency=GBP" "link="</t>
  </si>
  <si>
    <t>04/03/20 08:01:56 4124 (10.152.26.31) : Read: "record_type=QUR" "reply_reason=99" "reply_message=No valid quote available" "agency_time=2020-03-04 08:01:56.581" "buy_sell=S" "counterparty=277" "currency=GBP" "device=Aitken" "epic=SYM" "isin=GB0009589168" "link=000" "professional=N" "quantity=12748" "system=Equity" "t+=2" "time=20200304-08:01:56" "user=tdw" "user_details=0627928"</t>
  </si>
  <si>
    <t>04/03/20 08:01:56 4124: Quo reject : 10099 : No valid quote available</t>
  </si>
  <si>
    <t>04/03/20 08:01:57 5992 (10.152.26.30) : Got quo request:                      ICV        GB00B0WD0R35                                                        5           B20200306  2                                     LSE     B0WD0R3 SOLG.L                        SOLG  GB00B0WD0R35    GBXGB   SOLG.L  4648676                    GBP</t>
  </si>
  <si>
    <t>04/03/20 08:01:57 5992 (10.152.26.30) : Sending....: 0258"record_type=QU" "user=tdw" "counterparty=277" "device=Aitken" "system=Equity" "time=28917" "quantity=5" "buy_sell=S" "isin=GB00B0WD0R35" "epic=SOLG" "t+=2" "settlement_date=20200306" "user_details=4648676" "quantity=5" "buy_sell=S" "currency=GBP" "link="</t>
  </si>
  <si>
    <t>04/03/20 08:01:57 5992 (10.152.26.30) : Read: "record_type=QUR" "reply_reason=0" "agency_time=2020-03-04 08:01:57.451" "bid_price=0" "bid_size=0" "buy_sell=S" "control_ref=6b6b1d88-5dee-11ea-a611-005056a25061" "counterparty=277" "currency=GBP" "device=Aitken" "epic=SOLG" "isin=GB00B0WD0R35" "link=801" "market_maker=801" "offer_price=0.175072" "offer_size=75000" "professional=N" "ps_bid_price=0" "ps_offer_price=0.175072" "quantity=5" "rsp=WNTSGB2LBIC" "sent_time=2020-03-04 08:01:57.451" "serial_number=447518746" "settlement_date=20200306" "system=Equity" "t+=2" "time=28917" "user=tdw" "user_details=4648676" "quotation_amount=1"</t>
  </si>
  <si>
    <t>04/03/20 08:01:57 5992: Quo reply :                       ICV        GB00B0WD0R35                                                    801 5           B20200306  2     45        17.5072            30 LSE     B0WD0R3 SOLG.L                        SOLG  GB00B0WD0R35    GBXGB   SOLG.L  4648676                    801</t>
  </si>
  <si>
    <t>04/03/20 08:02:00 11996 (10.152.26.32) : Got quo request:                      ICV        GB0005991111                                                        507         S20200306  2                                     LSC     0599111 MPAC.L                        MPAC  GB0005991111    GBXGB   MPAC.L  0961323                    GBP</t>
  </si>
  <si>
    <t>04/03/20 08:02:00 11996 (10.152.26.32) : Sending....: 0262"record_type=QU" "user=tdw" "counterparty=277" "device=Aitken" "system=Equity" "time=28920" "quantity=507" "buy_sell=B" "isin=GB0005991111" "epic=MPAC" "t+=2" "settlement_date=20200306" "user_details=0961323" "quantity=507" "buy_sell=B" "currency=GBP" "link="</t>
  </si>
  <si>
    <t>04/03/20 08:02:00 11996 (10.152.26.32) : Read: "record_type=QUR" "reply_reason=99" "reply_message=No valid quote available" "agency_time=2020-03-04 08:02:00.617" "buy_sell=B" "counterparty=277" "currency=GBP" "device=Aitken" "epic=MPAC" "isin=GB0005991111" "link=000" "professional=N" "quantity=507" "system=Equity" "t+=2" "time=20200304-08:02:00" "user=tdw" "user_details=0961323"</t>
  </si>
  <si>
    <t>04/03/20 08:02:00 11996: Quo reject : 10099 : No valid quote available</t>
  </si>
  <si>
    <t>04/03/20 08:02:02 10288 (10.152.26.31) : Got quo request:                      ICV        GB0033711010                                                        10000       S20200306  2                                     LSB     3371101 IMM.L                         IMM   GB0033711010    GBXGB   IMM.L   6120848                    GBP</t>
  </si>
  <si>
    <t>04/03/20 08:02:02 10288 (10.152.26.31) : Sending....: 0265"record_type=QU" "user=tdw" "counterparty=277" "device=Aitken" "system=Equity" "time=28922" "quantity=10000" "buy_sell=B" "isin=GB0033711010" "epic=IMM" "t+=2" "settlement_date=20200306" "user_details=6120848" "quantity=10000" "buy_sell=B" "currency=GBP" "link="</t>
  </si>
  <si>
    <t>04/03/20 08:02:03 10288 (10.152.26.31) : Read: "record_type=QUR" "reply_reason=0" "agency_time=2020-03-04 08:02:03.439" "bid_price=0.1231" "bid_size=62500" "buy_sell=B" "control_ref=6e69f95a-5dee-11ea-b7db-005056a25061" "counterparty=277" "currency=GBP" "device=Aitken" "epic=IMM" "isin=GB0033711010" "link=635" "market_maker=635" "offer_price=0" "offer_size=0" "professional=N" "ps_bid_price=0.1231" "ps_offer_price=0" "quantity=10000" "rsp=CFEQGB21EPE" "sent_time=2020-03-04 08:02:03.439" "serial_number=194708943" "settlement_date=20200306" "system=Equity" "t+=2" "time=28922" "user=tdw" "user_details=6120848"</t>
  </si>
  <si>
    <t>04/03/20 08:02:03 10288: Quo reply :                       ICV        GB0033711010                                                    635 10000       S20200306  2     46        12.31              30 LSB     3371101 IMM.L                         IMM   GB0033711010    GBXGB   IMM.L   6120848                    635</t>
  </si>
  <si>
    <t>04/03/20 08:02:03 11108(10.152.26.32) : Got exe request:                      ICV        GB0005603997                                                    263.200000         3777        BABGBXA 42                             Y                                                     5235922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006 GB     LGEN.L  00</t>
  </si>
  <si>
    <t>04/03/20 08:02:03 11108 (10.152.26.32) : Sending....: 0300"record_type=DE" "user=tdw" "counterparty=277" "device=Aitken" "system=Equity" "time=28923" "isin=GB0005603997" "epic=LGEN" "serial_number=1509707444" "buy_sell=S" "quantity=3777" "t+=2" "currency=GBP" "booking_c/party=" "settlement_date=20200306" "user_details=5235922" "market_maker=006" "link="</t>
  </si>
  <si>
    <t>04/03/20 08:02:03 11108 (10.152.26.32) : Read: "record_type=DER" "reply_reason=0" "agency_time=2020-03-04 08:02:04.198" "bargain_ref=0563918846LOA2-1" "buy_sell=S" "control_ref=0066412159LOA1" "counterparty=277" "currency=GBP" "deal_time=08:02:04" "device=Aitken" "epic=LGEN" "execution_venue=XLON" "isin=GB0005603997" "market_maker=006" "price=2.632" "professional=N" "quantity=3777" "sent_time=2020-03-04 08:02:03.663" "serial_number=0563918846LOA2-1" "settlement_date=20200306" "system=Equity" "t+=2" "time=28923" "user=tdw" "user_details=5235922"</t>
  </si>
  <si>
    <t>04/03/20 08:02:03 11108: Exe reply :                       ICV        GB0005603997                                                    263.200000         3777        BABGBXA 42                             Y                                                     5235922                                                                                                                                                                                                                                                                       0563918846LOA220200306     056391884620200304080203   263.2                 3777                006 GB     LGEN.L  02</t>
  </si>
  <si>
    <t>04/03/20 08:02:03 8992 (10.152.26.30) : Got quo request:                      ICV        GB00BGCC6189                                                        601         B20200306  2                                     LSC     BGCC618 GAN.L                         GAN   GB00BGCC6189    GBXGB   GAN.L   0906619                    GBP</t>
  </si>
  <si>
    <t>04/03/20 08:02:03 8992 (10.152.26.30) : Sending....: 0261"record_type=QU" "user=tdw" "counterparty=277" "device=Aitken" "system=Equity" "time=28923" "quantity=601" "buy_sell=S" "isin=GB00BGCC6189" "epic=GAN" "t+=2" "settlement_date=20200306" "user_details=0906619" "quantity=601" "buy_sell=S" "currency=GBP" "link="</t>
  </si>
  <si>
    <t>04/03/20 08:02:05 8992 (10.152.26.30) : Read: "record_type=QUR" "reply_reason=0" "agency_time=2020-03-04 08:02:05.893" "bid_price=0" "bid_size=0" "buy_sell=S" "control_ref=6f78fc92-5dee-11ea-94b9-005056a25061" "counterparty=277" "currency=GBP" "device=Aitken" "epic=GAN" "isin=GB00BGCC6189" "link=801" "market_maker=801" "offer_price=1.6695" "offer_size=7500" "professional=N" "ps_bid_price=0" "ps_offer_price=1.6695" "quantity=601" "rsp=WNTSGB2LBIC" "sent_time=2020-03-04 08:02:05.893" "serial_number=1989167317" "settlement_date=20200306" "system=Equity" "t+=2" "time=28923" "user=tdw" "user_details=0906619" "quotation_amount=1"</t>
  </si>
  <si>
    <t>04/03/20 08:02:05 8992: Quo reply :                       ICV        GB00BGCC6189                                                    801 601         B20200306  2     47        166.95             30 LSC     BGCC618 GAN.L                         GAN   GB00BGCC6189    GBXGB   GAN.L   0906619                    801</t>
  </si>
  <si>
    <t>04/03/20 08:02:05 11888 (10.152.26.32) : Got quo request:                      ICV        GB00B43G0577                                                        13994       B20200306  2                                     LSA     B43G057 PMO.L                         PMO   GB00B43G0577    GBXGB   PMO.L   2225809                    GBP</t>
  </si>
  <si>
    <t>04/03/20 08:02:05 11888 (10.152.26.32) : Sending....: 0265"record_type=QU" "user=tdw" "counterparty=277" "device=Aitken" "system=Equity" "time=28925" "quantity=13994" "buy_sell=S" "isin=GB00B43G0577" "epic=PMO" "t+=2" "settlement_date=20200306" "user_details=2225809" "quantity=13994" "buy_sell=S" "currency=GBP" "link="</t>
  </si>
  <si>
    <t>04/03/20 08:02:05 11888 (10.152.26.32) : Read: "record_type=QUR" "reply_reason=0" "agency_time=2020-03-04 08:02:06.206" "bid_price=0" "bid_size=0" "buy_sell=S" "control_ref=707bbd5a-5dee-11ea-b8e0-005056a25061" "counterparty=277" "currency=GBP" "device=Aitken" "epic=PMO.L" "isin=GB00B43G0577" "link=871" "market_maker=871" "offer_price=0.796563" "offer_size=30087" "professional=N" "ps_bid_price=0" "ps_offer_price=0.796563" "quantity=13994" "rsp=PLHCGB3LBIC" "sent_time=2020-03-04 08:02:06.206" "serial_number=2079730180" "settlement_date=20200306" "system=Equity" "t+=2" "time=28925" "user=tdw" "user_details=2225809"</t>
  </si>
  <si>
    <t>04/03/20 08:02:05 11888: Quo reply :                       ICV        GB00B43G0577                                                    871 13994       B20200306  2     48        79.6563            30 LSA     B43G057 PMO.L                         PMO   GB00B43G0577    GBXGB   PMO.L   2225809                    871</t>
  </si>
  <si>
    <t>04/03/20 08:02:05 9236 (10.152.26.31) : Got quo request:                      ICV        GB00B0WD0R35                                                        50000       S20200306  2                                     LSE     B0WD0R3 SOLG.L                        SOLG  GB00B0WD0R35    GBXGB   SOLG.L  4718530                    GBP</t>
  </si>
  <si>
    <t>04/03/20 08:02:05 9236 (10.152.26.31) : Sending....: 0266"record_type=QU" "user=tdw" "counterparty=277" "device=Aitken" "system=Equity" "time=28925" "quantity=50000" "buy_sell=B" "isin=GB00B0WD0R35" "epic=SOLG" "t+=2" "settlement_date=20200306" "user_details=4718530" "quantity=50000" "buy_sell=B" "currency=GBP" "link="</t>
  </si>
  <si>
    <t>04/03/20 08:02:08 9236 (10.152.26.31) : Read: "record_type=QUR" "reply_reason=0" "agency_time=2020-03-04 08:02:09.112" "bid_price=0.173668" "bid_size=60000" "buy_sell=B" "control_ref=70be4418-5dee-11ea-a669-005056a25061" "counterparty=277" "currency=GBP" "device=Aitken" "epic=SOLG.L" "isin=GB00B0WD0R35" "link=871" "market_maker=871" "offer_price=0" "offer_size=0" "professional=N" "ps_bid_price=0.173668" "ps_offer_price=0" "quantity=50000" "rsp=PLHCGB3LBIC" "sent_time=2020-03-04 08:02:09.112" "serial_number=1972843115" "settlement_date=20200306" "system=Equity" "t+=2" "time=28925" "user=tdw" "user_details=4718530"</t>
  </si>
  <si>
    <t>04/03/20 08:02:08 9236: Quo reply :                       ICV        GB00B0WD0R35                                                    871 50000       S20200306  2     49        17.3668            30 LSE     B0WD0R3 SOLG.L                        SOLG  GB00B0WD0R35    GBXGB   SOLG.L  4718530                    871</t>
  </si>
  <si>
    <t>04/03/20 08:02:08 9580 (10.152.26.30) : Got quo request:                      ICV        JE00B5TT1872                                                        5000        S20200331 19                                     LSA     B5TT187 CEY.L                         CEY   JE00B5TT1872    GBXJE   CEY.L   0426920                    GBP</t>
  </si>
  <si>
    <t>04/03/20 08:02:08 9580 (10.152.26.30) : Sending....: 0264"record_type=QU" "user=tdw" "counterparty=277" "device=Aitken" "system=Equity" "time=28928" "quantity=5000" "buy_sell=B" "isin=JE00B5TT1872" "epic=CEY" "t+=19" "settlement_date=20200331" "user_details=0426920" "quantity=5000" "buy_sell=B" "currency=GBP" "link="</t>
  </si>
  <si>
    <t>04/03/20 08:02:08 9580 (10.152.26.30) : Read: "record_type=QUR" "reply_reason=0" "agency_time=2020-03-04 08:02:09.186" "bid_price=1.3853" "bid_size=7500" "buy_sell=B" "control_ref=7266b67e-5dee-11ea-8fec-005056a25061" "counterparty=277" "currency=GBP" "device=Aitken" "epic=CEY" "isin=JE00B5TT1872" "link=801" "market_maker=801" "offer_price=0" "offer_size=0" "professional=N" "ps_bid_price=1.3853" "ps_offer_price=0" "quantity=5000" "rsp=WNTSGB2LBIC" "sent_time=2020-03-04 08:02:09.186" "serial_number=624872927" "settlement_date=20200331" "system=Equity" "t+=19" "time=28928" "user=tdw" "user_details=0426920" "quotation_amount=1"</t>
  </si>
  <si>
    <t>04/03/20 08:02:08 9580: Quo reply :                       ICV        JE00B5TT1872                                                    801 5000        S20200331 19     50        138.53             30 LSA     B5TT187 CEY.L                         CEY   JE00B5TT1872    GBXJE   CEY.L   0426920                    801</t>
  </si>
  <si>
    <t>04/03/20 08:02:09 6048 (10.152.26.32) : Got quo request:                      ICV        GB0008711763                                                        518         B20200306  2                                     LSB     0871176 TTG.L                         TTG   GB0008711763    GBXGB   TTG.L   4630401                    GBP</t>
  </si>
  <si>
    <t>04/03/20 08:02:09 6048 (10.152.26.32) : Sending....: 0261"record_type=QU" "user=tdw" "counterparty=277" "device=Aitken" "system=Equity" "time=28929" "quantity=518" "buy_sell=S" "isin=GB0008711763" "epic=TTG" "t+=2" "settlement_date=20200306" "user_details=4630401" "quantity=518" "buy_sell=S" "currency=GBP" "link="</t>
  </si>
  <si>
    <t>04/03/20 08:02:09 6048 (10.152.26.32) : Read: "record_type=QUR" "reply_reason=0" "agency_time=2020-03-04 08:02:09.769" "bid_price=0" "bid_size=0" "buy_sell=S" "control_ref=72a0cd14-5dee-11ea-b29a-005056a25061" "counterparty=277" "currency=GBP" "device=Aitken" "epic=TTG" "isin=GB0008711763" "link=801" "market_maker=801" "offer_price=1.9675" "offer_size=1500" "professional=N" "ps_bid_price=0" "ps_offer_price=1.9675" "quantity=518" "rsp=WNTSGB2LBIC" "sent_time=2020-03-04 08:02:09.769" "serial_number=1854006339" "settlement_date=20200306" "system=Equity" "t+=2" "time=28929" "user=tdw" "user_details=4630401" "quotation_amount=1"</t>
  </si>
  <si>
    <t>04/03/20 08:02:09 6048: Quo reply :                       ICV        GB0008711763                                                    801 518         B20200306  2     51        196.75             30 LSB     0871176 TTG.L                         TTG   GB0008711763    GBXGB   TTG.L   4630401                    801</t>
  </si>
  <si>
    <t>04/03/20 08:02:13 12900 (10.152.26.30) : Got quo request:                      ICV        GB00BKY40Q38                                                        1916        B20200306  2                                     LSA     BKY40Q3 GFRD.L                        GFRD  GB00BKY40Q38    GBXGB   GFRD.L  0958039                    GBP</t>
  </si>
  <si>
    <t>04/03/20 08:02:13 12900 (10.152.26.30) : Sending....: 0264"record_type=QU" "user=tdw" "counterparty=277" "device=Aitken" "system=Equity" "time=28933" "quantity=1916" "buy_sell=S" "isin=GB00BKY40Q38" "epic=GFRD" "t+=2" "settlement_date=20200306" "user_details=0958039" "quantity=1916" "buy_sell=S" "currency=GBP" "link="</t>
  </si>
  <si>
    <t>04/03/20 08:02:14 12900 (10.152.26.30) : Read: "record_type=QUR" "reply_reason=0" "agency_time=2020-03-04 08:02:14.383" "bid_price=0" "bid_size=0" "buy_sell=S" "control_ref=751a4e1c-5dee-11ea-9ea8-005056a25061" "counterparty=277" "currency=GBP" "device=Aitken" "epic=GFRD.L" "isin=GB00BKY40Q38" "link=871" "market_maker=871" "offer_price=1.553391" "offer_size=16500" "professional=N" "ps_bid_price=0" "ps_offer_price=1.553391" "quantity=1916" "rsp=PLHCGB3LBIC" "sent_time=2020-03-04 08:02:14.383" "serial_number=1110261683" "settlement_date=20200306" "system=Equity" "t+=2" "time=28933" "user=tdw" "user_details=0958039"</t>
  </si>
  <si>
    <t>04/03/20 08:02:14 12900: Quo reply :                       ICV        GB00BKY40Q38                                                    871 1916        B20200306  2     52        155.3391           30 LSA     BKY40Q3 GFRD.L                        GFRD  GB00BKY40Q38    GBXGB   GFRD.L  0958039                    871</t>
  </si>
  <si>
    <t>04/03/20 08:02:14 11996 (10.152.26.32) : Got quo request:                      ICV        GB00B01JLR99                                                        21000       S20200306  2                                     LSE     B01JLR9 NANO.L                        NANO  GB00B01JLR99    GBXGB   NANO.L  4704303                    GBP</t>
  </si>
  <si>
    <t>04/03/20 08:02:14 11996 (10.152.26.32) : Sending....: 0266"record_type=QU" "user=tdw" "counterparty=277" "device=Aitken" "system=Equity" "time=28934" "quantity=21000" "buy_sell=B" "isin=GB00B01JLR99" "epic=NANO" "t+=2" "settlement_date=20200306" "user_details=4704303" "quantity=21000" "buy_sell=B" "currency=GBP" "link="</t>
  </si>
  <si>
    <t>04/03/20 08:02:16 11996 (10.152.26.32) : Read: "record_type=QUR" "reply_reason=99" "reply_message=No valid quote available" "agency_time=2020-03-04 08:02:17.102" "buy_sell=B" "counterparty=277" "currency=GBP" "device=Aitken" "epic=NANO" "isin=GB00B01JLR99" "link=000" "professional=N" "quantity=21000" "system=Equity" "t+=2" "time=20200304-08:02:14" "user=tdw" "user_details=4704303"</t>
  </si>
  <si>
    <t>04/03/20 08:02:16 11996: Quo reject : 10099 : No valid quote available</t>
  </si>
  <si>
    <t>04/03/20 08:02:16 12728 (10.152.26.31) : Got quo request:                      ICV        GB00B15FS791                                                        400000      S20200327 17                                     LSE     B15FS79 MNRG.L                        MNRG  GB00B15FS791    GBXGB   MNRG.L  0214429                    GBP</t>
  </si>
  <si>
    <t>04/03/20 08:02:16 12728 (10.152.26.31) : Sending....: 0269"record_type=QU" "user=tdw" "counterparty=277" "device=Aitken" "system=Equity" "time=28936" "quantity=400000" "buy_sell=B" "isin=GB00B15FS791" "epic=MNRG" "t+=17" "settlement_date=20200327" "user_details=0214429" "quantity=400000" "buy_sell=B" "currency=GBP" "link="</t>
  </si>
  <si>
    <t>04/03/20 08:02:19 12728 (10.152.26.31) : Read: "record_type=QUR" "reply_reason=0" "agency_time=2020-03-04 08:02:20.113" "bid_price=0.00652" "bid_size=742500" "buy_sell=B" "control_ref=7729cfa2-5dee-11ea-9059-005056a25061" "counterparty=277" "currency=GBP" "device=Aitken" "epic=MNRG" "isin=GB00B15FS791" "link=791" "market_maker=791" "offer_price=0" "offer_size=0" "professional=N" "ps_bid_price=0.00652" "ps_offer_price=0" "quantity=400000" "rsp=BEGODEHH" "sent_time=2020-03-04 08:02:20.113" "serial_number=809391981" "settlement_date=20200327" "system=Equity" "t+=17" "time=28936" "user=tdw" "user_details=0214429"</t>
  </si>
  <si>
    <t>04/03/20 08:02:19 12728: Quo reply :                       ICV        GB00B15FS791                                                    791 400000      S20200327 17     53        0.652              30 LSE     B15FS79 MNRG.L                        MNRG  GB00B15FS791    GBXGB   MNRG.L  0214429                    791</t>
  </si>
  <si>
    <t>04/03/20 08:02:19 4124 (10.152.26.31) : Got quo request:                      ICV        FR0010397232                                                        6137        B20200306  2                                     LSC     BF16YK9 NCYT.L                        NCYT  FR0010397232    GBXGB   NCYT.L  4714781                    GBP</t>
  </si>
  <si>
    <t>04/03/20 08:02:19 4124 (10.152.26.31) : Sending....: 0264"record_type=QU" "user=tdw" "counterparty=277" "device=Aitken" "system=Equity" "time=28939" "quantity=6137" "buy_sell=S" "isin=FR0010397232" "epic=NCYT" "t+=2" "settlement_date=20200306" "user_details=4714781" "quantity=6137" "buy_sell=S" "currency=GBP" "link="</t>
  </si>
  <si>
    <t>04/03/20 08:02:22 4124 (10.152.26.31) : Read: "record_type=QUR" "reply_reason=0" "agency_time=2020-03-04 08:02:23.127" "bid_price=0" "bid_size=0" "buy_sell=S" "control_ref=78f5437a-5dee-11ea-bee1-005056a25061" "counterparty=277" "currency=GBP" "device=Aitken" "epic=NCYT" "isin=FR0010397232" "link=791" "market_maker=791" "offer_price=1.1" "offer_size=27500" "professional=N" "ps_bid_price=0" "ps_offer_price=1.1" "quantity=6137" "rsp=BEGODEHH" "sent_time=2020-03-04 08:02:23.127" "serial_number=248285073" "settlement_date=20200306" "system=Equity" "t+=2" "time=28939" "user=tdw" "user_details=4714781"</t>
  </si>
  <si>
    <t>04/03/20 08:02:22 4124: Quo reply :                       ICV        FR0010397232                                                    791 6137        B20200306  2     54        110                30 LSC     BF16YK9 NCYT.L                        NCYT  FR0010397232    GBXGB   NCYT.L  4714781                    791</t>
  </si>
  <si>
    <t>04/03/20 08:02:22 5992 (10.152.26.30) : Got quo request:                      ICV        GB00B0DG3H29                                                        10859       S20200306  2                                     LSB     B0DG3H2 SXX.L                         SXX   GB00B0DG3H29    GBXGB   SXX.L   0590199                    GBP</t>
  </si>
  <si>
    <t>04/03/20 08:02:22 5992 (10.152.26.30) : Sending....: 0265"record_type=QU" "user=tdw" "counterparty=277" "device=Aitken" "system=Equity" "time=28942" "quantity=10859" "buy_sell=B" "isin=GB00B0DG3H29" "epic=SXX" "t+=2" "settlement_date=20200306" "user_details=0590199" "quantity=10859" "buy_sell=B" "currency=GBP" "link="</t>
  </si>
  <si>
    <t>04/03/20 08:02:22 5992 (10.152.26.30) : Read: "record_type=QUR" "reply_reason=99" "reply_message=No valid quote available" "agency_time=2020-03-04 08:02:23.175" "buy_sell=B" "counterparty=277" "currency=GBP" "device=Aitken" "epic=SXX" "isin=GB00B0DG3H29" "link=000" "professional=N" "quantity=10859" "system=Equity" "t+=2" "time=20200304-08:02:23" "user=tdw" "user_details=0590199"</t>
  </si>
  <si>
    <t>04/03/20 08:02:22 5992: Quo reject : 10099 : No valid quote available</t>
  </si>
  <si>
    <t>04/03/20 08:02:22 11108 (10.152.26.32) : Got quo request:                      ICV        GB00B0130H42                                                        4057        S20200306  2                                     LSB     B0130H4 ITM.L                         ITM   GB00B0130H42    GBXGB   ITM.L   4650817                    GBP</t>
  </si>
  <si>
    <t>04/03/20 08:02:22 11108 (10.152.26.32) : Sending....: 0263"record_type=QU" "user=tdw" "counterparty=277" "device=Aitken" "system=Equity" "time=28942" "quantity=4057" "buy_sell=B" "isin=GB00B0130H42" "epic=ITM" "t+=2" "settlement_date=20200306" "user_details=4650817" "quantity=4057" "buy_sell=B" "currency=GBP" "link="</t>
  </si>
  <si>
    <t>04/03/20 08:02:25 11108 (10.152.26.32) : Read: "record_type=QUR" "reply_reason=0" "agency_time=2020-03-04 08:02:26.102" "bid_price=1.429001" "bid_size=50000" "buy_sell=B" "control_ref=7ac890bc-5dee-11ea-98cc-005056a25061" "counterparty=277" "currency=GBP" "device=Aitken" "epic=ITM.L" "isin=GB00B0130H42" "link=871" "market_maker=871" "offer_price=0" "offer_size=0" "professional=N" "ps_bid_price=1.429001" "ps_offer_price=0" "quantity=4057" "rsp=PLHCGB3LBIC" "sent_time=2020-03-04 08:02:26.102" "serial_number=1314478074" "settlement_date=20200306" "system=Equity" "t+=2" "time=28942" "user=tdw" "user_details=4650817"</t>
  </si>
  <si>
    <t>04/03/20 08:02:25 11108: Quo reply :                       ICV        GB00B0130H42                                                    871 4057        S20200306  2     55        142.9001           30 LSB     B0130H4 ITM.L                         ITM   GB00B0130H42    GBXGB   ITM.L   4650817                    871</t>
  </si>
  <si>
    <t>04/03/20 08:02:25 10288 (10.152.26.31) : Got quo request:                      ICV        JE00B5TT1872                                                        1910        B20200306  2                                     LSA     B5TT187 CEY.L                         CEY   JE00B5TT1872    GBXJE   CEY.L   8016790                    GBP</t>
  </si>
  <si>
    <t>04/03/20 08:02:25 10288 (10.152.26.31) : Sending....: 0263"record_type=QU" "user=tdw" "counterparty=277" "device=Aitken" "system=Equity" "time=28945" "quantity=1910" "buy_sell=S" "isin=JE00B5TT1872" "epic=CEY" "t+=2" "settlement_date=20200306" "user_details=8016790" "quantity=1910" "buy_sell=S" "currency=GBP" "link="</t>
  </si>
  <si>
    <t>04/03/20 08:02:26 10288 (10.152.26.31) : Read: "record_type=QUR" "reply_reason=0" "agency_time=2020-03-04 08:02:26.384" "bid_price=0" "bid_size=0" "buy_sell=S" "control_ref=7c8729e0-5dee-11ea-9a3e-005056a25061" "counterparty=277" "currency=GBP" "device=Aitken" "epic=CEY.L" "isin=JE00B5TT1872" "link=871" "market_maker=871" "offer_price=1.404914" "offer_size=18000" "professional=N" "ps_bid_price=0" "ps_offer_price=1.404914" "quantity=1910" "rsp=PLHCGB3LBIC" "sent_time=2020-03-04 08:02:26.384" "serial_number=239964238" "settlement_date=20200306" "system=Equity" "t+=2" "time=28945" "user=tdw" "user_details=8016790"</t>
  </si>
  <si>
    <t>04/03/20 08:02:26 10288: Quo reply :                       ICV        JE00B5TT1872                                                    871 1910        B20200306  2     56        140.4914           30 LSA     B5TT187 CEY.L                         CEY   JE00B5TT1872    GBXJE   CEY.L   8016790                    871</t>
  </si>
  <si>
    <t>04/03/20 08:02:26 8992 (10.152.26.30) : Got quo request:                      ICV        GB0031348658                                                        2500        B20200306  2                                     LSF     3134865 BARC.L                        BARC  GB0031348658    GBXGB   BARC.L  0269451                    GBP</t>
  </si>
  <si>
    <t>04/03/20 08:02:26 8992 (10.152.26.30) : Sending....: 0264"record_type=QU" "user=tdw" "counterparty=277" "device=Aitken" "system=Equity" "time=28946" "quantity=2500" "buy_sell=S" "isin=GB0031348658" "epic=BARC" "t+=2" "settlement_date=20200306" "user_details=0269451" "quantity=2500" "buy_sell=S" "currency=GBP" "link="</t>
  </si>
  <si>
    <t>04/03/20 08:02:26 8992 (10.152.26.30) : Read: "record_type=QUR" "reply_reason=0" "agency_time=2020-03-04 08:02:27.004" "bid_price=0" "bid_size=0" "buy_sell=S" "control_ref=7cb2265e-5dee-11ea-9958-005056a25061" "counterparty=277" "currency=GBP" "device=Aitken" "epic=BARC" "isin=GB0031348658" "link=801" "market_maker=801" "offer_price=1.3976" "offer_size=4000" "professional=N" "ps_bid_price=0" "ps_offer_price=1.3976" "quantity=2500" "rsp=WNTSGB2LBIC" "sent_time=2020-03-04 08:02:27.004" "serial_number=2036547769" "settlement_date=20200306" "system=Equity" "t+=2" "time=28946" "user=tdw" "user_details=0269451" "quotation_amount=1"</t>
  </si>
  <si>
    <t>04/03/20 08:02:26 8992: Quo reply :                       ICV        GB0031348658                                                    801 2500        B20200306  2     57        139.76             30 LSF     3134865 BARC.L                        BARC  GB0031348658    GBXGB   BARC.L  0269451                    801</t>
  </si>
  <si>
    <t>04/03/20 08:02:26 9236 (10.152.26.31) : Got quo request:                      ICV        GB00B8YZTJ80                                                        38962       B20200306  2                                     LSC     B8YZTJ8 VRS.L                         VRS   GB00B8YZTJ80    GBXGB   VRS.L   4705518                    GBP</t>
  </si>
  <si>
    <t>04/03/20 08:02:26 9236 (10.152.26.31) : Sending....: 0265"record_type=QU" "user=tdw" "counterparty=277" "device=Aitken" "system=Equity" "time=28946" "quantity=38962" "buy_sell=S" "isin=GB00B8YZTJ80" "epic=VRS" "t+=2" "settlement_date=20200306" "user_details=4705518" "quantity=38962" "buy_sell=S" "currency=GBP" "link="</t>
  </si>
  <si>
    <t>04/03/20 08:02:28 9236 (10.152.26.31) : Read: "record_type=QUR" "reply_reason=0" "agency_time=2020-03-04 08:02:29.115" "bid_price=0" "bid_size=0" "buy_sell=S" "control_ref=7d10d17c-5dee-11ea-b684-005056a25061" "counterparty=277" "currency=GBP" "device=Aitken" "epic=VRS.L" "isin=GB00B8YZTJ80" "link=871" "market_maker=871" "offer_price=0.45" "offer_size=50000" "professional=N" "ps_bid_price=0" "ps_offer_price=0.45" "quantity=38962" "rsp=PLHCGB3LBIC" "sent_time=2020-03-04 08:02:29.115" "serial_number=1717741438" "settlement_date=20200306" "system=Equity" "t+=2" "time=28946" "user=tdw" "user_details=4705518"</t>
  </si>
  <si>
    <t>04/03/20 08:02:28 9236: Quo reply :                       ICV        GB00B8YZTJ80                                                    871 38962       B20200306  2     58        45                 30 LSC     B8YZTJ8 VRS.L                         VRS   GB00B8YZTJ80    GBXGB   VRS.L   4705518                    871</t>
  </si>
  <si>
    <t>04/03/20 08:02:28 11888 (10.152.26.32) : Got quo request:                      ICV        GB00B8YZTJ80                                                        9148        S20200331 19                                     LSC     B8YZTJ8 VRS.L                         VRS   GB00B8YZTJ80    GBXGB   VRS.L   0430450                    GBP</t>
  </si>
  <si>
    <t>04/03/20 08:02:28 11888 (10.152.26.32) : Sending....: 0264"record_type=QU" "user=tdw" "counterparty=277" "device=Aitken" "system=Equity" "time=28948" "quantity=9148" "buy_sell=B" "isin=GB00B8YZTJ80" "epic=VRS" "t+=19" "settlement_date=20200331" "user_details=0430450" "quantity=9148" "buy_sell=B" "currency=GBP" "link="</t>
  </si>
  <si>
    <t>04/03/20 08:02:31 11888 (10.152.26.32) : Read: "record_type=QUR" "reply_reason=99" "reply_message=No valid quote available" "agency_time=2020-03-04 08:02:32.117" "buy_sell=B" "counterparty=277" "currency=GBP" "device=Aitken" "epic=VRS" "isin=GB00B8YZTJ80" "link=000" "professional=N" "quantity=9148" "system=Equity" "t+=19" "time=20200304-08:02:29" "user=tdw" "user_details=0430450"</t>
  </si>
  <si>
    <t>04/03/20 08:02:31 11888: Quo reject : 10099 : No valid quote available</t>
  </si>
  <si>
    <t>04/03/20 08:02:31 9580 (10.152.26.30) : Got quo request:                      ICV        FR0010397232                                                        2791        S20200306  2                                     LSC     BF16YK9 NCYT.L                        NCYT  FR0010397232    GBXGB   NCYT.L  1071229                    GBP</t>
  </si>
  <si>
    <t>04/03/20 08:02:31 9580 (10.152.26.30) : Sending....: 0264"record_type=QU" "user=tdw" "counterparty=277" "device=Aitken" "system=Equity" "time=28951" "quantity=2791" "buy_sell=B" "isin=FR0010397232" "epic=NCYT" "t+=2" "settlement_date=20200306" "user_details=1071229" "quantity=2791" "buy_sell=B" "currency=GBP" "link="</t>
  </si>
  <si>
    <t>04/03/20 08:02:34 9580 (10.152.26.30) : Read: "record_type=QUR" "reply_reason=99" "reply_message=No valid quote available" "agency_time=2020-03-04 08:02:35.129" "buy_sell=B" "counterparty=277" "currency=GBP" "device=Aitken" "epic=NCYT" "isin=FR0010397232" "link=000" "professional=N" "quantity=2791" "system=Equity" "t+=2" "time=20200304-08:02:32" "user=tdw" "user_details=1071229"</t>
  </si>
  <si>
    <t>04/03/20 08:02:34 9580: Quo reject : 10099 : No valid quote available</t>
  </si>
  <si>
    <t>04/03/20 08:02:34 12728 (10.152.26.31) : Got quo request:                      ICV        GB00BZ15CS02                                                        16533       B20200401 20                                     LSE     BZ15CS0 ARB.L                         ARB   GB00BZ15CS02    GBXGB   ARB.L   0772446                    GBP</t>
  </si>
  <si>
    <t>04/03/20 08:02:34 12728 (10.152.26.31) : Sending....: 0266"record_type=QU" "user=tdw" "counterparty=277" "device=Aitken" "system=Equity" "time=28954" "quantity=16533" "buy_sell=S" "isin=GB00BZ15CS02" "epic=ARB" "t+=20" "settlement_date=20200401" "user_details=0772446" "quantity=16533" "buy_sell=S" "currency=GBP" "link="</t>
  </si>
  <si>
    <t>04/03/20 08:02:37 12728 (10.152.26.31) : Read: "record_type=QUR" "reply_reason=0" "agency_time=2020-03-04 08:02:38.120" "bid_price=0" "bid_size=0" "buy_sell=S" "control_ref=81e882bc-5dee-11ea-b02f-005056a25061" "counterparty=277" "currency=GBP" "device=Aitken" "epic=ARB" "isin=GB00BZ15CS02" "link=801" "market_maker=801" "offer_price=0.0594" "offer_size=225000" "professional=N" "ps_bid_price=0" "ps_offer_price=0.0594" "quantity=16533" "rsp=WNTSGB2LBIC" "sent_time=2020-03-04 08:02:38.120" "serial_number=394960610" "settlement_date=20200401" "system=Equity" "t+=20" "time=28954" "user=tdw" "user_details=0772446" "quotation_amount=1"</t>
  </si>
  <si>
    <t>04/03/20 08:02:37 12728: Quo reply :                       ICV        GB00BZ15CS02                                                    801 16533       B20200401 20     59        5.94               30 LSE     BZ15CS0 ARB.L                         ARB   GB00BZ15CS02    GBXGB   ARB.L   0772446                    801</t>
  </si>
  <si>
    <t>04/03/20 08:02:37 6048 (10.152.26.32) : Got quo request:                      ICV        GB0008706128                                                        1006        B20200306  2                                     LSF     0870612 LLOY.L                        LLOY  GB0008706128    GBXGB   LLOY.L  4740993                    GBP</t>
  </si>
  <si>
    <t>04/03/20 08:02:37 6048 (10.152.26.32) : Sending....: 0264"record_type=QU" "user=tdw" "counterparty=277" "device=Aitken" "system=Equity" "time=28957" "quantity=1006" "buy_sell=S" "isin=GB0008706128" "epic=LLOY" "t+=2" "settlement_date=20200306" "user_details=4740993" "quantity=1006" "buy_sell=S" "currency=GBP" "link="</t>
  </si>
  <si>
    <t>04/03/20 08:02:39 6048 (10.152.26.32) : Read: "record_type=QUR" "reply_reason=0" "agency_time=2020-03-04 08:02:39.591" "bid_price=0" "bid_size=0" "buy_sell=S" "control_ref=83b130da-5dee-11ea-8d97-005056a25061" "counterparty=277" "currency=GBP" "device=Aitken" "epic=LLOY" "isin=GB0008706128" "link=801" "market_maker=801" "offer_price=0.48083" "offer_size=8000" "professional=N" "ps_bid_price=0" "ps_offer_price=0.48083" "quantity=1006" "rsp=WNTSGB2LBIC" "sent_time=2020-03-04 08:02:39.591" "serial_number=56987211" "settlement_date=20200306" "system=Equity" "t+=2" "time=28957" "user=tdw" "user_details=4740993" "quotation_amount=1"</t>
  </si>
  <si>
    <t>04/03/20 08:02:39 6048: Quo reply :                       ICV        GB0008706128                                                    801 1006        B20200306  2     60        48.083             30 LSF     0870612 LLOY.L                        LLOY  GB0008706128    GBXGB   LLOY.L  4740993                    801</t>
  </si>
  <si>
    <t>04/03/20 08:02:39 12900 (10.152.26.30) : Got quo request:                      ICV        GG00B4TM3943                                                        8000        S20200306  2                                     LSC     B4TM394 BMN.L                         BMN   GG00B4TM3943    GBXGG   BMN.L   4614493                    GBP</t>
  </si>
  <si>
    <t>04/03/20 08:02:39 12900 (10.152.26.30) : Sending....: 0263"record_type=QU" "user=tdw" "counterparty=277" "device=Aitken" "system=Equity" "time=28959" "quantity=8000" "buy_sell=B" "isin=GG00B4TM3943" "epic=BMN" "t+=2" "settlement_date=20200306" "user_details=4614493" "quantity=8000" "buy_sell=B" "currency=GBP" "link="</t>
  </si>
  <si>
    <t>04/03/20 08:02:41 12900 (10.152.26.30) : Read: "record_type=QUR" "reply_reason=0" "agency_time=2020-03-04 08:02:42.109" "bid_price=0.183301" "bid_size=50000" "buy_sell=B" "control_ref=8494c93a-5dee-11ea-9cca-005056a25061" "counterparty=277" "currency=GBP" "device=Aitken" "epic=BMN.L" "isin=GG00B4TM3943" "link=871" "market_maker=871" "offer_price=0" "offer_size=0" "professional=N" "ps_bid_price=0.183301" "ps_offer_price=0" "quantity=8000" "rsp=PLHCGB3LBIC" "sent_time=2020-03-04 08:02:42.109" "serial_number=544304026" "settlement_date=20200306" "system=Equity" "t+=2" "time=28959" "user=tdw" "user_details=4614493"</t>
  </si>
  <si>
    <t>04/03/20 08:02:41 12900: Quo reply :                       ICV        GG00B4TM3943                                                    871 8000        S20200306  2     61        18.3301            30 LSC     B4TM394 BMN.L                         BMN   GG00B4TM3943    GBXGG   BMN.L   4614493                    871</t>
  </si>
  <si>
    <t>04/03/20 08:02:41 11996 (10.152.26.32) : Got quo request:                      ICV        JE00B6T5S470                                                        200         S20200306  2                                     LSD     B6T5S47 POLY.L                        POLY  JE00B6T5S470    GBXJE   POLY.L  3367114                    GBP</t>
  </si>
  <si>
    <t>04/03/20 08:02:41 11996 (10.152.26.32) : Sending....: 0262"record_type=QU" "user=tdw" "counterparty=277" "device=Aitken" "system=Equity" "time=28961" "quantity=200" "buy_sell=B" "isin=JE00B6T5S470" "epic=POLY" "t+=2" "settlement_date=20200306" "user_details=3367114" "quantity=200" "buy_sell=B" "currency=GBP" "link="</t>
  </si>
  <si>
    <t>04/03/20 08:02:42 11996 (10.152.26.32) : Read: "record_type=QUR" "reply_reason=0" "agency_time=2020-03-04 08:02:43.056" "bid_price=12.6615" "bid_size=1000" "buy_sell=B" "control_ref=86121704-5dee-11ea-bb72-005056a25061" "counterparty=277" "currency=GBP" "device=Aitken" "epic=POLY" "isin=JE00B6T5S470" "link=801" "market_maker=801" "offer_price=0" "offer_size=0" "professional=N" "ps_bid_price=12.6615" "ps_offer_price=0" "quantity=200" "rsp=WNTSGB2LBIC" "sent_time=2020-03-04 08:02:43.056" "serial_number=897462360" "settlement_date=20200306" "system=Equity" "t+=2" "time=28961" "user=tdw" "user_details=3367114" "quotation_amount=1"</t>
  </si>
  <si>
    <t>04/03/20 08:02:42 11996: Quo reply :                       ICV        JE00B6T5S470                                                    801 200         S20200306  2     62        1266.15            30 LSD     B6T5S47 POLY.L                        POLY  JE00B6T5S470    GBXJE   POLY.L  3367114                    801</t>
  </si>
  <si>
    <t>04/03/20 08:02:42 4124 (10.152.26.31) : Got quo request:                      ICV        GB0030927254                                                        700         B20200401 20                                     LSB     3092725 ASC.L                         ASC   GB0030927254    GBXGB   ASC.L   0002999                    GBP</t>
  </si>
  <si>
    <t>04/03/20 08:02:42 4124 (10.152.26.31) : Sending....: 0262"record_type=QU" "user=tdw" "counterparty=277" "device=Aitken" "system=Equity" "time=28962" "quantity=700" "buy_sell=S" "isin=GB0030927254" "epic=ASC" "t+=20" "settlement_date=20200401" "user_details=0002999" "quantity=700" "buy_sell=S" "currency=GBP" "link="</t>
  </si>
  <si>
    <t>04/03/20 08:02:42 4124 (10.152.26.31) : Read: "record_type=QUR" "reply_reason=0" "agency_time=2020-03-04 08:02:43.133" "bid_price=0" "bid_size=0" "buy_sell=S" "control_ref=86a23bb8-5dee-11ea-8273-005056a25061" "counterparty=277" "currency=GBP" "device=Aitken" "epic=ASC" "isin=GB0030927254" "link=331" "market_maker=331" "offer_price=29.6" "offer_size=1250" "professional=N" "ps_bid_price=0" "ps_offer_price=29.6" "quantity=700" "rsp=IHCSGB21002" "sent_time=2020-03-04 08:02:43.133" "serial_number=882883788" "settlement_date=20200401" "system=Equity" "t+=20" "time=28962" "user=tdw" "user_details=0002999"</t>
  </si>
  <si>
    <t>04/03/20 08:02:42 4124: Quo reply :                       ICV        GB0030927254                                                    331 700         B20200401 20     63        2960               30 LSB     3092725 ASC.L                         ASC   GB0030927254    GBXGB   ASC.L   0002999                    331</t>
  </si>
  <si>
    <t>04/03/20 08:02:42 11108(10.152.26.32) : Got exe request:                      ICV        GB0031348658                                                    139.760000         2500        BABGBXA 57                             Y                                                     0269451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GB     BARC.L  00</t>
  </si>
  <si>
    <t>04/03/20 08:02:42 11108 (10.152.26.32) : Sending....: 0300"record_type=DE" "user=tdw" "counterparty=277" "device=Aitken" "system=Equity" "time=28962" "isin=GB0031348658" "epic=BARC" "serial_number=2036547769" "buy_sell=S" "quantity=2500" "t+=2" "currency=GBP" "booking_c/party=" "settlement_date=20200306" "user_details=0269451" "market_maker=801" "link="</t>
  </si>
  <si>
    <t>04/03/20 08:02:42 11108 (10.152.26.32) : Read: "record_type=DER" "reply_reason=0" "agency_time=2020-03-04 08:02:43.282" "bargain_ref=1824402779" "buy_sell=S" "control_ref=1824402779" "counterparty=277" "currency=GBP" "deal_time=08:02:43" "device=Aitken" "epic=BARC" "execution_venue=XLON" "isin=GB0031348658" "market_maker=801" "price=1.3976" "professional=N" "quantity=2500." "sent_time=2020-03-04 08:02:43.136" "serial_number=1824402779" "settlement_date=20200306" "system=Equity" "t+=2" "time=28962" "user=tdw" "user_details=0269451" "quotation_amount=1"</t>
  </si>
  <si>
    <t>04/03/20 08:02:42 11108: Exe reply :                       ICV        GB0031348658                                                    139.760000         2500        BABGBXA 57                             Y                                                     0269451                                                                                                                                                                                                                                                                       1824402779    20200306     182440277920200304080242   139.76                2500                801 GB     BARC.L  02</t>
  </si>
  <si>
    <t>04/03/20 08:02:42 5992 (10.152.26.30) : Got quo request:                      ICV        AU0000XINEX3                                                        5           B20200306  2                                     LSC     BVVHYX7 IRR.L                         IRR   AU0000XINEX3    GBXGB   IRR.L   4648676                    GBP</t>
  </si>
  <si>
    <t>04/03/20 08:02:42 5992 (10.152.26.30) : Sending....: 0257"record_type=QU" "user=tdw" "counterparty=277" "device=Aitken" "system=Equity" "time=28962" "quantity=5" "buy_sell=S" "isin=AU0000XINEX3" "epic=IRR" "t+=2" "settlement_date=20200306" "user_details=4648676" "quantity=5" "buy_sell=S" "currency=GBP" "link="</t>
  </si>
  <si>
    <t>04/03/20 08:02:45 5992 (10.152.26.30) : Read: "record_type=QUR" "reply_reason=0" "agency_time=2020-03-04 08:02:46.113" "bid_price=0" "bid_size=0" "buy_sell=S" "control_ref=86c49942-5dee-11ea-90d1-005056a25061" "counterparty=277" "currency=GBP" "device=Aitken" "epic=IRR.L" "isin=AU0000XINEX3" "link=871" "market_maker=871" "offer_price=0.12655" "offer_size=1000" "professional=N" "ps_bid_price=0" "ps_offer_price=0.12655" "quantity=5" "rsp=PLHCGB3LBIC" "sent_time=2020-03-04 08:02:46.113" "serial_number=238306848" "settlement_date=20200306" "system=Equity" "t+=2" "time=28962" "user=tdw" "user_details=4648676"</t>
  </si>
  <si>
    <t>04/03/20 08:02:45 5992: Quo reply :                       ICV        AU0000XINEX3                                                    871 5           B20200306  2     64        12.655             30 LSC     BVVHYX7 IRR.L                         IRR   AU0000XINEX3    GBXGB   IRR.L   4648676                    871</t>
  </si>
  <si>
    <t>04/03/20 08:02:45 10288 (10.152.26.31) : Got quo request:                      ICV        GB00B0DG3H29                                                        830         B20200306  2                                     LSB     B0DG3H2 SXX.L                         SXX   GB00B0DG3H29    GBXGB   SXX.L   0969861                    GBP</t>
  </si>
  <si>
    <t>04/03/20 08:02:45 10288 (10.152.26.31) : Sending....: 0261"record_type=QU" "user=tdw" "counterparty=277" "device=Aitken" "system=Equity" "time=28965" "quantity=830" "buy_sell=S" "isin=GB00B0DG3H29" "epic=SXX" "t+=2" "settlement_date=20200306" "user_details=0969861" "quantity=830" "buy_sell=S" "currency=GBP" "link="</t>
  </si>
  <si>
    <t>04/03/20 08:02:46 10288 (10.152.26.31) : Read: "record_type=QUR" "reply_reason=99" "reply_message=No valid quote available" "agency_time=2020-03-04 08:02:46.780" "buy_sell=S" "counterparty=277" "currency=GBP" "device=Aitken" "epic=SXX" "isin=GB00B0DG3H29" "link=000" "professional=N" "quantity=830" "system=Equity" "t+=2" "time=20200304-08:02:46" "user=tdw" "user_details=0969861"</t>
  </si>
  <si>
    <t>04/03/20 08:02:46 10288: Quo reject : 10099 : No valid quote available</t>
  </si>
  <si>
    <t>04/03/20 08:02:46 11888 (10.152.26.32) : Got quo request:                      ICV        GB00BRS65X63                                                        9800        S20200306  2                                     LSB     BRS65X6 INDV.L                        INDV  GB00BRS65X63    GBXGB   INDV.L  6113125                    GBP</t>
  </si>
  <si>
    <t>04/03/20 08:02:46 11888 (10.152.26.32) : Sending....: 0264"record_type=QU" "user=tdw" "counterparty=277" "device=Aitken" "system=Equity" "time=28966" "quantity=9800" "buy_sell=B" "isin=GB00BRS65X63" "epic=INDV" "t+=2" "settlement_date=20200306" "user_details=6113125" "quantity=9800" "buy_sell=B" "currency=GBP" "link="</t>
  </si>
  <si>
    <t>04/03/20 08:02:46 11888 (10.152.26.32) : Read: "record_type=QUR" "reply_reason=0" "agency_time=2020-03-04 08:02:47.246" "bid_price=0.448353" "bid_size=9800" "buy_sell=B" "control_ref=88da5f0a-5dee-11ea-95b6-005056a25061" "counterparty=277" "currency=GBP" "device=Aitken" "epic=INDV" "isin=GB00BRS65X63" "link=801" "market_maker=801" "offer_price=0" "offer_size=0" "professional=N" "ps_bid_price=0.448353" "ps_offer_price=0" "quantity=9800" "rsp=WNTSGB2LBIC" "sent_time=2020-03-04 08:02:47.246" "serial_number=1384434916" "settlement_date=20200306" "system=Equity" "t+=2" "time=28966" "user=tdw" "user_details=6113125" "quotation_amount=1"</t>
  </si>
  <si>
    <t>04/03/20 08:02:46 11888: Quo reply :                       ICV        GB00BRS65X63                                                    801 9800        S20200306  2     65        44.8353            30 LSB     BRS65X6 INDV.L                        INDV  GB00BRS65X63    GBXGB   INDV.L  6113125                    801</t>
  </si>
  <si>
    <t>04/03/20 08:02:46 9236 (10.152.26.31) : Got quo request:                      ICV        IL0011284465                                                        1788        B20200306  2                                     LSA     BBT3PS9 PLUS.L                        PLUS  IL0011284465    GBXGB   PLUS.L  2227073                    GBP</t>
  </si>
  <si>
    <t>04/03/20 08:02:46 9236 (10.152.26.31) : Sending....: 0264"record_type=QU" "user=tdw" "counterparty=277" "device=Aitken" "system=Equity" "time=28966" "quantity=1788" "buy_sell=S" "isin=IL0011284465" "epic=PLUS" "t+=2" "settlement_date=20200306" "user_details=2227073" "quantity=1788" "buy_sell=S" "currency=GBP" "link="</t>
  </si>
  <si>
    <t>04/03/20 08:02:47 9236 (10.152.26.31) : Read: "record_type=QUR" "reply_reason=0" "agency_time=2020-03-04 08:02:47.975" "bid_price=0" "bid_size=0" "buy_sell=S" "control_ref=892166de-5dee-11ea-9580-005056a25061" "counterparty=277" "currency=GBP" "device=Aitken" "epic=PLUS.L" "isin=IL0011284465" "link=871" "market_maker=871" "offer_price=9.777855" "offer_size=2700" "professional=N" "ps_bid_price=0" "ps_offer_price=9.777855" "quantity=1788" "rsp=PLHCGB3LBIC" "sent_time=2020-03-04 08:02:47.975" "serial_number=1614100086" "settlement_date=20200306" "system=Equity" "t+=2" "time=28966" "user=tdw" "user_details=2227073"</t>
  </si>
  <si>
    <t>04/03/20 08:02:47 9236: Quo reply :                       ICV        IL0011284465                                                    871 1788        B20200306  2     66        977.7855           30 LSA     BBT3PS9 PLUS.L                        PLUS  IL0011284465    GBXGB   PLUS.L  2227073                    871</t>
  </si>
  <si>
    <t>04/03/20 08:02:47 8992 (10.152.26.30) : Got quo request:                      ICV        FR0010397232                                                        2791        S20200306  2                                     LSC     BF16YK9 NCYT.L                        NCYT  FR0010397232    GBXGB   NCYT.L  1071229                    GBP</t>
  </si>
  <si>
    <t>04/03/20 08:02:47 8992 (10.152.26.30) : Sending....: 0264"record_type=QU" "user=tdw" "counterparty=277" "device=Aitken" "system=Equity" "time=28967" "quantity=2791" "buy_sell=B" "isin=FR0010397232" "epic=NCYT" "t+=2" "settlement_date=20200306" "user_details=1071229" "quantity=2791" "buy_sell=B" "currency=GBP" "link="</t>
  </si>
  <si>
    <t>04/03/20 08:02:49 8992 (10.152.26.30) : Read: "record_type=QUR" "reply_reason=99" "reply_message=No valid quote available" "agency_time=2020-03-04 08:02:50.105" "buy_sell=B" "counterparty=277" "currency=GBP" "device=Aitken" "epic=NCYT" "isin=FR0010397232" "link=000" "professional=N" "quantity=2791" "system=Equity" "t+=2" "time=20200304-08:02:47" "user=tdw" "user_details=1071229"</t>
  </si>
  <si>
    <t>04/03/20 08:02:49 8992: Quo reject : 10099 : No valid quote available</t>
  </si>
  <si>
    <t>04/03/20 08:02:51 6048 (10.152.26.32) : Got quo request:                      ICV        GB00B3FBWW43                                                        4873        B20200306  2                                     LSE     B3FBWW4 SDI.L                         SDI   GB00B3FBWW43    GBXGB   SDI.L   2022191                    GBP</t>
  </si>
  <si>
    <t>04/03/20 08:02:51 6048 (10.152.26.32) : Sending....: 0263"record_type=QU" "user=tdw" "counterparty=277" "device=Aitken" "system=Equity" "time=28971" "quantity=4873" "buy_sell=S" "isin=GB00B3FBWW43" "epic=SDI" "t+=2" "settlement_date=20200306" "user_details=2022191" "quantity=4873" "buy_sell=S" "currency=GBP" "link="</t>
  </si>
  <si>
    <t>04/03/20 08:02:51 6048 (10.152.26.32) : Read: "record_type=QUR" "reply_reason=0" "agency_time=2020-03-04 08:02:52.195" "bid_price=0" "bid_size=0" "buy_sell=S" "control_ref=8bbb4004-5dee-11ea-baef-005056a25061" "counterparty=277" "currency=GBP" "device=Aitken" "epic=SDI" "isin=GB00B3FBWW43" "link=801" "market_maker=801" "offer_price=0.6598" "offer_size=15000" "professional=N" "ps_bid_price=0" "ps_offer_price=0.6598" "quantity=4873" "rsp=WNTSGB2LBIC" "sent_time=2020-03-04 08:02:52.195" "serial_number=770671850" "settlement_date=20200306" "system=Equity" "t+=2" "time=28971" "user=tdw" "user_details=2022191" "quotation_amount=1"</t>
  </si>
  <si>
    <t>04/03/20 08:02:51 6048: Quo reply :                       ICV        GB00B3FBWW43                                                    801 4873        B20200306  2     67        65.98              30 LSE     B3FBWW4 SDI.L                         SDI   GB00B3FBWW43    GBXGB   SDI.L   2022191                    801</t>
  </si>
  <si>
    <t>04/03/20 08:02:51 9580 (10.152.26.30) : Got quo request:                      ICV        GB00BJ7HMW26                                                        2000        S20200306  2                                     LSA     BJ7HMW2 FIN.L                         FIN   GB00BJ7HMW26    GBXGB   FIN.L   0580706                    GBP</t>
  </si>
  <si>
    <t>04/03/20 08:02:51 9580 (10.152.26.30) : Sending....: 0263"record_type=QU" "user=tdw" "counterparty=277" "device=Aitken" "system=Equity" "time=28971" "quantity=2000" "buy_sell=B" "isin=GB00BJ7HMW26" "epic=FIN" "t+=2" "settlement_date=20200306" "user_details=0580706" "quantity=2000" "buy_sell=B" "currency=GBP" "link="</t>
  </si>
  <si>
    <t>04/03/20 08:02:52 9580 (10.152.26.30) : Read: "record_type=QUR" "reply_reason=0" "agency_time=2020-03-04 08:02:53.126" "bid_price=0.506553" "bid_size=49200" "buy_sell=B" "control_ref=8c14b6e8-5dee-11ea-a29f-005056a25061" "counterparty=277" "currency=GBP" "device=Aitken" "epic=FIN.L" "isin=GB00BJ7HMW26" "link=871" "market_maker=871" "offer_price=0" "offer_size=0" "professional=N" "ps_bid_price=0.506553" "ps_offer_price=0" "quantity=2000" "rsp=PLHCGB3LBIC" "sent_time=2020-03-04 08:02:53.126" "serial_number=362282078" "settlement_date=20200306" "system=Equity" "t+=2" "time=28971" "user=tdw" "user_details=0580706"</t>
  </si>
  <si>
    <t>04/03/20 08:02:52 9580: Quo reply :                       ICV        GB00BJ7HMW26                                                    871 2000        S20200306  2     68        50.6553            30 LSA     BJ7HMW2 FIN.L                         FIN   GB00BJ7HMW26    GBXGB   FIN.L   0580706                    871</t>
  </si>
  <si>
    <t>04/03/20 08:02:53 12728 (10.152.26.31) : Got quo request:                      ICV        GB0005991111                                                        1000        S20200306  2                                     LSC     0599111 MPAC.L                        MPAC  GB0005991111    GBXGB   MPAC.L  1008599                    GBP</t>
  </si>
  <si>
    <t>04/03/20 08:02:53 12728 (10.152.26.31) : Sending....: 0264"record_type=QU" "user=tdw" "counterparty=277" "device=Aitken" "system=Equity" "time=28973" "quantity=1000" "buy_sell=B" "isin=GB0005991111" "epic=MPAC" "t+=2" "settlement_date=20200306" "user_details=1008599" "quantity=1000" "buy_sell=B" "currency=GBP" "link="</t>
  </si>
  <si>
    <t>04/03/20 08:02:55 12728 (10.152.26.31) : Read: "record_type=QUR" "reply_reason=99" "reply_message=No valid quote available" "agency_time=2020-03-04 08:02:56.103" "buy_sell=B" "counterparty=277" "currency=GBP" "device=Aitken" "epic=MPAC" "isin=GB0005991111" "link=000" "professional=N" "quantity=1000" "system=Equity" "t+=2" "time=20200304-08:02:53" "user=tdw" "user_details=1008599"</t>
  </si>
  <si>
    <t>04/03/20 08:02:55 12728: Quo reject : 10099 : No valid quote available</t>
  </si>
  <si>
    <t>04/03/20 08:02:56 11996(10.152.26.32) : Got exe request:                      ICV        GB00BJ7HMW26                                                    50.655300          2000        SABGBXA 68                             Y                                                     0580706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871 GB     FIN.L   00</t>
  </si>
  <si>
    <t>04/03/20 08:02:56 11996 (10.152.26.32) : Sending....: 0298"record_type=DE" "user=tdw" "counterparty=277" "device=Aitken" "system=Equity" "time=28976" "isin=GB00BJ7HMW26" "epic=FIN" "serial_number=362282078" "buy_sell=B" "quantity=2000" "t+=2" "currency=GBP" "booking_c/party=" "settlement_date=20200306" "user_details=0580706" "market_maker=871" "link="</t>
  </si>
  <si>
    <t>04/03/20 08:02:56 11996 (10.152.26.32) : Read: "record_type=DER" "reply_reason=0" "agency_time=2020-03-04 08:02:56.978" "bargain_ref=080252G06429ac-1" "buy_sell=B" "control_ref=080252G06429ac" "counterparty=277" "currency=GBP" "deal_time=08:02:56" "device=Aitken" "epic=FIN.L" "execution_venue=XLON" "isin=GB00BJ7HMW26" "market_maker=871" "price=0.506553" "professional=N" "quantity=2000" "sent_time=2020-03-04 08:02:56.959" "serial_number=080252G06429ac-1" "settlement_date=20200306" "system=Equity" "t+=2" "time=28976" "user=tdw" "user_details=0580706"</t>
  </si>
  <si>
    <t>04/03/20 08:02:56 11996: Exe reply :                       ICV        GB00BJ7HMW26                                                    50.655300          2000        SABGBXA 68                             Y                                                     0580706                                                                                                                                                                                                                                                                       080252G06429ac20200306     080252G06420200304080256   50.6553               2000                871 GB     FIN.L   02</t>
  </si>
  <si>
    <t>04/03/20 08:02:56 11108 (10.152.26.32) : Got quo request:                      ICV        GB00B142P698                                                        317756      S20200306  2                                     LSC     B142P69 VAST.L                        VAST  GB00B142P698    GBXGB   VAST.L  4616364                    GBP</t>
  </si>
  <si>
    <t>04/03/20 08:02:56 11108 (10.152.26.32) : Sending....: 0268"record_type=QU" "user=tdw" "counterparty=277" "device=Aitken" "system=Equity" "time=28976" "quantity=317756" "buy_sell=B" "isin=GB00B142P698" "epic=VAST" "t+=2" "settlement_date=20200306" "user_details=4616364" "quantity=317756" "buy_sell=B" "currency=GBP" "link="</t>
  </si>
  <si>
    <t>04/03/20 08:02:57 11108 (10.152.26.32) : Read: "record_type=QUR" "reply_reason=0" "agency_time=2020-03-04 08:02:57.687" "bid_price=0.002516" "bid_size=5000000" "buy_sell=B" "control_ref=8f2454ce-5dee-11ea-80b3-005056a25061" "counterparty=277" "currency=GBP" "device=Aitken" "epic=VAST.L" "isin=GB00B142P698" "link=871" "market_maker=871" "offer_price=0" "offer_size=0" "professional=N" "ps_bid_price=0.002516" "ps_offer_price=0" "quantity=317756" "rsp=PLHCGB3LBIC" "sent_time=2020-03-04 08:02:57.687" "serial_number=304810636" "settlement_date=20200306" "system=Equity" "t+=2" "time=28976" "user=tdw" "user_details=4616364"</t>
  </si>
  <si>
    <t>04/03/20 08:02:57 11108: Quo reply :                       ICV        GB00B142P698                                                    871 317756      S20200306  2     69        0.2516             30 LSC     B142P69 VAST.L                        VAST  GB00B142P698    GBXGB   VAST.L  4616364                    871</t>
  </si>
  <si>
    <t>04/03/20 08:02:57 12900 (10.152.26.30) : Got quo request:                      ICV        GB0009589168                                                        12748       B20200306  2                                     LSE     0958916 SYM.L                         SYM   GB0009589168    GBXGB   SYM.L   0627928                    GBP</t>
  </si>
  <si>
    <t>04/03/20 08:02:57 12900 (10.152.26.30) : Sending....: 0265"record_type=QU" "user=tdw" "counterparty=277" "device=Aitken" "system=Equity" "time=28977" "quantity=12748" "buy_sell=S" "isin=GB0009589168" "epic=SYM" "t+=2" "settlement_date=20200306" "user_details=0627928" "quantity=12748" "buy_sell=S" "currency=GBP" "link="</t>
  </si>
  <si>
    <t>04/03/20 08:02:59 12900 (10.152.26.30) : Read: "record_type=QUR" "reply_reason=99" "reply_message=No valid quote available" "agency_time=2020-03-04 08:02:59.454" "buy_sell=S" "counterparty=277" "currency=GBP" "device=Aitken" "epic=SYM" "isin=GB0009589168" "link=000" "professional=N" "quantity=12748" "system=Equity" "t+=2" "time=20200304-08:02:58" "user=tdw" "user_details=0627928"</t>
  </si>
  <si>
    <t>04/03/20 08:02:59 12900: Quo reject : 10099 : No valid quote available</t>
  </si>
  <si>
    <t>04/03/20 08:02:59 4124 (10.152.26.31) : Got quo request:                      ICV        GB00BRS65X63                                                        7800        S20200306  2                                     LSB     BRS65X6 INDV.L                        INDV  GB00BRS65X63    GBXGB   INDV.L  6113125                    GBP</t>
  </si>
  <si>
    <t>04/03/20 08:02:59 4124 (10.152.26.31) : Sending....: 0264"record_type=QU" "user=tdw" "counterparty=277" "device=Aitken" "system=Equity" "time=28979" "quantity=7800" "buy_sell=B" "isin=GB00BRS65X63" "epic=INDV" "t+=2" "settlement_date=20200306" "user_details=6113125" "quantity=7800" "buy_sell=B" "currency=GBP" "link="</t>
  </si>
  <si>
    <t>04/03/20 08:03:01 4124 (10.152.26.31) : Read: "record_type=QUR" "reply_reason=0" "agency_time=2020-03-04 08:03:02.152" "bid_price=0.449038" "bid_size=7800" "buy_sell=B" "control_ref=90683dd2-5dee-11ea-b8bd-005056a25061" "counterparty=277" "currency=GBP" "device=Aitken" "epic=INDV" "isin=GB00BRS65X63" "link=801" "market_maker=801" "offer_price=0" "offer_size=0" "professional=N" "ps_bid_price=0.449038" "ps_offer_price=0" "quantity=7800" "rsp=WNTSGB2LBIC" "sent_time=2020-03-04 08:03:02.152" "serial_number=700632862" "settlement_date=20200306" "system=Equity" "t+=2" "time=28979" "user=tdw" "user_details=6113125" "quotation_amount=1"</t>
  </si>
  <si>
    <t>04/03/20 08:03:01 4124: Quo reply :                       ICV        GB00BRS65X63                                                    801 7800        S20200306  2     70        44.9038            30 LSB     BRS65X6 INDV.L                        INDV  GB00BRS65X63    GBXGB   INDV.L  6113125                    801</t>
  </si>
  <si>
    <t>04/03/20 08:03:01 11888 (10.152.26.32) : Got quo request:                      ICV        JE00B6T5S470                                                        200         S20200306  2                                     LSD     B6T5S47 POLY.L                        POLY  JE00B6T5S470    GBXJE   POLY.L  3367114                    GBP</t>
  </si>
  <si>
    <t>04/03/20 08:03:01 11888 (10.152.26.32) : Sending....: 0262"record_type=QU" "user=tdw" "counterparty=277" "device=Aitken" "system=Equity" "time=28981" "quantity=200" "buy_sell=B" "isin=JE00B6T5S470" "epic=POLY" "t+=2" "settlement_date=20200306" "user_details=3367114" "quantity=200" "buy_sell=B" "currency=GBP" "link="</t>
  </si>
  <si>
    <t>04/03/20 08:03:02 11888 (10.152.26.32) : Read: "record_type=QUR" "reply_reason=0" "agency_time=2020-03-04 08:03:02.837" "bid_price=12.66375" "bid_size=1000" "buy_sell=B" "control_ref=9204069e-5dee-11ea-ae5a-005056a25061" "counterparty=277" "currency=GBP" "device=Aitken" "epic=POLY" "isin=JE00B6T5S470" "link=801" "market_maker=801" "offer_price=0" "offer_size=0" "professional=N" "ps_bid_price=12.66375" "ps_offer_price=0" "quantity=200" "rsp=WNTSGB2LBIC" "sent_time=2020-03-04 08:03:02.837" "serial_number=1005407512" "settlement_date=20200306" "system=Equity" "t+=2" "time=28981" "user=tdw" "user_details=3367114" "quotation_amount=1"</t>
  </si>
  <si>
    <t>04/03/20 08:03:02 11888: Quo reply :                       ICV        JE00B6T5S470                                                    801 200         S20200306  2     71        1266.375           30 LSD     B6T5S47 POLY.L                        POLY  JE00B6T5S470    GBXJE   POLY.L  3367114                    801</t>
  </si>
  <si>
    <t>04/03/20 08:03:02 5992 (10.152.26.30) : Got quo request:                      ICV        DE000TUAG000                                                        1500        S20200311  5                                     LSD     B11LJN4 TUI.L                         TUI   DE000TUAG000    GBXGB   TUI.L   0835036                    GBP</t>
  </si>
  <si>
    <t>04/03/20 08:03:02 5992 (10.152.26.30) : Sending....: 0263"record_type=QU" "user=tdw" "counterparty=277" "device=Aitken" "system=Equity" "time=28982" "quantity=1500" "buy_sell=B" "isin=DE000TUAG000" "epic=TUI" "t+=5" "settlement_date=20200311" "user_details=0835036" "quantity=1500" "buy_sell=B" "currency=GBP" "link="</t>
  </si>
  <si>
    <t>04/03/20 08:03:03 5992 (10.152.26.30) : Read: "record_type=QUR" "reply_reason=99" "reply_message=No valid quote available" "agency_time=2020-03-04 08:03:04.281" "buy_sell=B" "counterparty=277" "currency=GBP" "device=Aitken" "epic=TUI" "isin=DE000TUAG000" "link=000" "professional=N" "quantity=1500" "system=Equity" "t+=5" "time=20200304-08:03:02" "user=tdw" "user_details=0835036"</t>
  </si>
  <si>
    <t>04/03/20 08:03:03 5992: Quo reject : 10099 : No valid quote available</t>
  </si>
  <si>
    <t>04/03/20 08:03:03 10288 (10.152.26.31) : Got quo request:                      ICV        GB00B0130H42                                                        951         B20200306  2                                     LSB     B0130H4 ITM.L                         ITM   GB00B0130H42    GBXGB   ITM.L   3050620                    GBP</t>
  </si>
  <si>
    <t>04/03/20 08:03:03 10288 (10.152.26.31) : Sending....: 0261"record_type=QU" "user=tdw" "counterparty=277" "device=Aitken" "system=Equity" "time=28983" "quantity=951" "buy_sell=S" "isin=GB00B0130H42" "epic=ITM" "t+=2" "settlement_date=20200306" "user_details=3050620" "quantity=951" "buy_sell=S" "currency=GBP" "link="</t>
  </si>
  <si>
    <t>04/03/20 08:03:05 10288 (10.152.26.31) : Read: "record_type=QUR" "reply_reason=0" "agency_time=2020-03-04 08:03:05.471" "bid_price=0" "bid_size=0" "buy_sell=S" "control_ref=9349ef46-5dee-11ea-a987-005056a25061" "counterparty=277" "currency=GBP" "device=Aitken" "epic=ITM" "isin=GB00B0130H42" "link=635" "market_maker=635" "offer_price=1.463688" "offer_size=12500" "professional=N" "ps_bid_price=0" "ps_offer_price=1.463688" "quantity=951" "rsp=CFEQGB21EPE" "sent_time=2020-03-04 08:03:05.471" "serial_number=1547014932" "settlement_date=20200306" "system=Equity" "t+=2" "time=28983" "user=tdw" "user_details=3050620"</t>
  </si>
  <si>
    <t>04/03/20 08:03:05 10288: Quo reply :                       ICV        GB00B0130H42                                                    635 951         B20200306  2     72        146.3688           30 LSB     B0130H4 ITM.L                         ITM   GB00B0130H42    GBXGB   ITM.L   3050620                    635</t>
  </si>
  <si>
    <t>04/03/20 08:03:07 8992 (10.152.26.30) : Got quo request:                      ICV        GB0008706128                                                        20694       B20200306  2                                     LSF     0870612 LLOY.L                        LLOY  GB0008706128    GBXGB   LLOY.L  4750084                    GBP</t>
  </si>
  <si>
    <t>04/03/20 08:03:07 8992 (10.152.26.30) : Sending....: 0266"record_type=QU" "user=tdw" "counterparty=277" "device=Aitken" "system=Equity" "time=28987" "quantity=20694" "buy_sell=S" "isin=GB0008706128" "epic=LLOY" "t+=2" "settlement_date=20200306" "user_details=4750084" "quantity=20694" "buy_sell=S" "currency=GBP" "link="</t>
  </si>
  <si>
    <t>04/03/20 08:03:08 8992 (10.152.26.30) : Read: "record_type=QUR" "reply_reason=0" "agency_time=2020-03-04 08:03:09.257" "bid_price=0" "bid_size=0" "buy_sell=S" "control_ref=954e81bc-5dee-11ea-9dab-005056a25061" "counterparty=277" "currency=GBP" "device=Aitken" "epic=LLOY" "isin=GB0008706128" "link=801" "market_maker=801" "offer_price=0.48105" "offer_size=28519" "professional=N" "ps_bid_price=0" "ps_offer_price=0.48105" "quantity=20694" "rsp=WNTSGB2LBIC" "sent_time=2020-03-04 08:03:09.257" "serial_number=995833809" "settlement_date=20200306" "system=Equity" "t+=2" "time=28987" "user=tdw" "user_details=4750084" "quotation_amount=1"</t>
  </si>
  <si>
    <t>04/03/20 08:03:08 8992: Quo reply :                       ICV        GB0008706128                                                    801 20694       B20200306  2     73        48.105             30 LSF     0870612 LLOY.L                        LLOY  GB0008706128    GBXGB   LLOY.L  4750084                    801</t>
  </si>
  <si>
    <t>04/03/20 08:03:08 9236 (10.152.26.31)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</si>
  <si>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08:03:08 9236 (10.152.26.31) : Sending....: 0264"record_type=QU" "user=tdw" "counterparty=277" "device=Aitken" "system=Equity" "time=28988" "quantity=5000" "buy_sell=S" "isin=JE00B5TT1872" "epic=CEY" "t+=20" "settlement_date=20200401" "user_details=0426920" "quantity=5000" "buy_sell=S" "currency=GBP" "link="</t>
  </si>
  <si>
    <t>04/03/20 08:03:10 9236 (10.152.26.31) : Read: "record_type=QUR" "reply_reason=0" "agency_time=2020-03-04 08:03:10.865" "bid_price=0" "bid_size=0" "buy_sell=S" "control_ref=96420b52-5dee-11ea-ad47-005056a25061" "counterparty=277" "currency=GBP" "device=Aitken" "epic=CEY" "isin=JE00B5TT1872" "link=331" "market_maker=331" "offer_price=1.41" "offer_size=50000" "professional=N" "ps_bid_price=0" "ps_offer_price=1.41" "quantity=5000" "rsp=IHCSGB21002" "sent_time=2020-03-04 08:03:10.865" "serial_number=215988653" "settlement_date=20200401" "system=Equity" "t+=20" "time=28988" "user=tdw" "user_details=0426920"</t>
  </si>
  <si>
    <t>04/03/20 08:03:10 9236: Quo reply :                       ICV        JE00B5TT1872                                                    331 5000        B20200401 20     74        141                30 LSA     B5TT187 CEY.L                         CEY   JE00B5TT1872    GBXJE   CEY.L   0426920                    331</t>
  </si>
  <si>
    <t>04/03/20 08:03:10 6048 (10.152.26.32) : Got quo request:                      ICV        GB0005405286                                                        8649        S20200306  2                                     LSD     0540528 HSBA.L                        HSBA  GB0005405286    GBXGB   HSBA.L  5232954                    GBP</t>
  </si>
  <si>
    <t>04/03/20 08:03:10 6048 (10.152.26.32) : Sending....: 0264"record_type=QU" "user=tdw" "counterparty=277" "device=Aitken" "system=Equity" "time=28990" "quantity=8649" "buy_sell=B" "isin=GB0005405286" "epic=HSBA" "t+=2" "settlement_date=20200306" "user_details=5232954" "quantity=8649" "buy_sell=B" "currency=GBP" "link="</t>
  </si>
  <si>
    <t>04/03/20 08:03:10 6048 (10.152.26.32) : Read: "record_type=QUR" "reply_reason=0" "agency_time=2020-03-04 08:03:11.219" "bid_price=5.128" "bid_size=50000" "buy_sell=B" "control_ref=97356608-5dee-11ea-a56e-005056a25061" "counterparty=277" "currency=GBP" "device=Aitken" "epic=HSBA" "isin=GB0005405286" "link=393" "market_maker=393" "offer_price=0" "offer_size=0" "professional=N" "ps_bid_price=5.128" "ps_offer_price=0" "quantity=8649" "rsp=JEFFGB2X" "sent_time=2020-03-04 08:03:11.219" "serial_number=211567437" "settlement_date=20200306" "system=Equity" "t+=2" "time=28990" "user=tdw" "user_details=5232954"</t>
  </si>
  <si>
    <t>04/03/20 08:03:10 6048: Quo reply :                       ICV        GB0005405286                                                    393 8649        S20200306  2     75        512.8              30 LSD     0540528 HSBA.L                        HSBA  GB0005405286    GBXGB   HSBA.L  5232954                    393</t>
  </si>
  <si>
    <t>04/03/20 08:03:10 9580 (10.152.26.30) : Got quo request:                      ICV        GB00B95L0551                                                        517241      B20200306  2                                     LSE     B95L055 RBD.L                         RBD   GB00B95L0551    GBXGB   RBD.L   1069549                    GBP</t>
  </si>
  <si>
    <t>04/03/20 08:03:10 9580 (10.152.26.30) : Sending....: 0267"record_type=QU" "user=tdw" "counterparty=277" "device=Aitken" "system=Equity" "time=28990" "quantity=517241" "buy_sell=S" "isin=GB00B95L0551" "epic=RBD" "t+=2" "settlement_date=20200306" "user_details=1069549" "quantity=517241" "buy_sell=S" "currency=GBP" "link="</t>
  </si>
  <si>
    <t>04/03/20 08:03:12 9580 (10.152.26.30) : Read: "record_type=QUR" "reply_reason=0" "agency_time=2020-03-04 08:03:13.005" "bid_price=0" "bid_size=0" "buy_sell=S" "control_ref=976d7ade-5dee-11ea-960d-005056a25061" "counterparty=277" "currency=GBP" "device=Aitken" "epic=RBD" "isin=GB00B95L0551" "link=006" "market_maker=006" "offer_price=0.00589" "offer_size=1000000" "professional=N" "ps_bid_price=0" "ps_offer_price=0.00589" "quantity=517241" "rsp=STNOGB21" "sent_time=2020-03-04 08:03:13.005" "serial_number=1355511870" "settlement_date=20200306" "system=Equity" "t+=2" "time=28990" "user=tdw" "user_details=1069549"</t>
  </si>
  <si>
    <t>04/03/20 08:03:12 9580: Quo reply :                       ICV        GB00B95L0551                                                    006 517241      B20200306  2     76        0.589              30 LSE     B95L055 RBD.L                         RBD   GB00B95L0551    GBXGB   RBD.L   1069549                    006</t>
  </si>
  <si>
    <t>04/03/20 08:03:12 11996 (10.152.26.32) : Got quo request:                      ICV        GB0002875804                                                        9382        B20200306  2                                     LSD     0287580 BATS.L                        BATS  GB0002875804    GBXGB   BATS.L  0772788                    GBP</t>
  </si>
  <si>
    <t>04/03/20 08:03:12 11996 (10.152.26.32) : Sending....: 0264"record_type=QU" "user=tdw" "counterparty=277" "device=Aitken" "system=Equity" "time=28992" "quantity=9382" "buy_sell=S" "isin=GB0002875804" "epic=BATS" "t+=2" "settlement_date=20200306" "user_details=0772788" "quantity=9382" "buy_sell=S" "currency=GBP" "link="</t>
  </si>
  <si>
    <t>04/03/20 08:03:13 11996 (10.152.26.32) : Read: "record_type=QUR" "reply_reason=0" "agency_time=2020-03-04 08:03:13.974" "bid_price=0" "bid_size=0" "buy_sell=S" "control_ref=987bf31a-5dee-11ea-b209-005056a25061" "counterparty=277" "currency=GBP" "device=Aitken" "epic=BATS" "isin=GB0002875804" "link=801" "market_maker=801" "offer_price=31.1083" "offer_size=9382" "professional=N" "ps_bid_price=0" "ps_offer_price=31.1083" "quantity=9382" "rsp=WNTSGB2LBIC" "sent_time=2020-03-04 08:03:13.974" "serial_number=649014254" "settlement_date=20200306" "system=Equity" "t+=2" "time=28992" "user=tdw" "user_details=0772788" "quotation_amount=1"</t>
  </si>
  <si>
    <t>04/03/20 08:03:13 11996: Quo reply :                       ICV        GB0002875804                                                    801 9382        B20200306  2     77        3110.83            30 LSD     0287580 BATS.L                        BATS  GB0002875804    GBXGB   BATS.L  0772788                    801</t>
  </si>
  <si>
    <t>04/03/20 08:03:13 12728 (10.152.26.31) : Got quo request:                      ICV        GB0009589168                                                        12748       B20200306  2                                     LSE     0958916 SYM.L                         SYM   GB0009589168    GBXGB   SYM.L   0627928                    GBP</t>
  </si>
  <si>
    <t>04/03/20 08:03:13 12728 (10.152.26.31) : Sending....: 0265"record_type=QU" "user=tdw" "counterparty=277" "device=Aitken" "system=Equity" "time=28993" "quantity=12748" "buy_sell=S" "isin=GB0009589168" "epic=SYM" "t+=2" "settlement_date=20200306" "user_details=0627928" "quantity=12748" "buy_sell=S" "currency=GBP" "link="</t>
  </si>
  <si>
    <t>04/03/20 08:03:13 12728 (10.152.26.31) : Read: "record_type=QUR" "reply_reason=99" "reply_message=No valid quote available" "agency_time=2020-03-04 08:03:14.323" "buy_sell=S" "counterparty=277" "currency=GBP" "device=Aitken" "epic=SYM" "isin=GB0009589168" "link=000" "professional=N" "quantity=12748" "system=Equity" "t+=2" "time=20200304-08:03:13" "user=tdw" "user_details=0627928"</t>
  </si>
  <si>
    <t>04/03/20 08:03:13 12728: Quo reject : 10099 : No valid quote available</t>
  </si>
  <si>
    <t>04/03/20 08:03:13 4124(10.152.26.31) : Got exe request:                      ICV        GB0005405286                                                    512.800000         8649        SABGBXA 75                             Y                                                     5232954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393 GB     HSBA.L  00</t>
  </si>
  <si>
    <t>04/03/20 08:03:13 4124 (10.152.26.31) : Sending....: 0299"record_type=DE" "user=tdw" "counterparty=277" "device=Aitken" "system=Equity" "time=28993" "isin=GB0005405286" "epic=HSBA" "serial_number=211567437" "buy_sell=B" "quantity=8649" "t+=2" "currency=GBP" "booking_c/party=" "settlement_date=20200306" "user_details=5232954" "market_maker=393" "link="</t>
  </si>
  <si>
    <t>04/03/20 08:03:16 4124 (10.152.26.31) : Read: "record_type=DER" "reply_reason=0" "agency_time=2020-03-04 08:03:16.546" "bargain_ref=0075114072LOA2-1" "buy_sell=B" "control_ref=0066412313LOA1" "counterparty=277" "currency=GBP" "deal_time=08:03:16" "device=Aitken" "epic=HSBA" "execution_venue=XLON" "isin=GB0005405286" "market_maker=393" "price=5.128" "professional=N" "quantity=8649" "sent_time=2020-03-04 08:03:14.326" "serial_number=0075114072LOA2-1" "settlement_date=20200306" "system=Equity" "t+=2" "time=28993" "user=tdw" "user_details=5232954"</t>
  </si>
  <si>
    <t>04/03/20 08:03:16 4124: Exe reply :                       ICV        GB0005405286                                                    512.800000         8649        SABGBXA 75                             Y                                                     5232954                                                                                                                                                                                                                                                                       0075114072LOA220200306     007511407220200304080313   512.8                 8649                393 GB     HSBA.L  02</t>
  </si>
  <si>
    <t>04/03/20 08:03:16 12900 (10.152.26.30) : Got quo request:                      ICV        FR0010397232                                                        1588        S20200316  8                                     LSC     BF16YK9 NCYT.L                        NCYT  FR0010397232    GBXGB   NCYT.L  0292773                    GBP</t>
  </si>
  <si>
    <t>04/03/20 08:03:16 12900 (10.152.26.30) : Sending....: 0264"record_type=QU" "user=tdw" "counterparty=277" "device=Aitken" "system=Equity" "time=28996" "quantity=1588" "buy_sell=B" "isin=FR0010397232" "epic=NCYT" "t+=8" "settlement_date=20200316" "user_details=0292773" "quantity=1588" "buy_sell=B" "currency=GBP" "link="</t>
  </si>
  <si>
    <t>04/03/20 08:03:17 12900 (10.152.26.30) : Read: "record_type=QUR" "reply_reason=99" "reply_message=No valid quote available" "agency_time=2020-03-04 08:03:17.488" "buy_sell=B" "counterparty=277" "currency=GBP" "device=Aitken" "epic=NCYT" "isin=FR0010397232" "link=000" "professional=N" "quantity=1588" "system=Equity" "t+=8" "time=20200304-08:03:16" "user=tdw" "user_details=0292773"</t>
  </si>
  <si>
    <t>04/03/20 08:03:17 12900: Quo reject : 10099 : No valid quote available</t>
  </si>
  <si>
    <t>04/03/20 08:03:17 11108 (10.152.26.32) : Got quo request:                      ICV        GB0001738615                                                        678         B20200306  2                                     LSB     0173861 CGT.L                         CGT   GB0001738615    GBXGB   CGT.L   1103641                    GBP</t>
  </si>
  <si>
    <t>04/03/20 08:03:17 11108 (10.152.26.32) : Sending....: 0261"record_type=QU" "user=tdw" "counterparty=277" "device=Aitken" "system=Equity" "time=28997" "quantity=678" "buy_sell=S" "isin=GB0001738615" "epic=CGT" "t+=2" "settlement_date=20200306" "user_details=1103641" "quantity=678" "buy_sell=S" "currency=GBP" "link="</t>
  </si>
  <si>
    <t>04/03/20 08:03:17 11108 (10.152.26.32) : Read: "record_type=QUR" "reply_reason=0" "agency_time=2020-03-04 08:03:17.547" "bid_price=0" "bid_size=0" "buy_sell=S" "control_ref=9b2810e4-5dee-11ea-be90-005056a25061" "counterparty=277" "currency=GBP" "device=Aitken" "epic=CGT" "isin=GB0001738615" "link=300" "market_maker=300" "offer_price=44.17" "offer_size=1000" "professional=N" "ps_bid_price=0" "ps_offer_price=44.17" "quantity=678" "rsp=PMURGB2L" "sent_time=2020-03-04 08:03:17.547" "serial_number=1969010853" "settlement_date=20200306" "system=Equity" "t+=2" "time=28997" "user=tdw" "user_details=1103641"</t>
  </si>
  <si>
    <t>04/03/20 08:03:17 11108: Quo reply :                       ICV        GB0001738615                                                    300 678         B20200306  2     78        4417               30 LSB     0173861 CGT.L                         CGT   GB0001738615    GBXGB   CGT.L   1103641                    300</t>
  </si>
  <si>
    <t>04/03/20 08:03:17 10288 (10.152.26.31) : Got quo request:                      ICV        BMG702781094                                                        3085        S20200326 16                                     LSB     0683564 PDL.L                         PDL   BMG702781094    GBXJE   PDL.L   0555748                    GBP</t>
  </si>
  <si>
    <t>04/03/20 08:03:17 10288 (10.152.26.31) : Sending....: 0264"record_type=QU" "user=tdw" "counterparty=277" "device=Aitken" "system=Equity" "time=28997" "quantity=3085" "buy_sell=B" "isin=BMG702781094" "epic=PDL" "t+=16" "settlement_date=20200326" "user_details=0555748" "quantity=3085" "buy_sell=B" "currency=GBP" "link="</t>
  </si>
  <si>
    <t>04/03/20 08:03:19 10288 (10.152.26.31) : Read: "record_type=QUR" "reply_reason=0" "agency_time=2020-03-04 08:03:19.437" "bid_price=0.045178" "bid_size=75000" "buy_sell=B" "control_ref=9ba24d82-5dee-11ea-83e5-005056a25061" "counterparty=277" "currency=GBP" "device=Aitken" "epic=PDL" "isin=BMG702781094" "link=801" "market_maker=801" "offer_price=0" "offer_size=0" "professional=N" "ps_bid_price=0.045178" "ps_offer_price=0" "quantity=3085" "rsp=WNTSGB2LBIC" "sent_time=2020-03-04 08:03:19.437" "serial_number=1686685305" "settlement_date=20200326" "system=Equity" "t+=16" "time=28997" "user=tdw" "user_details=0555748" "quotation_amount=1"</t>
  </si>
  <si>
    <t>04/03/20 08:03:19 10288: Quo reply :                       ICV        BMG702781094                                                    801 3085        S20200326 16     79        4.5178             30 LSB     0683564 PDL.L                         PDL   BMG702781094    GBXJE   PDL.L   0555748                    801</t>
  </si>
  <si>
    <t>04/03/20 08:03:20 5992 (10.152.26.30) : Got quo request:                      ICV        GB00B0DG3H29                                                        138148      S20200306  2                                     LSB     B0DG3H2 SXX.L                         SXX   GB00B0DG3H29    GBXGB   SXX.L   0788355                    GBP</t>
  </si>
  <si>
    <t>04/03/20 08:03:20 5992 (10.152.26.30) : Sending....: 0267"record_type=QU" "user=tdw" "counterparty=277" "device=Aitken" "system=Equity" "time=29000" "quantity=138148" "buy_sell=B" "isin=GB00B0DG3H29" "epic=SXX" "t+=2" "settlement_date=20200306" "user_details=0788355" "quantity=138148" "buy_sell=B" "currency=GBP" "link="</t>
  </si>
  <si>
    <t>04/03/20 08:03:20 5992 (10.152.26.30) : Read: "record_type=QUR" "reply_reason=99" "reply_message=No valid quote available" "agency_time=2020-03-04 08:03:21.001" "buy_sell=B" "counterparty=277" "currency=GBP" "device=Aitken" "epic=SXX" "isin=GB00B0DG3H29" "link=000" "professional=N" "quantity=138148" "system=Equity" "t+=2" "time=20200304-08:03:20" "user=tdw" "user_details=0788355"</t>
  </si>
  <si>
    <t>04/03/20 08:03:20 5992: Quo reject : 10099 : No valid quote available</t>
  </si>
  <si>
    <t>04/03/20 08:03:21 11888 (10.152.26.32)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</si>
  <si>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08:03:21 11888 (10.152.26.32) : Sending....: 0264"record_type=QU" "user=tdw" "counterparty=277" "device=Aitken" "system=Equity" "time=29001" "quantity=5029" "buy_sell=B" "isin=GB00B17BBQ50" "epic=INVP" "t+=2" "settlement_date=20200306" "user_details=0680395" "quantity=5029" "buy_sell=B" "currency=GBP" "link="</t>
  </si>
  <si>
    <t>04/03/20 08:03:21 11888 (10.152.26.32) : Read: "record_type=QUR" "reply_reason=0" "agency_time=2020-03-04 08:03:22.179" "bid_price=3.942724" "bid_size=6450" "buy_sell=B" "control_ref=9dbf7b3a-5dee-11ea-a3b2-005056a25061" "counterparty=277" "currency=GBP" "device=Aitken" "epic=INVP.L" "isin=GB00B17BBQ50" "link=871" "market_maker=871" "offer_price=0" "offer_size=0" "professional=N" "ps_bid_price=3.942724" "ps_offer_price=0" "quantity=5029" "rsp=PLHCGB3LBIC" "sent_time=2020-03-04 08:03:22.179" "serial_number=58841016" "settlement_date=20200306" "system=Equity" "t+=2" "time=29001" "user=tdw" "user_details=0680395"</t>
  </si>
  <si>
    <t>04/03/20 08:03:21 11888: Quo reply :                       ICV        GB00B17BBQ50                                                    871 5029        S20200306  2     80        394.2724           30 LSA     B17BBQ5 INVP.L                        INVP  GB00B17BBQ50    GBXGB   INVP.L  0680395                    871</t>
  </si>
  <si>
    <t>04/03/20 08:03:23 8992(10.152.26.30) : Got exe request:                      ICV        BMG702781094                                                    4.517800           3085        SABGBXA 79                             Y                                                     0555748                                                                                                                                                                                                                                                                                     20200326                                                                          801 JE     PDL.L   00</t>
  </si>
  <si>
    <t>04/03/20 08:03:23 8992 (10.152.26.30) : Sending....: 0300"record_type=DE" "user=tdw" "counterparty=277" "device=Aitken" "system=Equity" "time=29003" "isin=BMG702781094" "epic=PDL" "serial_number=1686685305" "buy_sell=B" "quantity=3085" "t+=16" "currency=GBP" "booking_c/party=" "settlement_date=20200326" "user_details=0555748" "market_maker=801" "link="</t>
  </si>
  <si>
    <t>04/03/20 08:03:23 8992 (10.152.26.30) : Read: "record_type=DER" "reply_reason=0" "agency_time=2020-03-04 08:03:24.004" "bargain_ref=1824405276" "buy_sell=B" "control_ref=1824405276" "counterparty=277" "currency=GBP" "deal_time=08:03:24" "device=Aitken" "epic=PDL" "execution_venue=XLON" "isin=BMG702781094" "market_maker=801" "price=0.045178" "professional=N" "quantity=3085." "sent_time=2020-03-04 08:03:23.957" "serial_number=1824405276" "settlement_date=20200326" "system=Equity" "t+=16" "time=29003" "user=tdw" "user_details=0555748" "quotation_amount=1"</t>
  </si>
  <si>
    <t>04/03/20 08:03:23 8992: Exe reply :                       ICV        BMG702781094                                                    4.517800           3085        SABGBXA 79                             Y                                                     0555748                                                                                                                                                                                                                                                                       1824405276    20200326     182440527620200304080323   4.5178                3085                801 JE     PDL.L   02</t>
  </si>
  <si>
    <t>04/03/20 08:03:24 9580 (10.152.26.30) : Got quo request:                      ICV        FR0010397232                                                        643         B20200306  2                                     LSC     BF16YK9 NCYT.L                        NCYT  FR0010397232    GBXGB   NCYT.L  4731067                    GBP</t>
  </si>
  <si>
    <t>04/03/20 08:03:24 9580 (10.152.26.30) : Sending....: 0262"record_type=QU" "user=tdw" "counterparty=277" "device=Aitken" "system=Equity" "time=29004" "quantity=643" "buy_sell=S" "isin=FR0010397232" "epic=NCYT" "t+=2" "settlement_date=20200306" "user_details=4731067" "quantity=643" "buy_sell=S" "currency=GBP" "link="</t>
  </si>
  <si>
    <t>04/03/20 08:03:24 9580 (10.152.26.30) : Read: "record_type=QUR" "reply_reason=0" "agency_time=2020-03-04 08:03:24.944" "bid_price=0" "bid_size=0" "buy_sell=S" "control_ref=9f6f5b1c-5dee-11ea-b916-005056a25061" "counterparty=277" "currency=GBP" "device=Aitken" "epic=NCYT" "isin=FR0010397232" "link=006" "market_maker=006" "offer_price=1.065" "offer_size=50000" "professional=N" "ps_bid_price=0" "ps_offer_price=1.065" "quantity=643" "rsp=STNOGB21" "sent_time=2020-03-04 08:03:24.944" "serial_number=634908008" "settlement_date=20200306" "system=Equity" "t+=2" "time=29004" "user=tdw" "user_details=4731067"</t>
  </si>
  <si>
    <t>04/03/20 08:03:24 9580: Quo reply :                       ICV        FR0010397232                                                    006 643         B20200306  2     81        106.5              30 LSC     BF16YK9 NCYT.L                        NCYT  FR0010397232    GBXGB   NCYT.L  4731067                    006</t>
  </si>
  <si>
    <t>04/03/20 08:03:26 9236 (10.152.26.31) : Got quo request:                      ICV        GB00B0DG3H29                                                        2043        B20200306  2                                     LSB     B0DG3H2 SXX.L                         SXX   GB00B0DG3H29    GBXGB   SXX.L   4726047                    GBP</t>
  </si>
  <si>
    <t>04/03/20 08:03:26 9236 (10.152.26.31) : Sending....: 0263"record_type=QU" "user=tdw" "counterparty=277" "device=Aitken" "system=Equity" "time=29006" "quantity=2043" "buy_sell=S" "isin=GB00B0DG3H29" "epic=SXX" "t+=2" "settlement_date=20200306" "user_details=4726047" "quantity=2043" "buy_sell=S" "currency=GBP" "link="</t>
  </si>
  <si>
    <t>04/03/20 08:03:27 9236 (10.152.26.31) : Read: "record_type=QUR" "reply_reason=99" "reply_message=No valid quote available" "agency_time=2020-03-04 08:03:27.732" "buy_sell=S" "counterparty=277" "currency=GBP" "device=Aitken" "epic=SXX" "isin=GB00B0DG3H29" "link=000" "professional=N" "quantity=2043" "system=Equity" "t+=2" "time=20200304-08:03:27" "user=tdw" "user_details=4726047"</t>
  </si>
  <si>
    <t>04/03/20 08:03:27 9236: Quo reject : 10099 : No valid quote available</t>
  </si>
  <si>
    <t>04/03/20 08:03:27 6048 (10.152.26.32) : Got quo request:                      ICV        GB00BYNFCH09                                                        132         B20200306  2                                     LSE     BYNFCH0 RRE.L                         RRE   GB00BYNFCH09    GBXGB   RRE.L   1061421                    GBP</t>
  </si>
  <si>
    <t>04/03/20 08:03:27 6048 (10.152.26.32) : Sending....: 0261"record_type=QU" "user=tdw" "counterparty=277" "device=Aitken" "system=Equity" "time=29007" "quantity=132" "buy_sell=S" "isin=GB00BYNFCH09" "epic=RRE" "t+=2" "settlement_date=20200306" "user_details=1061421" "quantity=132" "buy_sell=S" "currency=GBP" "link="</t>
  </si>
  <si>
    <t>04/03/20 08:03:28 6048 (10.152.26.32) : Read: "record_type=QUR" "reply_reason=0" "agency_time=2020-03-04 08:03:28.407" "bid_price=0" "bid_size=0" "buy_sell=S" "control_ref=a1430484-5dee-11ea-80c0-005056a25061" "counterparty=277" "currency=GBP" "device=Aitken" "epic=RRE" "isin=GB00BYNFCH09" "link=801" "market_maker=801" "offer_price=14.83" "offer_size=2250" "professional=N" "ps_bid_price=0" "ps_offer_price=14.83" "quantity=132" "rsp=WNTSGB2LBIC" "sent_time=2020-03-04 08:03:28.407" "serial_number=1330562453" "settlement_date=20200306" "system=Equity" "t+=2" "time=29007" "user=tdw" "user_details=1061421" "quotation_amount=1"</t>
  </si>
  <si>
    <t>04/03/20 08:03:28 6048: Quo reply :                       ICV        GB00BYNFCH09                                                    801 132         B20200306  2     82        1483               30 LSE     BYNFCH0 RRE.L                         RRE   GB00BYNFCH09    GBXGB   RRE.L   1061421                    801</t>
  </si>
  <si>
    <t>04/03/20 08:03:30 12900 (10.152.26.30) : Got quo request:                      ICV        GB00B1FQDL10                                                        3000        B20200306  2                                     LSC     B1FQDL1 ZOO.L                         ZOO   GB00B1FQDL10    GBXGB   ZOO.L   9304744                    GBP</t>
  </si>
  <si>
    <t>04/03/20 08:03:30 12900 (10.152.26.30) : Sending....: 0263"record_type=QU" "user=tdw" "counterparty=277" "device=Aitken" "system=Equity" "time=29010" "quantity=3000" "buy_sell=S" "isin=GB00B1FQDL10" "epic=ZOO" "t+=2" "settlement_date=20200306" "user_details=9304744" "quantity=3000" "buy_sell=S" "currency=GBP" "link="</t>
  </si>
  <si>
    <t>04/03/20 08:03:31 12900 (10.152.26.30) : Read: "record_type=QUR" "reply_reason=0" "agency_time=2020-03-04 08:03:32.058" "bid_price=0" "bid_size=0" "buy_sell=S" "control_ref=a2e2d828-5dee-11ea-af46-005056a25061" "counterparty=277" "currency=GBP" "device=Aitken" "epic=ZOO" "isin=GB00B1FQDL10" "link=791" "market_maker=791" "offer_price=0.5275" "offer_size=16500" "professional=N" "ps_bid_price=0" "ps_offer_price=0.5275" "quantity=3000" "rsp=BEGODEHH" "sent_time=2020-03-04 08:03:32.058" "serial_number=1501755977" "settlement_date=20200306" "system=Equity" "t+=2" "time=29010" "user=tdw" "user_details=9304744"</t>
  </si>
  <si>
    <t>04/03/20 08:03:31 12900: Quo reply :                       ICV        GB00B1FQDL10                                                    791 3000        B20200306  2     83        52.75              30 LSC     B1FQDL1 ZOO.L                         ZOO   GB00B1FQDL10    GBXGB   ZOO.L   9304744                    791</t>
  </si>
  <si>
    <t>04/03/20 08:03:31 11996 (10.152.26.32) : Got quo request:                      ICV        GB0009589168                                                        12748       B20200306  2                                     LSE     0958916 SYM.L                         SYM   GB0009589168    GBXGB   SYM.L   0627928                    GBP</t>
  </si>
  <si>
    <t>04/03/20 08:03:31 11996 (10.152.26.32) : Sending....: 0265"record_type=QU" "user=tdw" "counterparty=277" "device=Aitken" "system=Equity" "time=29011" "quantity=12748" "buy_sell=S" "isin=GB0009589168" "epic=SYM" "t+=2" "settlement_date=20200306" "user_details=0627928" "quantity=12748" "buy_sell=S" "currency=GBP" "link="</t>
  </si>
  <si>
    <t>04/03/20 08:03:31 11996 (10.152.26.32) : Read: "record_type=QUR" "reply_reason=99" "reply_message=No valid quote available" "agency_time=2020-03-04 08:03:32.186" "buy_sell=S" "counterparty=277" "currency=GBP" "device=Aitken" "epic=SYM" "isin=GB0009589168" "link=000" "professional=N" "quantity=12748" "system=Equity" "t+=2" "time=20200304-08:03:32" "user=tdw" "user_details=0627928"</t>
  </si>
  <si>
    <t>04/03/20 08:03:31 11996: Quo reject : 10099 : No valid quote available</t>
  </si>
  <si>
    <t>04/03/20 08:03:31 12728 (10.152.26.31)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</si>
  <si>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08:03:31 12728 (10.152.26.31) : Sending....: 0264"record_type=QU" "user=tdw" "counterparty=277" "device=Aitken" "system=Equity" "time=29011" "quantity=5000" "buy_sell=S" "isin=JE00B5TT1872" "epic=CEY" "t+=20" "settlement_date=20200401" "user_details=0426920" "quantity=5000" "buy_sell=S" "currency=GBP" "link="</t>
  </si>
  <si>
    <t>04/03/20 08:03:33 12728 (10.152.26.31) : Read: "record_type=QUR" "reply_reason=0" "agency_time=2020-03-04 08:03:33.786" "bid_price=0" "bid_size=0" "buy_sell=S" "control_ref=a3eacf28-5dee-11ea-b55f-005056a25061" "counterparty=277" "currency=GBP" "device=Aitken" "epic=CEY" "isin=JE00B5TT1872" "link=331" "market_maker=331" "offer_price=1.411" "offer_size=50000" "professional=N" "ps_bid_price=0" "ps_offer_price=1.411" "quantity=5000" "rsp=IHCSGB21002" "sent_time=2020-03-04 08:03:33.786" "serial_number=1219259807" "settlement_date=20200401" "system=Equity" "t+=20" "time=29011" "user=tdw" "user_details=0426920"</t>
  </si>
  <si>
    <t>04/03/20 08:03:33 12728: Quo reply :                       ICV        JE00B5TT1872                                                    331 5000        B20200401 20     84        141.1              30 LSA     B5TT187 CEY.L                         CEY   JE00B5TT1872    GBXJE   CEY.L   0426920                    331</t>
  </si>
  <si>
    <t>04/03/20 08:03:33 4124(10.152.26.31) : Got exe request:                      ICV        GB00BYNFCH09                                                    1483               132         BABGBXA 82                             Y                                                     1061421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GB     RRE.L   00</t>
  </si>
  <si>
    <t>04/03/20 08:03:33 4124 (10.152.26.31) : Sending....: 0298"record_type=DE" "user=tdw" "counterparty=277" "device=Aitken" "system=Equity" "time=29013" "isin=GB00BYNFCH09" "epic=RRE" "serial_number=1330562453" "buy_sell=S" "quantity=132" "t+=2" "currency=GBP" "booking_c/party=" "settlement_date=20200306" "user_details=1061421" "market_maker=801" "link="</t>
  </si>
  <si>
    <t>04/03/20 08:03:33 4124 (10.152.26.31) : Read: "record_type=DER" "reply_reason=0" "agency_time=2020-03-04 08:03:33.828" "bargain_ref=1824405799" "buy_sell=S" "control_ref=1824405799" "counterparty=277" "currency=GBP" "deal_time=08:03:33" "device=Aitken" "epic=RRE" "execution_venue=XLON" "isin=GB00BYNFCH09" "market_maker=801" "price=14.83" "professional=N" "quantity=132." "sent_time=2020-03-04 08:03:33.789" "serial_number=1824405799" "settlement_date=20200306" "system=Equity" "t+=2" "time=29013" "user=tdw" "user_details=1061421" "quotation_amount=1"</t>
  </si>
  <si>
    <t>04/03/20 08:03:33 4124: Exe reply :                       ICV        GB00BYNFCH09                                                    1483               132         BABGBXA 82                             Y                                                     1061421                                                                                                                                                                                                                                                                       1824405799    20200306     182440579920200304080333   1483                  132                 801 GB     RRE.L   02</t>
  </si>
  <si>
    <t>04/03/20 08:03:35 5992 (10.152.26.30) : Got quo request:                      ICV        GB00B0DG3H29                                                        2043        B20200306  2                                     LSB     B0DG3H2 SXX.L                         SXX   GB00B0DG3H29    GBXGB   SXX.L   4726047                    GBP</t>
  </si>
  <si>
    <t>04/03/20 08:03:35 5992 (10.152.26.30) : Sending....: 0263"record_type=QU" "user=tdw" "counterparty=277" "device=Aitken" "system=Equity" "time=29015" "quantity=2043" "buy_sell=S" "isin=GB00B0DG3H29" "epic=SXX" "t+=2" "settlement_date=20200306" "user_details=4726047" "quantity=2043" "buy_sell=S" "currency=GBP" "link="</t>
  </si>
  <si>
    <t>04/03/20 08:03:35 5992 (10.152.26.30) : Read: "record_type=QUR" "reply_reason=99" "reply_message=No valid quote available" "agency_time=2020-03-04 08:03:36.148" "buy_sell=S" "counterparty=277" "currency=GBP" "device=Aitken" "epic=SXX" "isin=GB00B0DG3H29" "link=000" "professional=N" "quantity=2043" "system=Equity" "t+=2" "time=20200304-08:03:35" "user=tdw" "user_details=4726047"</t>
  </si>
  <si>
    <t>04/03/20 08:03:35 5992: Quo reject : 10099 : No valid quote available</t>
  </si>
  <si>
    <t>04/03/20 08:03:36 11108 (10.152.26.32)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</si>
  <si>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08:03:36 11108 (10.152.26.32) : Sending....: 0264"record_type=QU" "user=tdw" "counterparty=277" "device=Aitken" "system=Equity" "time=29016" "quantity=5029" "buy_sell=B" "isin=GB00B17BBQ50" "epic=INVP" "t+=2" "settlement_date=20200306" "user_details=0680395" "quantity=5029" "buy_sell=B" "currency=GBP" "link="</t>
  </si>
  <si>
    <t>04/03/20 08:03:36 11108 (10.152.26.32) : Read: "record_type=QUR" "reply_reason=0" "agency_time=2020-03-04 08:03:36.756" "bid_price=3.936035" "bid_size=6450" "buy_sell=B" "control_ref=a68ca4d6-5dee-11ea-962b-005056a25061" "counterparty=277" "currency=GBP" "device=Aitken" "epic=INVP.L" "isin=GB00B17BBQ50" "link=871" "market_maker=871" "offer_price=0" "offer_size=0" "professional=N" "ps_bid_price=3.936035" "ps_offer_price=0" "quantity=5029" "rsp=PLHCGB3LBIC" "sent_time=2020-03-04 08:03:36.756" "serial_number=764844421" "settlement_date=20200306" "system=Equity" "t+=2" "time=29016" "user=tdw" "user_details=0680395"</t>
  </si>
  <si>
    <t>04/03/20 08:03:36 11108: Quo reply :                       ICV        GB00B17BBQ50                                                    871 5029        S20200306  2     85        393.6035           30 LSA     B17BBQ5 INVP.L                        INVP  GB00B17BBQ50    GBXGB   INVP.L  0680395                    871</t>
  </si>
  <si>
    <t>04/03/20 08:03:40 8992 (10.152.26.30) : Got quo request:                      ICV        JE00BG6L7297                                                        1500        B20200306  2                                     LSB     BG6L729 BOO.L                         BOO   JE00BG6L7297    GBXJE   BOO.L   0057345                    GBP</t>
  </si>
  <si>
    <t>04/03/20 08:03:40 8992 (10.152.26.30) : Sending....: 0263"record_type=QU" "user=tdw" "counterparty=277" "device=Aitken" "system=Equity" "time=29020" "quantity=1500" "buy_sell=S" "isin=JE00BG6L7297" "epic=BOO" "t+=2" "settlement_date=20200306" "user_details=0057345" "quantity=1500" "buy_sell=S" "currency=GBP" "link="</t>
  </si>
  <si>
    <t>04/03/20 08:03:40 8992 (10.152.26.30) : Read: "record_type=QUR" "reply_reason=0" "agency_time=2020-03-04 08:03:40.596" "bid_price=0" "bid_size=0" "buy_sell=S" "control_ref=a8ce2f9e-5dee-11ea-a7c8-005056a25061" "counterparty=277" "currency=GBP" "device=Aitken" "epic=BOO.L" "isin=JE00BG6L7297" "link=871" "market_maker=871" "offer_price=2.969031" "offer_size=8250" "professional=N" "ps_bid_price=0" "ps_offer_price=2.969031" "quantity=1500" "rsp=PLHCGB3LBIC" "sent_time=2020-03-04 08:03:40.596" "serial_number=1486378413" "settlement_date=20200306" "system=Equity" "t+=2" "time=29020" "user=tdw" "user_details=0057345"</t>
  </si>
  <si>
    <t>04/03/20 08:03:40 8992: Quo reply :                       ICV        JE00BG6L7297                                                    871 1500        B20200306  2     86        296.9031           30 LSB     BG6L729 BOO.L                         BOO   JE00BG6L7297    GBXJE   BOO.L   0057345                    871</t>
  </si>
  <si>
    <t>04/03/20 08:03:41 10288 (10.152.26.31) : Got quo request:                      ICV        GB0008706128                                                        4000        B20200401 20                                     LSF     0870612 LLOY.L                        LLOY  GB0008706128    GBXGB   LLOY.L  0111249                    GBP</t>
  </si>
  <si>
    <t>04/03/20 08:03:41 10288 (10.152.26.31) : Sending....: 0265"record_type=QU" "user=tdw" "counterparty=277" "device=Aitken" "system=Equity" "time=29021" "quantity=4000" "buy_sell=S" "isin=GB0008706128" "epic=LLOY" "t+=20" "settlement_date=20200401" "user_details=0111249" "quantity=4000" "buy_sell=S" "currency=GBP" "link="</t>
  </si>
  <si>
    <t>04/03/20 08:03:41 10288 (10.152.26.31) : Read: "record_type=QUR" "reply_reason=0" "agency_time=2020-03-04 08:03:42.112" "bid_price=0" "bid_size=0" "buy_sell=S" "control_ref=a96938e0-5dee-11ea-9b20-005056a25061" "counterparty=277" "currency=GBP" "device=Aitken" "epic=LLOY" "isin=GB0008706128" "link=331" "market_maker=331" "offer_price=0.48125" "offer_size=375000" "professional=N" "ps_bid_price=0" "ps_offer_price=0.48125" "quantity=4000" "rsp=IHCSGB21002" "sent_time=2020-03-04 08:03:42.112" "serial_number=1865696271" "settlement_date=20200401" "system=Equity" "t+=20" "time=29021" "user=tdw" "user_details=0111249"</t>
  </si>
  <si>
    <t>04/03/20 08:03:41 10288: Quo reply :                       ICV        GB0008706128                                                    331 4000        B20200401 20     87        48.125             30 LSF     0870612 LLOY.L                        LLOY  GB0008706128    GBXGB   LLOY.L  0111249                    331</t>
  </si>
  <si>
    <t>04/03/20 08:03:41 11888 (10.152.26.32) : Got quo request:                      ICV        GB00BD8QVC95                                                        99876       S20200306  2                                     LSC     BD8QVC9 ESL.L                         ESL   GB00BD8QVC95    GBXGB   ESL.L   4662348                    GBP</t>
  </si>
  <si>
    <t>04/03/20 08:03:41 11888 (10.152.26.32) : Sending....: 0265"record_type=QU" "user=tdw" "counterparty=277" "device=Aitken" "system=Equity" "time=29021" "quantity=99876" "buy_sell=B" "isin=GB00BD8QVC95" "epic=ESL" "t+=2" "settlement_date=20200306" "user_details=4662348" "quantity=99876" "buy_sell=B" "currency=GBP" "link="</t>
  </si>
  <si>
    <t>04/03/20 08:03:41 11888 (10.152.26.32) : Read: "record_type=QUR" "reply_reason=99" "reply_message=No valid quote available" "agency_time=2020-03-04 08:03:42.172" "buy_sell=B" "counterparty=277" "currency=GBP" "device=Aitken" "epic=ESL" "isin=GB00BD8QVC95" "link=000" "professional=N" "quantity=99876" "system=Equity" "t+=2" "time=20200304-08:03:42" "user=tdw" "user_details=4662348"</t>
  </si>
  <si>
    <t>04/03/20 08:03:41 11888: Quo reject : 10099 : No valid quote available</t>
  </si>
  <si>
    <t>04/03/20 08:03:43 9580 (10.152.26.30) : Got quo request:                      ICV        GB0008706128                                                        450         B20200306  2                                     LSF     0870612 LLOY.L                        LLOY  GB0008706128    GBXGB   LLOY.L  4716953                    GBP</t>
  </si>
  <si>
    <t>04/03/20 08:03:43 9580 (10.152.26.30) : Sending....: 0262"record_type=QU" "user=tdw" "counterparty=277" "device=Aitken" "system=Equity" "time=29023" "quantity=450" "buy_sell=S" "isin=GB0008706128" "epic=LLOY" "t+=2" "settlement_date=20200306" "user_details=4716953" "quantity=450" "buy_sell=S" "currency=GBP" "link="</t>
  </si>
  <si>
    <t>04/03/20 08:03:45 9580 (10.152.26.30) : Read: "record_type=QUR" "reply_reason=0" "agency_time=2020-03-04 08:03:45.445" "bid_price=0" "bid_size=0" "buy_sell=S" "control_ref=aadec942-5dee-11ea-8533-005056a25061" "counterparty=277" "currency=GBP" "device=Aitken" "epic=LLOY" "isin=GB0008706128" "link=801" "market_maker=801" "offer_price=0.48043" "offer_size=8000" "professional=N" "ps_bid_price=0" "ps_offer_price=0.48043" "quantity=450" "rsp=WNTSGB2LBIC" "sent_time=2020-03-04 08:03:45.445" "serial_number=264456676" "settlement_date=20200306" "system=Equity" "t+=2" "time=29023" "user=tdw" "user_details=4716953" "quotation_amount=1"</t>
  </si>
  <si>
    <t>04/03/20 08:03:45 9580: Quo reply :                       ICV        GB0008706128                                                    801 450         B20200306  2     88        48.043             30 LSF     0870612 LLOY.L                        LLOY  GB0008706128    GBXGB   LLOY.L  4716953                    801</t>
  </si>
  <si>
    <t>04/03/20 08:03:45 6048 (10.152.26.32) : Got quo request:                      ICV        GB00B580MF54                                                        50000       S20200306  2                                     LSB     B580MF5 HUR.L                         HUR   GB00B580MF54    GBXGB   HUR.L   0909675                    GBP</t>
  </si>
  <si>
    <t>04/03/20 08:03:45 6048 (10.152.26.32) : Sending....: 0265"record_type=QU" "user=tdw" "counterparty=277" "device=Aitken" "system=Equity" "time=29025" "quantity=50000" "buy_sell=B" "isin=GB00B580MF54" "epic=HUR" "t+=2" "settlement_date=20200306" "user_details=0909675" "quantity=50000" "buy_sell=B" "currency=GBP" "link="</t>
  </si>
  <si>
    <t>04/03/20 08:03:45 6048 (10.152.26.32) : Read: "record_type=QUR" "reply_reason=0" "agency_time=2020-03-04 08:03:45.693" "bid_price=0.149265" "bid_size=150000" "buy_sell=B" "control_ref=abecdfae-5dee-11ea-b7e7-005056a25061" "counterparty=277" "currency=GBP" "device=Aitken" "epic=HUR" "isin=GB00B580MF54" "link=801" "market_maker=801" "offer_price=0" "offer_size=0" "professional=N" "ps_bid_price=0.149265" "ps_offer_price=0" "quantity=50000" "rsp=WNTSGB2LBIC" "sent_time=2020-03-04 08:03:45.693" "serial_number=2093607960" "settlement_date=20200306" "system=Equity" "t+=2" "time=29025" "user=tdw" "user_details=0909675" "quotation_amount=1"</t>
  </si>
  <si>
    <t>04/03/20 08:03:45 6048: Quo reply :                       ICV        GB00B580MF54                                                    801 50000       S20200306  2     89        14.9265            30 LSB     B580MF5 HUR.L                         HUR   GB00B580MF54    GBXGB   HUR.L   0909675                    801</t>
  </si>
  <si>
    <t>04/03/20 08:03:47 9236 (10.152.26.31)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</si>
  <si>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08:03:47 9236 (10.152.26.31) : Sending....: 0264"record_type=QU" "user=tdw" "counterparty=277" "device=Aitken" "system=Equity" "time=29027" "quantity=5000" "buy_sell=S" "isin=JE00B5TT1872" "epic=CEY" "t+=20" "settlement_date=20200401" "user_details=0426920" "quantity=5000" "buy_sell=S" "currency=GBP" "link="</t>
  </si>
  <si>
    <t>04/03/20 08:03:47 9236 (10.152.26.31) : Read: "record_type=QUR" "reply_reason=0" "agency_time=2020-03-04 08:03:48.260" "bid_price=0" "bid_size=0" "buy_sell=S" "control_ref=ad2dd922-5dee-11ea-969b-005056a25061" "counterparty=277" "currency=GBP" "device=Aitken" "epic=CEY" "isin=JE00B5TT1872" "link=331" "market_maker=331" "offer_price=1.411" "offer_size=50000" "professional=N" "ps_bid_price=0" "ps_offer_price=1.411" "quantity=5000" "rsp=IHCSGB21002" "sent_time=2020-03-04 08:03:48.260" "serial_number=608667644" "settlement_date=20200401" "system=Equity" "t+=20" "time=29027" "user=tdw" "user_details=0426920"</t>
  </si>
  <si>
    <t>04/03/20 08:03:47 9236: Quo reply :                       ICV        JE00B5TT1872                                                    331 5000        B20200401 20     90        141.1              30 LSA     B5TT187 CEY.L                         CEY   JE00B5TT1872    GBXJE   CEY.L   0426920                    331</t>
  </si>
  <si>
    <t>04/03/20 08:03:48 11996 (10.152.26.32)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</si>
  <si>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08:03:48 11996 (10.152.26.32) : Sending....: 0264"record_type=QU" "user=tdw" "counterparty=277" "device=Aitken" "system=Equity" "time=29028" "quantity=5029" "buy_sell=B" "isin=GB00B17BBQ50" "epic=INVP" "t+=2" "settlement_date=20200306" "user_details=0680395" "quantity=5029" "buy_sell=B" "currency=GBP" "link="</t>
  </si>
  <si>
    <t>04/03/20 08:03:48 11996 (10.152.26.32) : Read: "record_type=QUR" "reply_reason=0" "agency_time=2020-03-04 08:03:49.152" "bid_price=3.948346" "bid_size=6450" "buy_sell=B" "control_ref=addc2cfc-5dee-11ea-a3a7-005056a25061" "counterparty=277" "currency=GBP" "device=Aitken" "epic=INVP.L" "isin=GB00B17BBQ50" "link=871" "market_maker=871" "offer_price=0" "offer_size=0" "professional=N" "ps_bid_price=3.948346" "ps_offer_price=0" "quantity=5029" "rsp=PLHCGB3LBIC" "sent_time=2020-03-04 08:03:49.152" "serial_number=1330790316" "settlement_date=20200306" "system=Equity" "t+=2" "time=29028" "user=tdw" "user_details=0680395"</t>
  </si>
  <si>
    <t>04/03/20 08:03:48 11996: Quo reply :                       ICV        GB00B17BBQ50                                                    871 5029        S20200306  2     91        394.8346           30 LSA     B17BBQ5 INVP.L                        INVP  GB00B17BBQ50    GBXGB   INVP.L  0680395                    871</t>
  </si>
  <si>
    <t>04/03/20 08:03:48 12900 (10.152.26.30) : Got quo request:                      ICV        GB0031544546                                                        5000        S20200306  2                                     LSB     3154454 POG.L                         POG   GB0031544546    GBXGB   POG.L   0291654                    GBP</t>
  </si>
  <si>
    <t>04/03/20 08:03:48 12900 (10.152.26.30) : Sending....: 0263"record_type=QU" "user=tdw" "counterparty=277" "device=Aitken" "system=Equity" "time=29028" "quantity=5000" "buy_sell=B" "isin=GB0031544546" "epic=POG" "t+=2" "settlement_date=20200306" "user_details=0291654" "quantity=5000" "buy_sell=B" "currency=GBP" "link="</t>
  </si>
  <si>
    <t>04/03/20 08:03:49 12900 (10.152.26.30) : Read: "record_type=QUR" "reply_reason=0" "agency_time=2020-03-04 08:03:49.657" "bid_price=0.203951" "bid_size=25000" "buy_sell=B" "control_ref=ae08a6e2-5dee-11ea-b2f1-005056a25061" "counterparty=277" "currency=GBP" "device=Aitken" "epic=POG.L" "isin=GB0031544546" "link=871" "market_maker=871" "offer_price=0" "offer_size=0" "professional=N" "ps_bid_price=0.203951" "ps_offer_price=0" "quantity=5000" "rsp=PLHCGB3LBIC" "sent_time=2020-03-04 08:03:49.657" "serial_number=633552908" "settlement_date=20200306" "system=Equity" "t+=2" "time=29028" "user=tdw" "user_details=0291654"</t>
  </si>
  <si>
    <t>04/03/20 08:03:49 12900: Quo reply :                       ICV        GB0031544546                                                    871 5000        S20200306  2     92        20.3951            30 LSB     3154454 POG.L                         POG   GB0031544546    GBXGB   POG.L   0291654                    871</t>
  </si>
  <si>
    <t>04/03/20 08:03:50 12728 (10.152.26.31) : Got quo request:                      ICV        GB00B1FQDL10                                                        7582        B20200306  2                                     LSC     B1FQDL1 ZOO.L                         ZOO   GB00B1FQDL10    GBXGB   ZOO.L   2233427                    GBP</t>
  </si>
  <si>
    <t>04/03/20 08:03:50 12728 (10.152.26.31) : Sending....: 0263"record_type=QU" "user=tdw" "counterparty=277" "device=Aitken" "system=Equity" "time=29030" "quantity=7582" "buy_sell=S" "isin=GB00B1FQDL10" "epic=ZOO" "t+=2" "settlement_date=20200306" "user_details=2233427" "quantity=7582" "buy_sell=S" "currency=GBP" "link="</t>
  </si>
  <si>
    <t>04/03/20 08:03:51 12728 (10.152.26.31) : Read: "record_type=QUR" "reply_reason=0" "agency_time=2020-03-04 08:03:52.368" "bid_price=0" "bid_size=0" "buy_sell=S" "control_ref=af464a00-5dee-11ea-928f-005056a25061" "counterparty=277" "currency=GBP" "device=Aitken" "epic=ZOO" "isin=GB00B1FQDL10" "link=791" "market_maker=791" "offer_price=0.5275" "offer_size=16500" "professional=N" "ps_bid_price=0" "ps_offer_price=0.5275" "quantity=7582" "rsp=BEGODEHH" "sent_time=2020-03-04 08:03:52.368" "serial_number=761462273" "settlement_date=20200306" "system=Equity" "t+=2" "time=29030" "user=tdw" "user_details=2233427"</t>
  </si>
  <si>
    <t>04/03/20 08:03:51 12728: Quo reply :                       ICV        GB00B1FQDL10                                                    791 7582        B20200306  2     93        52.75              30 LSC     B1FQDL1 ZOO.L                         ZOO   GB00B1FQDL10    GBXGB   ZOO.L   2233427                    791</t>
  </si>
  <si>
    <t>04/03/20 08:03:52 5992 (10.152.26.30) : Got quo request:                      ICV        GB0008706128                                                        50000       B20200401 20                                     LSF     0870612 LLOY.L                        LLOY  GB0008706128    GBXGB   LLOY.L  9303574                    GBP</t>
  </si>
  <si>
    <t>04/03/20 08:03:52 5992 (10.152.26.30) : Sending....: 0267"record_type=QU" "user=tdw" "counterparty=277" "device=Aitken" "system=Equity" "time=29032" "quantity=50000" "buy_sell=S" "isin=GB0008706128" "epic=LLOY" "t+=20" "settlement_date=20200401" "user_details=9303574" "quantity=50000" "buy_sell=S" "currency=GBP" "link="</t>
  </si>
  <si>
    <t>04/03/20 08:03:53 5992 (10.152.26.30) : Read: "record_type=QUR" "reply_reason=0" "agency_time=2020-03-04 08:03:53.878" "bid_price=0" "bid_size=0" "buy_sell=S" "control_ref=b06cb2c0-5dee-11ea-a669-005056a25061" "counterparty=277" "currency=GBP" "device=Aitken" "epic=LLOY" "isin=GB0008706128" "link=331" "market_maker=331" "offer_price=0.4814" "offer_size=375000" "professional=N" "ps_bid_price=0" "ps_offer_price=0.4814" "quantity=50000" "rsp=IHCSGB21002" "sent_time=2020-03-04 08:03:53.878" "serial_number=1445662983" "settlement_date=20200401" "system=Equity" "t+=20" "time=29032" "user=tdw" "user_details=9303574"</t>
  </si>
  <si>
    <t>04/03/20 08:03:53 5992: Quo reply :                       ICV        GB0008706128                                                    331 50000       B20200401 20     94        48.14              30 LSF     0870612 LLOY.L                        LLOY  GB0008706128    GBXGB   LLOY.L  9303574                    331</t>
  </si>
  <si>
    <t>04/03/20 08:03:53 11108 (10.152.26.32) : Got quo request:                      ICV        GB0007980591                                                        7911        B20200306  2                                     LSF     0798059 BP..L                         BP.   GB0007980591    GBXGB   BP..L   2260252                    GBP</t>
  </si>
  <si>
    <t>04/03/20 08:03:53 11108 (10.152.26.32) : Sending....: 0263"record_type=QU" "user=tdw" "counterparty=277" "device=Aitken" "system=Equity" "time=29033" "quantity=7911" "buy_sell=S" "isin=GB0007980591" "epic=BP." "t+=2" "settlement_date=20200306" "user_details=2260252" "quantity=7911" "buy_sell=S" "currency=GBP" "link="</t>
  </si>
  <si>
    <t>04/03/20 08:03:53 11108 (10.152.26.32) : Read: "record_type=QUR" "reply_reason=0" "agency_time=2020-03-04 08:03:54.264" "bid_price=0" "bid_size=0" "buy_sell=S" "control_ref=b0d8d0ea-5dee-11ea-b648-005056a25061" "counterparty=277" "currency=GBP" "device=Aitken" "epic=BP." "isin=GB0007980591" "link=331" "market_maker=331" "offer_price=4.1615" "offer_size=10000" "professional=N" "ps_bid_price=0" "ps_offer_price=4.1615" "quantity=7911" "rsp=IHCSGB21002" "sent_time=2020-03-04 08:03:54.264" "serial_number=550741198" "settlement_date=20200306" "system=Equity" "t+=2" "time=29033" "user=tdw" "user_details=2260252"</t>
  </si>
  <si>
    <t>04/03/20 08:03:53 11108: Quo reply :                       ICV        GB0007980591                                                    331 7911        B20200306  2     95        416.15             30 LSF     0798059 BP..L                         BP.   GB0007980591    GBXGB   BP..L   2260252                    331</t>
  </si>
  <si>
    <t>04/03/20 08:03:55 8992(10.152.26.30) : Got exe request:                      ICV        JE00BG6L7297                                                    296.903100         1500        BABGBXA 86                             Y                                                     0057345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871 JE     BOO.L   00</t>
  </si>
  <si>
    <t>04/03/20 08:03:55 8992 (10.152.26.30) : Sending....: 0299"record_type=DE" "user=tdw" "counterparty=277" "device=Aitken" "system=Equity" "time=29035" "isin=JE00BG6L7297" "epic=BOO" "serial_number=1486378413" "buy_sell=S" "quantity=1500" "t+=2" "currency=GBP" "booking_c/party=" "settlement_date=20200306" "user_details=0057345" "market_maker=871" "link="</t>
  </si>
  <si>
    <t>04/03/20 08:03:55 8992 (10.152.26.30) : Read: "record_type=DER" "reply_reason=0" "agency_time=2020-03-04 08:03:55.394" "bargain_ref=080340G06434dc-1" "buy_sell=S" "control_ref=080340G06434dc" "counterparty=277" "currency=GBP" "deal_time=08:03:55" "device=Aitken" "epic=BOO.L" "execution_venue=AIMX" "isin=JE00BG6L7297" "market_maker=871" "price=2.969031" "professional=N" "quantity=1500" "sent_time=2020-03-04 08:03:55.378" "serial_number=080340G06434dc-1" "settlement_date=20200306" "system=Equity" "t+=2" "time=29035" "user=tdw" "user_details=0057345"</t>
  </si>
  <si>
    <t>04/03/20 08:03:55 8992: Exe reply :                       ICV        JE00BG6L7297                                                    296.903100         1500        BABGBXA 86                             Y                                                     0057345                                                                                                                                                                                                                                                                       080340G06434dc20200306     080340G06420200304080355   296.9031              1500                871 JE     BOO.L   02</t>
  </si>
  <si>
    <t>04/03/20 08:03:55 4124 (10.152.26.31) : Got quo request:                      ICV        GB00B01JLR99                                                        5000        B20200306  2                                     LSE     B01JLR9 NANO.L                        NANO  GB00B01JLR99    GBXGB   NANO.L  8814837                    GBP</t>
  </si>
  <si>
    <t>04/03/20 08:03:55 4124 (10.152.26.31) : Sending....: 0264"record_type=QU" "user=tdw" "counterparty=277" "device=Aitken" "system=Equity" "time=29035" "quantity=5000" "buy_sell=S" "isin=GB00B01JLR99" "epic=NANO" "t+=2" "settlement_date=20200306" "user_details=8814837" "quantity=5000" "buy_sell=S" "currency=GBP" "link="</t>
  </si>
  <si>
    <t>04/03/20 08:03:56 4124 (10.152.26.31) : Read: "record_type=QUR" "reply_reason=99" "reply_message=No valid quote available" "agency_time=2020-03-04 08:03:56.917" "buy_sell=S" "counterparty=277" "currency=GBP" "device=Aitken" "epic=NANO" "isin=GB00B01JLR99" "link=000" "professional=N" "quantity=5000" "system=Equity" "t+=2" "time=20200304-08:03:56" "user=tdw" "user_details=8814837"</t>
  </si>
  <si>
    <t>04/03/20 08:03:56 4124: Quo reject : 10099 : No valid quote available</t>
  </si>
  <si>
    <t>04/03/20 08:03:56 11888 (10.152.26.32) : Got quo request:                      ICV        GB00B1XLC220                                                        89911       S20200306  2                                     LSC     B1XLC22 WSG.L                         WSG   GB00B1XLC220    GBXGB   WSG.L   0864022                    GBP</t>
  </si>
  <si>
    <t>04/03/20 08:03:56 11888 (10.152.26.32) : Sending....: 0265"record_type=QU" "user=tdw" "counterparty=277" "device=Aitken" "system=Equity" "time=29036" "quantity=89911" "buy_sell=B" "isin=GB00B1XLC220" "epic=WSG" "t+=2" "settlement_date=20200306" "user_details=0864022" "quantity=89911" "buy_sell=B" "currency=GBP" "link="</t>
  </si>
  <si>
    <t>04/03/20 08:03:57 11888 (10.152.26.32) : Read: "record_type=QUR" "reply_reason=0" "agency_time=2020-03-04 08:03:57.681" "bid_price=0.102501" "bid_size=100000" "buy_sell=B" "control_ref=b2b77cc2-5dee-11ea-90ea-005056a25061" "counterparty=277" "currency=GBP" "device=Aitken" "epic=WSG.L" "isin=GB00B1XLC220" "link=871" "market_maker=871" "offer_price=0" "offer_size=0" "professional=N" "ps_bid_price=0.102501" "ps_offer_price=0" "quantity=89911" "rsp=PLHCGB3LBIC" "sent_time=2020-03-04 08:03:57.681" "serial_number=1407041144" "settlement_date=20200306" "system=Equity" "t+=2" "time=29036" "user=tdw" "user_details=0864022"</t>
  </si>
  <si>
    <t>04/03/20 08:03:57 11888: Quo reply :                       ICV        GB00B1XLC220                                                    871 89911       S20200306  2     96        10.2501            30 LSC     B1XLC22 WSG.L                         WSG   GB00B1XLC220    GBXGB   WSG.L   0864022                    871</t>
  </si>
  <si>
    <t>04/03/20 08:03:58 5992 (10.152.26.30) : Got quo request:                      ICV        GB0005991111                                                        4000        S20200306  2                                     LSC     0599111 MPAC.L                        MPAC  GB0005991111    GBXGB   MPAC.L  8809650                    GBP</t>
  </si>
  <si>
    <t>04/03/20 08:03:58 5992 (10.152.26.30) : Sending....: 0264"record_type=QU" "user=tdw" "counterparty=277" "device=Aitken" "system=Equity" "time=29038" "quantity=4000" "buy_sell=B" "isin=GB0005991111" "epic=MPAC" "t+=2" "settlement_date=20200306" "user_details=8809650" "quantity=4000" "buy_sell=B" "currency=GBP" "link="</t>
  </si>
  <si>
    <t>04/03/20 08:03:58 5992 (10.152.26.30) : Read: "record_type=QUR" "reply_reason=0" "agency_time=2020-03-04 08:03:59.055" "bid_price=3.2075" "bid_size=4375" "buy_sell=B" "control_ref=b386f5ec-5dee-11ea-b2ad-005056a25061" "counterparty=277" "currency=GBP" "device=Aitken" "epic=MPAC" "isin=GB0005991111" "link=589" "market_maker=589" "offer_price=0" "offer_size=0" "professional=N" "ps_bid_price=3.2075" "ps_offer_price=0" "quantity=4000" "rsp=SHOCGB21" "sent_time=2020-03-04 08:03:59.055" "serial_number=2115491842" "settlement_date=20200306" "system=Equity" "t+=2" "time=29038" "user=tdw" "user_details=8809650"</t>
  </si>
  <si>
    <t>04/03/20 08:03:58 5992: Quo reply :                       ICV        GB0005991111                                                    589 4000        S20200306  2     97        320.75             30 LSC     0599111 MPAC.L                        MPAC  GB0005991111    GBXGB   MPAC.L  8809650                    589</t>
  </si>
  <si>
    <t>04/03/20 08:03:58 5088 (10.152.26.35) : Got quo request:                      ICV        GB0031348658                                                        1653        B20200306  2                                     LSF     3134865 BARC.L                        BARC  GB0031348658    GBXGB   BARC.L  2264058                    GBP</t>
  </si>
  <si>
    <t>04/03/20 08:03:58 5088 (10.152.26.35) : Sending....: 0264"record_type=QU" "user=tdw" "counterparty=277" "device=Aitken" "system=Equity" "time=29038" "quantity=1653" "buy_sell=S" "isin=GB0031348658" "epic=BARC" "t+=2" "settlement_date=20200306" "user_details=2264058" "quantity=1653" "buy_sell=S" "currency=GBP" "link="</t>
  </si>
  <si>
    <t>04/03/20 08:04:00 5088 (10.152.26.35) : Read: "record_type=QUR" "reply_reason=0" "agency_time=2020-03-04 08:04:00.381" "bid_price=0" "bid_size=0" "buy_sell=S" "control_ref=b4083026-5dee-11ea-9675-005056a25061" "counterparty=277" "currency=GBP" "device=Aitken" "epic=BARC" "isin=GB0031348658" "link=801" "market_maker=801" "offer_price=1.3911" "offer_size=4000" "professional=N" "ps_bid_price=0" "ps_offer_price=1.3911" "quantity=1653" "rsp=WNTSGB2LBIC" "sent_time=2020-03-04 08:04:00.381" "serial_number=1663775762" "settlement_date=20200306" "system=Equity" "t+=2" "time=29038" "user=tdw" "user_details=2264058" "quotation_amount=1"</t>
  </si>
  <si>
    <t>04/03/20 08:04:00 5088: Quo reply :                       ICV        GB0031348658                                                    801 1653        B20200306  2     98        139.11             30 LSF     3134865 BARC.L                        BARC  GB0031348658    GBXGB   BARC.L  2264058                    801</t>
  </si>
  <si>
    <t>04/03/20 08:04:00 10288 (10.152.26.31)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</si>
  <si>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08:04:00 10288 (10.152.26.31) : Sending....: 0264"record_type=QU" "user=tdw" "counterparty=277" "device=Aitken" "system=Equity" "time=29040" "quantity=5029" "buy_sell=B" "isin=GB00B17BBQ50" "epic=INVP" "t+=2" "settlement_date=20200306" "user_details=0680395" "quantity=5029" "buy_sell=B" "currency=GBP" "link="</t>
  </si>
  <si>
    <t>04/03/20 08:04:00 10288 (10.152.26.31) : Read: "record_type=QUR" "reply_reason=0" "agency_time=2020-03-04 08:04:00.498" "bid_price=3.949828" "bid_size=6450" "buy_sell=B" "control_ref=b4b90766-5dee-11ea-990a-005056a25061" "counterparty=277" "currency=GBP" "device=Aitken" "epic=INVP.L" "isin=GB00B17BBQ50" "link=871" "market_maker=871" "offer_price=0" "offer_size=0" "professional=N" "ps_bid_price=3.949828" "ps_offer_price=0" "quantity=5029" "rsp=PLHCGB3LBIC" "sent_time=2020-03-04 08:04:00.498" "serial_number=755954301" "settlement_date=20200306" "system=Equity" "t+=2" "time=29040" "user=tdw" "user_details=0680395"</t>
  </si>
  <si>
    <t>04/03/20 08:04:00 10288: Quo reply :                       ICV        GB00B17BBQ50                                                    871 5029        S20200306  2     99        394.9828           30 LSA     B17BBQ5 INVP.L                        INVP  GB00B17BBQ50    GBXGB   INVP.L  0680395                    871</t>
  </si>
  <si>
    <t>04/03/20 08:04:00 6048 (10.152.26.32) : Got quo request:                      ICV        GB00B95L0551                                                        977500      B20200306  2                                     LSE     B95L055 RBD.L                         RBD   GB00B95L0551    GBXGB   RBD.L   1069549                    GBP</t>
  </si>
  <si>
    <t>04/03/20 08:04:00 6048 (10.152.26.32) : Sending....: 0267"record_type=QU" "user=tdw" "counterparty=277" "device=Aitken" "system=Equity" "time=29040" "quantity=977500" "buy_sell=S" "isin=GB00B95L0551" "epic=RBD" "t+=2" "settlement_date=20200306" "user_details=1069549" "quantity=977500" "buy_sell=S" "currency=GBP" "link="</t>
  </si>
  <si>
    <t>04/03/20 08:04:01 6048 (10.152.26.32) : Read: "record_type=QUR" "reply_reason=0" "agency_time=2020-03-04 08:04:01.563" "bid_price=0" "bid_size=0" "buy_sell=S" "control_ref=b5012a14-5dee-11ea-ab9e-005056a25061" "counterparty=277" "currency=GBP" "device=Aitken" "epic=RBD" "isin=GB00B95L0551" "link=006" "market_maker=006" "offer_price=0.00589" "offer_size=1000000" "professional=N" "ps_bid_price=0" "ps_offer_price=0.00589" "quantity=977500" "rsp=STNOGB21" "sent_time=2020-03-04 08:04:01.563" "serial_number=716225301" "settlement_date=20200306" "system=Equity" "t+=2" "time=29040" "user=tdw" "user_details=1069549"</t>
  </si>
  <si>
    <t>04/03/20 08:04:01 6048: Quo reply :                       ICV        GB00B95L0551                                                    006 977500      B20200306  2     100       0.589              30 LSE     B95L055 RBD.L                         RBD   GB00B95L0551    GBXGB   RBD.L   1069549                    006</t>
  </si>
  <si>
    <t>04/03/20 08:04:01 13112(10.152.26.35) : Got exe request:                      ICV        GB0031348658                                                    139.110000         1653        BABGBXA 98                             Y                                                     2264058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GB     BARC.L  00</t>
  </si>
  <si>
    <t>04/03/20 08:04:01 13112 (10.152.26.35) : Sending....: 0300"record_type=DE" "user=tdw" "counterparty=277" "device=Aitken" "system=Equity" "time=29041" "isin=GB0031348658" "epic=BARC" "serial_number=1663775762" "buy_sell=S" "quantity=1653" "t+=2" "currency=GBP" "booking_c/party=" "settlement_date=20200306" "user_details=2264058" "market_maker=801" "link="</t>
  </si>
  <si>
    <t>04/03/20 08:04:01 13112 (10.152.26.35) : Read: "record_type=DER" "reply_reason=0" "agency_time=2020-03-04 08:04:01.593" "bargain_ref=1824407307" "buy_sell=S" "control_ref=1824407307" "counterparty=277" "currency=GBP" "deal_time=08:04:01" "device=Aitken" "epic=BARC" "execution_venue=XLON" "isin=GB0031348658" "market_maker=801" "price=1.3911" "professional=N" "quantity=1653." "sent_time=2020-03-04 08:04:01.566" "serial_number=1824407307" "settlement_date=20200306" "system=Equity" "t+=2" "time=29041" "user=tdw" "user_details=2264058" "quotation_amount=1"</t>
  </si>
  <si>
    <t>04/03/20 08:04:01 13112: Exe reply :                       ICV        GB0031348658                                                    139.110000         1653        BABGBXA 98                             Y                                                     2264058                                                                                                                                                                                                                                                                       1824407307    20200306     182440730720200304080401   139.11                1653                801 GB     BARC.L  02</t>
  </si>
  <si>
    <t>04/03/20 08:04:01 11996(10.152.26.32) : Got exe request:                      ICV        GB0005991111                                                    320.750000         4000        SABGBXA 97                             Y                                                     8809650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589 GB     MPAC.L  00</t>
  </si>
  <si>
    <t>04/03/20 08:04:01 11996 (10.152.26.32) : Sending....: 0300"record_type=DE" "user=tdw" "counterparty=277" "device=Aitken" "system=Equity" "time=29041" "isin=GB0005991111" "epic=MPAC" "serial_number=2115491842" "buy_sell=B" "quantity=4000" "t+=2" "currency=GBP" "booking_c/party=" "settlement_date=20200306" "user_details=8809650" "market_maker=589" "link="</t>
  </si>
  <si>
    <t>04/03/20 08:04:01 11996 (10.152.26.32) : Read: "record_type=DER" "reply_reason=0" "agency_time=2020-03-04 08:04:01.704" "bargain_ref=0919418029LOA2-1" "buy_sell=B" "control_ref=0066412387LOA1" "counterparty=277" "currency=GBP" "deal_time=08:04:01" "device=Aitken" "epic=MPAC" "execution_venue=AIMX" "isin=GB0005991111" "market_maker=589" "price=3.2075" "professional=N" "quantity=4000" "sent_time=2020-03-04 08:04:01.638" "serial_number=0919418029LOA2-1" "settlement_date=20200306" "system=Equity" "t+=2" "time=29041" "user=tdw" "user_details=8809650"</t>
  </si>
  <si>
    <t>04/03/20 08:04:01 11996: Exe reply :                       ICV        GB0005991111                                                    320.750000         4000        SABGBXA 97                             Y                                                     8809650                                                                                                                                                                                                                                                                       0919418029LOA220200306     091941802920200304080401   320.75                4000                589 GB     MPAC.L  02</t>
  </si>
  <si>
    <t>04/03/20 08:04:04 12900 (10.152.26.30) : Got quo request:                      ICV        GB0009589168                                                        12748       B20200306  2                                     LSE     0958916 SYM.L                         SYM   GB0009589168    GBXGB   SYM.L   0627928                    GBP</t>
  </si>
  <si>
    <t>04/03/20 08:04:04 12900 (10.152.26.30) : Sending....: 0265"record_type=QU" "user=tdw" "counterparty=277" "device=Aitken" "system=Equity" "time=29044" "quantity=12748" "buy_sell=S" "isin=GB0009589168" "epic=SYM" "t+=2" "settlement_date=20200306" "user_details=0627928" "quantity=12748" "buy_sell=S" "currency=GBP" "link="</t>
  </si>
  <si>
    <t>04/03/20 08:04:04 12900 (10.152.26.30) : Read: "record_type=QUR" "reply_reason=99" "reply_message=No valid quote available" "agency_time=2020-03-04 08:04:05.198" "buy_sell=S" "counterparty=277" "currency=GBP" "device=Aitken" "epic=SYM" "isin=GB0009589168" "link=000" "professional=N" "quantity=12748" "system=Equity" "t+=2" "time=20200304-08:04:05" "user=tdw" "user_details=0627928"</t>
  </si>
  <si>
    <t>04/03/20 08:04:04 12900: Quo reject : 10099 : No valid quote available</t>
  </si>
  <si>
    <t>04/03/20 08:04:04 11108 (10.152.26.32) : Got quo request:                      ICV        FR0010397232                                                        2092        S20200306  2                                     LSC     BF16YK9 NCYT.L                        NCYT  FR0010397232    GBXGB   NCYT.L  1020387                    GBP</t>
  </si>
  <si>
    <t>04/03/20 08:04:04 11108 (10.152.26.32) : Sending....: 0264"record_type=QU" "user=tdw" "counterparty=277" "device=Aitken" "system=Equity" "time=29044" "quantity=2092" "buy_sell=B" "isin=FR0010397232" "epic=NCYT" "t+=2" "settlement_date=20200306" "user_details=1020387" "quantity=2092" "buy_sell=B" "currency=GBP" "link="</t>
  </si>
  <si>
    <t>04/03/20 08:04:04 11108 (10.152.26.32) : Read: "record_type=QUR" "reply_reason=99" "reply_message=No valid quote available" "agency_time=2020-03-04 08:04:05.343" "buy_sell=B" "counterparty=277" "currency=GBP" "device=Aitken" "epic=NCYT" "isin=FR0010397232" "link=000" "professional=N" "quantity=2092" "system=Equity" "t+=2" "time=20200304-08:04:05" "user=tdw" "user_details=1020387"</t>
  </si>
  <si>
    <t>04/03/20 08:04:04 11108: Quo reject : 10099 : No valid quote available</t>
  </si>
  <si>
    <t>04/03/20 08:04:05 9236 (10.152.26.31) : Got quo request:                      ICV        FR0010397232                                                        10000       S20200306  2                                     LSC     BF16YK9 NCYT.L                        NCYT  FR0010397232    GBXGB   NCYT.L  7055692                    GBP</t>
  </si>
  <si>
    <t>04/03/20 08:04:05 9236 (10.152.26.31) : Sending....: 0266"record_type=QU" "user=tdw" "counterparty=277" "device=Aitken" "system=Equity" "time=29045" "quantity=10000" "buy_sell=B" "isin=FR0010397232" "epic=NCYT" "t+=2" "settlement_date=20200306" "user_details=7055692" "quantity=10000" "buy_sell=B" "currency=GBP" "link="</t>
  </si>
  <si>
    <t>04/03/20 08:04:05 9236 (10.152.26.31) : Read: "record_type=QUR" "reply_reason=99" "reply_message=No valid quote available" "agency_time=2020-03-04 08:04:05.841" "buy_sell=B" "counterparty=277" "currency=GBP" "device=Aitken" "epic=NCYT" "isin=FR0010397232" "link=000" "professional=N" "quantity=10000" "system=Equity" "t+=2" "time=20200304-08:04:05" "user=tdw" "user_details=7055692"</t>
  </si>
  <si>
    <t>04/03/20 08:04:05 9236: Quo reject : 10099 : No valid quote available</t>
  </si>
  <si>
    <t>04/03/20 08:04:08 11888 (10.152.26.32) : Got quo request:                      ICV        GB0031852162                                                        300000      S20200306  2                                     LSC     3185216 JLP.L                         JLP   GB0031852162    GBXGB   JLP.L   4750100                    GBP</t>
  </si>
  <si>
    <t>04/03/20 08:04:08 11888 (10.152.26.32) : Sending....: 0267"record_type=QU" "user=tdw" "counterparty=277" "device=Aitken" "system=Equity" "time=29048" "quantity=300000" "buy_sell=B" "isin=GB0031852162" "epic=JLP" "t+=2" "settlement_date=20200306" "user_details=4750100" "quantity=300000" "buy_sell=B" "currency=GBP" "link="</t>
  </si>
  <si>
    <t>04/03/20 08:04:09 11888 (10.152.26.32) : Read: "record_type=QUR" "reply_reason=99" "reply_message=No valid quote available" "agency_time=2020-03-04 08:04:09.503" "buy_sell=B" "counterparty=277" "currency=GBP" "device=Aitken" "epic=JLP" "isin=GB0031852162" "link=000" "professional=N" "quantity=300000" "system=Equity" "t+=2" "time=20200304-08:04:08" "user=tdw" "user_details=4750100"</t>
  </si>
  <si>
    <t>04/03/20 08:04:09 11888: Quo reject : 10099 : No valid quote available</t>
  </si>
  <si>
    <t>04/03/20 08:04:09 12728 (10.152.26.31) : Got quo request:                      ICV        FR0010397232                                                        9995        S20200306  2                                     LSC     BF16YK9 NCYT.L                        NCYT  FR0010397232    GBXGB   NCYT.L  4695231                    GBP</t>
  </si>
  <si>
    <t>04/03/20 08:04:09 12728 (10.152.26.31) : Sending....: 0264"record_type=QU" "user=tdw" "counterparty=277" "device=Aitken" "system=Equity" "time=29049" "quantity=9995" "buy_sell=B" "isin=FR0010397232" "epic=NCYT" "t+=2" "settlement_date=20200306" "user_details=4695231" "quantity=9995" "buy_sell=B" "currency=GBP" "link="</t>
  </si>
  <si>
    <t>04/03/20 08:04:09 12728 (10.152.26.31) : Read: "record_type=QUR" "reply_reason=99" "reply_message=No valid quote available" "agency_time=2020-03-04 08:04:10.315" "buy_sell=B" "counterparty=277" "currency=GBP" "device=Aitken" "epic=NCYT" "isin=FR0010397232" "link=000" "professional=N" "quantity=9995" "system=Equity" "t+=2" "time=20200304-08:04:09" "user=tdw" "user_details=4695231"</t>
  </si>
  <si>
    <t>04/03/20 08:04:09 12728: Quo reject : 10099 : No valid quote available</t>
  </si>
  <si>
    <t>04/03/20 08:04:11 8992 (10.152.26.30) : Got quo request:                      ICV        FR0010397232                                                        10000       S20200306  2                                     LSC     BF16YK9 NCYT.L                        NCYT  FR0010397232    GBXGB   NCYT.L  7055692                    GBP</t>
  </si>
  <si>
    <t>04/03/20 08:04:11 8992 (10.152.26.30) : Sending....: 0266"record_type=QU" "user=tdw" "counterparty=277" "device=Aitken" "system=Equity" "time=29051" "quantity=10000" "buy_sell=B" "isin=FR0010397232" "epic=NCYT" "t+=2" "settlement_date=20200306" "user_details=7055692" "quantity=10000" "buy_sell=B" "currency=GBP" "link="</t>
  </si>
  <si>
    <t>04/03/20 08:04:11 8992 (10.152.26.30) : Read: "record_type=QUR" "reply_reason=0" "agency_time=2020-03-04 08:04:12.015" "bid_price=1.045" "bid_size=16500" "buy_sell=B" "control_ref=bba0a444-5dee-11ea-8fd7-005056a25061" "counterparty=277" "currency=GBP" "device=Aitken" "epic=NCYT" "isin=FR0010397232" "link=791" "market_maker=791" "offer_price=0" "offer_size=0" "professional=N" "ps_bid_price=1.045" "ps_offer_price=0" "quantity=10000" "rsp=BEGODEHH" "sent_time=2020-03-04 08:04:12.015" "serial_number=1144898620" "settlement_date=20200306" "system=Equity" "t+=2" "time=29051" "user=tdw" "user_details=7055692"</t>
  </si>
  <si>
    <t>04/03/20 08:04:11 8992: Quo reply :                       ICV        FR0010397232                                                    791 10000       S20200306  2     101       104.5              30 LSC     BF16YK9 NCYT.L                        NCYT  FR0010397232    GBXGB   NCYT.L  7055692                    791</t>
  </si>
  <si>
    <t>04/03/20 08:04:14 4124 (10.152.26.31) : Got quo request:                      ICV        FR0010397232                                                        2092        S20200306  2                                     LSC     BF16YK9 NCYT.L                        NCYT  FR0010397232    GBXGB   NCYT.L  1020387                    GBP</t>
  </si>
  <si>
    <t>04/03/20 08:04:14 4124 (10.152.26.31) : Sending....: 0264"record_type=QU" "user=tdw" "counterparty=277" "device=Aitken" "system=Equity" "time=29054" "quantity=2092" "buy_sell=B" "isin=FR0010397232" "epic=NCYT" "t+=2" "settlement_date=20200306" "user_details=1020387" "quantity=2092" "buy_sell=B" "currency=GBP" "link="</t>
  </si>
  <si>
    <t>04/03/20 08:04:14 4124 (10.152.26.31) : Read: "record_type=QUR" "reply_reason=0" "agency_time=2020-03-04 08:04:14.607" "bid_price=1.045" "bid_size=16500" "buy_sell=B" "control_ref=bd293aa6-5dee-11ea-bd0d-005056a25061" "counterparty=277" "currency=GBP" "device=Aitken" "epic=NCYT" "isin=FR0010397232" "link=791" "market_maker=791" "offer_price=0" "offer_size=0" "professional=N" "ps_bid_price=1.045" "ps_offer_price=0" "quantity=2092" "rsp=BEGODEHH" "sent_time=2020-03-04 08:04:14.607" "serial_number=1467341166" "settlement_date=20200306" "system=Equity" "t+=2" "time=29054" "user=tdw" "user_details=1020387"</t>
  </si>
  <si>
    <t>04/03/20 08:04:14 4124: Quo reply :                       ICV        FR0010397232                                                    791 2092        S20200306  2     102       104.5              30 LSC     BF16YK9 NCYT.L                        NCYT  FR0010397232    GBXGB   NCYT.L  1020387                    791</t>
  </si>
  <si>
    <t>04/03/20 08:04:16 6048 (10.152.26.32) : Got quo request:                      ICV        GB00BWFGQN14                                                        3           B20200306  2                                     LSD     BWFGQN1 SPX.L                         SPX   GB00BWFGQN14    GBXGB   SPX.L   4751103                    GBP</t>
  </si>
  <si>
    <t>04/03/20 08:04:16 6048 (10.152.26.32) : Sending....: 0257"record_type=QU" "user=tdw" "counterparty=277" "device=Aitken" "system=Equity" "time=29056" "quantity=3" "buy_sell=S" "isin=GB00BWFGQN14" "epic=SPX" "t+=2" "settlement_date=20200306" "user_details=4751103" "quantity=3" "buy_sell=S" "currency=GBP" "link="</t>
  </si>
  <si>
    <t>04/03/20 08:04:16 6048 (10.152.26.32) : Read: "record_type=QUR" "reply_reason=0" "agency_time=2020-03-04 08:04:16.625" "bid_price=0" "bid_size=0" "buy_sell=S" "control_ref=be5ff9d2-5dee-11ea-9409-005056a25061" "counterparty=277" "currency=GBP" "device=Aitken" "epic=SPX" "isin=GB00BWFGQN14" "link=801" "market_maker=801" "offer_price=87.54" "offer_size=100" "professional=N" "ps_bid_price=0" "ps_offer_price=87.54" "quantity=3" "rsp=WNTSGB2LBIC" "sent_time=2020-03-04 08:04:16.625" "serial_number=1730301619" "settlement_date=20200306" "system=Equity" "t+=2" "time=29056" "user=tdw" "user_details=4751103" "quotation_amount=1"</t>
  </si>
  <si>
    <t>04/03/20 08:04:16 6048: Quo reply :                       ICV        GB00BWFGQN14                                                    801 3           B20200306  2     103       8754               30 LSD     BWFGQN1 SPX.L                         SPX   GB00BWFGQN14    GBXGB   SPX.L   4751103                    801</t>
  </si>
  <si>
    <t>04/03/20 08:04:16 10288(10.152.26.31) : Got exe request:                      ICV        FR0010397232                                                    104.500000         2092        SABGBXA 102                            Y                                                     1020387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791 GB     NCYT.L  00</t>
  </si>
  <si>
    <t>04/03/20 08:04:16 10288 (10.152.26.31) : Sending....: 0300"record_type=DE" "user=tdw" "counterparty=277" "device=Aitken" "system=Equity" "time=29056" "isin=FR0010397232" "epic=NCYT" "serial_number=1467341166" "buy_sell=B" "quantity=2092" "t+=2" "currency=GBP" "booking_c/party=" "settlement_date=20200306" "user_details=1020387" "market_maker=791" "link="</t>
  </si>
  <si>
    <t>04/03/20 08:04:17 10288 (10.152.26.31) : Read: "record_type=DER" "reply_reason=0" "agency_time=2020-03-04 08:04:17.423" "bargain_ref=0017806010LOA1-1" "buy_sell=B" "control_ref=0066412403LOA1" "counterparty=277" "currency=GBP" "deal_time=08:04:17" "device=Aitken" "epic=NCYT" "execution_venue=AIMX" "isin=FR0010397232" "market_maker=791" "price=1.045" "professional=N" "quantity=2092" "sent_time=2020-03-04 08:04:16.937" "serial_number=0017806010LOA1-1" "settlement_date=20200306" "system=Equity" "t+=2" "time=29056" "user=tdw" "user_details=1020387"</t>
  </si>
  <si>
    <t>04/03/20 08:04:17 10288: Exe reply :                       ICV        FR0010397232                                                    104.500000         2092        SABGBXA 102                            Y                                                     1020387                                                                                                                                                                                                                                                                       0017806010LOA120200306     001780601020200304080416   104.5                 2092                791 GB     NCYT.L  02</t>
  </si>
  <si>
    <t>04/03/20 08:04:17 9580 (10.152.26.30) : Got quo request:                      ICV        JE00B4T3BW64                                                        10000       B20200306  2                                     LSF     B4T3BW6 GLEN.L                        GLEN  JE00B4T3BW64    GBXJE   GLEN.L  0901072                    GBP</t>
  </si>
  <si>
    <t>04/03/20 08:04:17 9580 (10.152.26.30) : Sending....: 0266"record_type=QU" "user=tdw" "counterparty=277" "device=Aitken" "system=Equity" "time=29057" "quantity=10000" "buy_sell=S" "isin=JE00B4T3BW64" "epic=GLEN" "t+=2" "settlement_date=20200306" "user_details=0901072" "quantity=10000" "buy_sell=S" "currency=GBP" "link="</t>
  </si>
  <si>
    <t>04/03/20 08:04:17 9580 (10.152.26.30) : Read: "record_type=QUR" "reply_reason=0" "agency_time=2020-03-04 08:04:17.960" "bid_price=0" "bid_size=0" "buy_sell=S" "control_ref=bf2ad08a-5dee-11ea-97ab-005056a25061" "counterparty=277" "currency=GBP" "device=Aitken" "epic=GLEN" "isin=JE00B4T3BW64" "link=331" "market_maker=331" "offer_price=1.9322" "offer_size=10000" "professional=N" "ps_bid_price=0" "ps_offer_price=1.9322" "quantity=10000" "rsp=IHCSGB21002" "sent_time=2020-03-04 08:04:17.960" "serial_number=1580781827" "settlement_date=20200306" "system=Equity" "t+=2" "time=29057" "user=tdw" "user_details=0901072"</t>
  </si>
  <si>
    <t>04/03/20 08:04:17 9580: Quo reply :                       ICV        JE00B4T3BW64                                                    331 10000       B20200306  2     104       193.22             30 LSF     B4T3BW6 GLEN.L                        GLEN  JE00B4T3BW64    GBXJE   GLEN.L  0901072                    331</t>
  </si>
  <si>
    <t>04/03/20 08:04:18 11996(10.152.26.32) : Got exe request:                      ICV        GB00BWFGQN14                                                    8754               3           BABGBXA 103                            Y                                                     4751103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GB     SPX.L   00</t>
  </si>
  <si>
    <t>04/03/20 08:04:18 11996 (10.152.26.32) : Sending....: 0296"record_type=DE" "user=tdw" "counterparty=277" "device=Aitken" "system=Equity" "time=29058" "isin=GB00BWFGQN14" "epic=SPX" "serial_number=1730301619" "buy_sell=S" "quantity=3" "t+=2" "currency=GBP" "booking_c/party=" "settlement_date=20200306" "user_details=4751103" "market_maker=801" "link="</t>
  </si>
  <si>
    <t>04/03/20 08:04:18 11996 (10.152.26.32) : Read: "record_type=DER" "reply_reason=0" "agency_time=2020-03-04 08:04:18.647" "bargain_ref=1824408166" "buy_sell=S" "control_ref=1824408166" "counterparty=277" "currency=GBP" "deal_time=08:04:18" "device=Aitken" "epic=SPX" "execution_venue=XLON" "isin=GB00BWFGQN14" "market_maker=801" "price=87.54" "professional=N" "quantity=3." "sent_time=2020-03-04 08:04:18.548" "serial_number=1824408166" "settlement_date=20200306" "system=Equity" "t+=2" "time=29058" "user=tdw" "user_details=4751103" "quotation_amount=1"</t>
  </si>
  <si>
    <t>04/03/20 08:04:18 11996: Exe reply :                       ICV        GB00BWFGQN14                                                    8754               3           BABGBXA 103                            Y                                                     4751103                                                                                                                                                                                                                                                                       1824408166    20200306     182440816620200304080418   8754                  3                   801 GB     SPX.L   02</t>
  </si>
  <si>
    <t>04/03/20 08:04:18 9236 (10.152.26.31) : Got quo request:                      ICV        JE00B5TT1872                                                        10000       B20200306  2                                     LSA     B5TT187 CEY.L                         CEY   JE00B5TT1872    GBXJE   CEY.L   0909675                    GBP</t>
  </si>
  <si>
    <t>04/03/20 08:04:18 9236 (10.152.26.31) : Sending....: 0265"record_type=QU" "user=tdw" "counterparty=277" "device=Aitken" "system=Equity" "time=29058" "quantity=10000" "buy_sell=S" "isin=JE00B5TT1872" "epic=CEY" "t+=2" "settlement_date=20200306" "user_details=0909675" "quantity=10000" "buy_sell=S" "currency=GBP" "link="</t>
  </si>
  <si>
    <t>04/03/20 08:04:19 9236 (10.152.26.31) : Read: "record_type=QUR" "reply_reason=99" "reply_message=No valid quote available" "agency_time=2020-03-04 08:04:19.598" "buy_sell=S" "counterparty=277" "currency=GBP" "device=Aitken" "epic=CEY" "isin=JE00B5TT1872" "link=000" "professional=N" "quantity=10000" "system=Equity" "t+=2" "time=20200304-08:04:19" "user=tdw" "user_details=0909675"</t>
  </si>
  <si>
    <t>04/03/20 08:04:19 9236: Quo reject : 10099 : No valid quote available</t>
  </si>
  <si>
    <t>04/03/20 08:04:20 5992(10.152.26.30) : Got exe request:                      ICV        FR0010397232                                                    104.500000         10000       SABGBXA 101                            Y                                                     7055692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791 GB     NCYT.L  00</t>
  </si>
  <si>
    <t>04/03/20 08:04:20 5992 (10.152.26.30) : Sending....: 0301"record_type=DE" "user=tdw" "counterparty=277" "device=Aitken" "system=Equity" "time=29060" "isin=FR0010397232" "epic=NCYT" "serial_number=1144898620" "buy_sell=B" "quantity=10000" "t+=2" "currency=GBP" "booking_c/party=" "settlement_date=20200306" "user_details=7055692" "market_maker=791" "link="</t>
  </si>
  <si>
    <t>04/03/20 08:04:20 5992 (10.152.26.30) : Read: "record_type=DER" "reply_reason=999" "agency_time=2020-03-04 08:04:20.772" "bargain_ref=0900000199" "buy_sell=B" "control_ref=NONE" "counterparty=277" "currency=GBP" "deal_time=08:04:20" "device=Aitken" "epic=NCYT" "isin=FR0010397232" "market_maker=791" "price=0.000000" "professional=N" "quantity=0" "sent_time=2020-03-04 08:04:20.743" "serial_number=0900000199" "settlement_date=20200306" "system=Equity" "t+=2" "time=29060" "user=tdw" "user_details=7055692" "reply_message=0 - Request rejected by available RSP(s)."</t>
  </si>
  <si>
    <t>04/03/20 08:04:20 5992: Exe rejected : 10999 : 0 - Request rejected by available RSP(s).</t>
  </si>
  <si>
    <t>04/03/20 08:04:21 11108 (10.152.26.32)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</si>
  <si>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08:04:21 11108 (10.152.26.32) : Sending....: 0264"record_type=QU" "user=tdw" "counterparty=277" "device=Aitken" "system=Equity" "time=29061" "quantity=5029" "buy_sell=B" "isin=GB00B17BBQ50" "epic=INVP" "t+=2" "settlement_date=20200306" "user_details=0680395" "quantity=5029" "buy_sell=B" "currency=GBP" "link="</t>
  </si>
  <si>
    <t>04/03/20 08:04:22 11108 (10.152.26.32) : Read: "record_type=QUR" "reply_reason=0" "agency_time=2020-03-04 08:04:22.972" "bid_price=3.947139" "bid_size=6450" "buy_sell=B" "control_ref=c1b4e156-5dee-11ea-85a0-005056a25061" "counterparty=277" "currency=GBP" "device=Aitken" "epic=INVP.L" "isin=GB00B17BBQ50" "link=871" "market_maker=871" "offer_price=0" "offer_size=0" "professional=N" "ps_bid_price=3.947139" "ps_offer_price=0" "quantity=5029" "rsp=PLHCGB3LBIC" "sent_time=2020-03-04 08:04:22.972" "serial_number=739945720" "settlement_date=20200306" "system=Equity" "t+=2" "time=29061" "user=tdw" "user_details=0680395"</t>
  </si>
  <si>
    <t>04/03/20 08:04:22 11108: Quo reply :                       ICV        GB00B17BBQ50                                                    871 5029        S20200306  2     105       394.7139           30 LSA     B17BBQ5 INVP.L                        INVP  GB00B17BBQ50    GBXGB   INVP.L  0680395                    871</t>
  </si>
  <si>
    <t>04/03/20 08:04:22 12900 (10.152.26.30) : Got quo request:                      ICV        GB0031348658                                                        2500        S20200306  2                                     LSF     3134865 BARC.L                        BARC  GB0031348658    GBXGB   BARC.L  0269451                    GBP</t>
  </si>
  <si>
    <t>04/03/20 08:04:22 12900 (10.152.26.30) : Sending....: 0264"record_type=QU" "user=tdw" "counterparty=277" "device=Aitken" "system=Equity" "time=29062" "quantity=2500" "buy_sell=B" "isin=GB0031348658" "epic=BARC" "t+=2" "settlement_date=20200306" "user_details=0269451" "quantity=2500" "buy_sell=B" "currency=GBP" "link="</t>
  </si>
  <si>
    <t>04/03/20 08:04:23 12900 (10.152.26.30) : Read: "record_type=QUR" "reply_reason=0" "agency_time=2020-03-04 08:04:23.672" "bid_price=1.3888" "bid_size=4000" "buy_sell=B" "control_ref=c2312aa4-5dee-11ea-80c9-005056a25061" "counterparty=277" "currency=GBP" "device=Aitken" "epic=BARC" "isin=GB0031348658" "link=801" "market_maker=801" "offer_price=0" "offer_size=0" "professional=N" "ps_bid_price=1.3888" "ps_offer_price=0" "quantity=2500" "rsp=WNTSGB2LBIC" "sent_time=2020-03-04 08:04:23.672" "serial_number=437715079" "settlement_date=20200306" "system=Equity" "t+=2" "time=29062" "user=tdw" "user_details=0269451" "quotation_amount=1"</t>
  </si>
  <si>
    <t>04/03/20 08:04:23 12900: Quo reply :                       ICV        GB0031348658                                                    801 2500        S20200306  2     106       138.88             30 LSF     3134865 BARC.L                        BARC  GB0031348658    GBXGB   BARC.L  0269451                    801</t>
  </si>
  <si>
    <t>04/03/20 08:04:23 12728 (10.152.26.31) : Got quo request:                      ICV        GB00BD8QVC95                                                        16293       S20200306  2                                     LSC     BD8QVC9 ESL.L                         ESL   GB00BD8QVC95    GBXGB   ESL.L   4729585                    GBP</t>
  </si>
  <si>
    <t>04/03/20 08:04:23 12728 (10.152.26.31) : Sending....: 0265"record_type=QU" "user=tdw" "counterparty=277" "device=Aitken" "system=Equity" "time=29063" "quantity=16293" "buy_sell=B" "isin=GB00BD8QVC95" "epic=ESL" "t+=2" "settlement_date=20200306" "user_details=4729585" "quantity=16293" "buy_sell=B" "currency=GBP" "link="</t>
  </si>
  <si>
    <t>04/03/20 08:04:24 12728 (10.152.26.31) : Read: "record_type=QUR" "reply_reason=99" "reply_message=No valid quote available" "agency_time=2020-03-04 08:04:25.172" "buy_sell=B" "counterparty=277" "currency=GBP" "device=Aitken" "epic=ESL" "isin=GB00BD8QVC95" "link=000" "professional=N" "quantity=16293" "system=Equity" "t+=2" "time=20200304-08:04:24" "user=tdw" "user_details=4729585"</t>
  </si>
  <si>
    <t>04/03/20 08:04:24 12728: Quo reject : 10099 : No valid quote available</t>
  </si>
  <si>
    <t>04/03/20 08:04:25 11888 (10.152.26.32) : Got quo request:                      ICV        GB00BDR05C01                                                        2912        B20200306  2                                     LSD     BDR05C0 NG..L                         NG.   GB00BDR05C01    GBXGB   NG..L   2016091                    GBP</t>
  </si>
  <si>
    <t>04/03/20 08:04:25 11888 (10.152.26.32) : Sending....: 0263"record_type=QU" "user=tdw" "counterparty=277" "device=Aitken" "system=Equity" "time=29065" "quantity=2912" "buy_sell=S" "isin=GB00BDR05C01" "epic=NG." "t+=2" "settlement_date=20200306" "user_details=2016091" "quantity=2912" "buy_sell=S" "currency=GBP" "link="</t>
  </si>
  <si>
    <t>04/03/20 08:04:25 11888 (10.152.26.32) : Read: "record_type=QUR" "reply_reason=0" "agency_time=2020-03-04 08:04:26.287" "bid_price=0" "bid_size=0" "buy_sell=S" "control_ref=c4172f9e-5dee-11ea-99ef-005056a25061" "counterparty=277" "currency=GBP" "device=Aitken" "epic=NG..L" "isin=GB00BDR05C01" "link=871" "market_maker=871" "offer_price=10.107955" "offer_size=2970" "professional=N" "ps_bid_price=0" "ps_offer_price=10.107955" "quantity=2912" "rsp=PLHCGB3LBIC" "sent_time=2020-03-04 08:04:26.287" "serial_number=1327627604" "settlement_date=20200306" "system=Equity" "t+=2" "time=29065" "user=tdw" "user_details=2016091"</t>
  </si>
  <si>
    <t>04/03/20 08:04:25 11888: Quo reply :                       ICV        GB00BDR05C01                                                    871 2912        B20200306  2     107       1010.7955          30 LSD     BDR05C0 NG..L                         NG.   GB00BDR05C01    GBXGB   NG..L   2016091                    871</t>
  </si>
  <si>
    <t>04/03/20 08:04:26 8992 (10.152.26.30)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</si>
  <si>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08:04:26 8992 (10.152.26.30) : Sending....: 0264"record_type=QU" "user=tdw" "counterparty=277" "device=Aitken" "system=Equity" "time=29066" "quantity=5029" "buy_sell=B" "isin=GB00B17BBQ50" "epic=INVP" "t+=2" "settlement_date=20200306" "user_details=0680395" "quantity=5029" "buy_sell=B" "currency=GBP" "link="</t>
  </si>
  <si>
    <t>04/03/20 08:04:26 8992 (10.152.26.30) : Read: "record_type=QUR" "reply_reason=0" "agency_time=2020-03-04 08:04:27.334" "bid_price=3.955518" "bid_size=6450" "buy_sell=B" "control_ref=c4c079dc-5dee-11ea-99b1-005056a25061" "counterparty=277" "currency=GBP" "device=Aitken" "epic=INVP.L" "isin=GB00B17BBQ50" "link=871" "market_maker=871" "offer_price=0" "offer_size=0" "professional=N" "ps_bid_price=3.955518" "ps_offer_price=0" "quantity=5029" "rsp=PLHCGB3LBIC" "sent_time=2020-03-04 08:04:27.334" "serial_number=722237016" "settlement_date=20200306" "system=Equity" "t+=2" "time=29066" "user=tdw" "user_details=0680395"</t>
  </si>
  <si>
    <t>04/03/20 08:04:26 8992: Quo reply :                       ICV        GB00B17BBQ50                                                    871 5029        S20200306  2     108       395.5518           30 LSA     B17BBQ5 INVP.L                        INVP  GB00B17BBQ50    GBXGB   INVP.L  0680395                    871</t>
  </si>
  <si>
    <t>04/03/20 08:04:28 4124 (10.152.26.31) : Got quo request:                      ICV        GB00B580MF54                                                        50000       B20200306  2                                     LSB     B580MF5 HUR.L                         HUR   GB00B580MF54    GBXGB   HUR.L   0913694                    GBP</t>
  </si>
  <si>
    <t>04/03/20 08:04:28 4124 (10.152.26.31) : Sending....: 0265"record_type=QU" "user=tdw" "counterparty=277" "device=Aitken" "system=Equity" "time=29068" "quantity=50000" "buy_sell=S" "isin=GB00B580MF54" "epic=HUR" "t+=2" "settlement_date=20200306" "user_details=0913694" "quantity=50000" "buy_sell=S" "currency=GBP" "link="</t>
  </si>
  <si>
    <t>04/03/20 08:04:28 4124 (10.152.26.31) : Read: "record_type=QUR" "reply_reason=0" "agency_time=2020-03-04 08:04:28.973" "bid_price=0" "bid_size=0" "buy_sell=S" "control_ref=c5bacf90-5dee-11ea-9e38-005056a25061" "counterparty=277" "currency=GBP" "device=Aitken" "epic=HUR" "isin=GB00B580MF54" "link=589" "market_maker=589" "offer_price=0.150045" "offer_size=50000" "professional=N" "ps_bid_price=0" "ps_offer_price=0.150045" "quantity=50000" "rsp=SHOCGB21" "sent_time=2020-03-04 08:04:28.973" "serial_number=572161128" "settlement_date=20200306" "system=Equity" "t+=2" "time=29068" "user=tdw" "user_details=0913694"</t>
  </si>
  <si>
    <t>04/03/20 08:04:28 4124: Quo reply :                       ICV        GB00B580MF54                                                    589 50000       B20200306  2     109       15.0045            30 LSB     B580MF5 HUR.L                         HUR   GB00B580MF54    GBXGB   HUR.L   0913694                    589</t>
  </si>
  <si>
    <t>04/03/20 08:04:30 9580 (10.152.26.30) : Got quo request:                      ICV        GB0008854563                                                        500000      S20200306  2                                     LSE     0885456 TYM.L                         TYM   GB0008854563    GBXGB   TYM.L   1069061                    GBP</t>
  </si>
  <si>
    <t>04/03/20 08:04:30 9580 (10.152.26.30) : Sending....: 0267"record_type=QU" "user=tdw" "counterparty=277" "device=Aitken" "system=Equity" "time=29070" "quantity=500000" "buy_sell=B" "isin=GB0008854563" "epic=TYM" "t+=2" "settlement_date=20200306" "user_details=1069061" "quantity=500000" "buy_sell=B" "currency=GBP" "link="</t>
  </si>
  <si>
    <t>04/03/20 08:04:30 9580 (10.152.26.30) : Read: "record_type=QUR" "reply_reason=0" "agency_time=2020-03-04 08:04:30.783" "bid_price=0.00428" "bid_size=4500000" "buy_sell=B" "control_ref=c6cd99b2-5dee-11ea-8efd-005056a25061" "counterparty=277" "currency=GBP" "device=Aitken" "epic=TYM" "isin=GB0008854563" "link=801" "market_maker=801" "offer_price=0" "offer_size=0" "professional=N" "ps_bid_price=0.00428" "ps_offer_price=0" "quantity=500000" "rsp=WNTSGB2LBIC" "sent_time=2020-03-04 08:04:30.783" "serial_number=1991660011" "settlement_date=20200306" "system=Equity" "t+=2" "time=29070" "user=tdw" "user_details=1069061" "quotation_amount=1"</t>
  </si>
  <si>
    <t>04/03/20 08:04:30 9580: Quo reply :                       ICV        GB0008854563                                                    801 500000      S20200306  2     110       0.428              30 LSE     0885456 TYM.L                         TYM   GB0008854563    GBXGB   TYM.L   1069061                    801</t>
  </si>
  <si>
    <t>04/03/20 08:04:31 10288(10.152.26.31) : Got exe request:                      ICV        GB0031348658                                                    138.880000         2500        SABGBXA 106                            Y                                                     0269451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GB     BARC.L  00</t>
  </si>
  <si>
    <t>04/03/20 08:04:31 10288 (10.152.26.31) : Sending....: 0299"record_type=DE" "user=tdw" "counterparty=277" "device=Aitken" "system=Equity" "time=29071" "isin=GB0031348658" "epic=BARC" "serial_number=437715079" "buy_sell=B" "quantity=2500" "t+=2" "currency=GBP" "booking_c/party=" "settlement_date=20200306" "user_details=0269451" "market_maker=801" "link="</t>
  </si>
  <si>
    <t>04/03/20 08:04:32 10288 (10.152.26.31) : Read: "record_type=DER" "reply_reason=0" "agency_time=2020-03-04 08:04:32.377" "bargain_ref=1824408460" "buy_sell=B" "control_ref=1824408460" "counterparty=277" "currency=GBP" "deal_time=08:04:32" "device=Aitken" "epic=BARC" "execution_venue=XLON" "isin=GB0031348658" "market_maker=801" "price=1.3888" "professional=N" "quantity=2500." "sent_time=2020-03-04 08:04:32.353" "serial_number=1824408460" "settlement_date=20200306" "system=Equity" "t+=2" "time=29071" "user=tdw" "user_details=0269451" "quotation_amount=1"</t>
  </si>
  <si>
    <t>04/03/20 08:04:32 10288: Exe reply :                       ICV        GB0031348658                                                    138.880000         2500        SABGBXA 106                            Y                                                     0269451                                                                                                                                                                                                                                                                       1824408460    20200306     182440846020200304080431   138.88                2500                801 GB     BARC.L  02</t>
  </si>
  <si>
    <t>04/03/20 08:04:32 6048 (10.152.26.32) : Got quo request:                      ICV        GB00B71N6K86                                                        3837        S20200313  7                                     LSD     B71N6K8 EVR.L                         EVR   GB00B71N6K86    GBXGB   EVR.L   0838854                    GBP</t>
  </si>
  <si>
    <t>04/03/20 08:04:32 6048 (10.152.26.32) : Sending....: 0263"record_type=QU" "user=tdw" "counterparty=277" "device=Aitken" "system=Equity" "time=29072" "quantity=3837" "buy_sell=B" "isin=GB00B71N6K86" "epic=EVR" "t+=7" "settlement_date=20200313" "user_details=0838854" "quantity=3837" "buy_sell=B" "currency=GBP" "link="</t>
  </si>
  <si>
    <t>04/03/20 08:04:32 6048 (10.152.26.32) : Read: "record_type=QUR" "reply_reason=0" "agency_time=2020-03-04 08:04:33.106" "bid_price=3.3516" "bid_size=3837" "buy_sell=B" "control_ref=c83353f0-5dee-11ea-9e77-005056a25061" "counterparty=277" "currency=GBP" "device=Aitken" "epic=EVR" "isin=GB00B71N6K86" "link=801" "market_maker=801" "offer_price=0" "offer_size=0" "professional=N" "ps_bid_price=3.3516" "ps_offer_price=0" "quantity=3837" "rsp=WNTSGB2LBIC" "sent_time=2020-03-04 08:04:33.106" "serial_number=1242336579" "settlement_date=20200313" "system=Equity" "t+=7" "time=29072" "user=tdw" "user_details=0838854" "quotation_amount=1"</t>
  </si>
  <si>
    <t>04/03/20 08:04:32 6048: Quo reply :                       ICV        GB00B71N6K86                                                    801 3837        S20200313  7     111       335.16             30 LSD     B71N6K8 EVR.L                         EVR   GB00B71N6K86    GBXGB   EVR.L   0838854                    801</t>
  </si>
  <si>
    <t>04/03/20 08:04:34 5992 (10.152.26.30) : Got quo request:                      ICV        CH0198251305                                                        1350        S20200306  2                                     LSD     B9895B7 CCH.L                         CCH   CH0198251305    GBXGB   CCH.L   0723034                    GBP</t>
  </si>
  <si>
    <t>04/03/20 08:04:34 5992 (10.152.26.30) : Sending....: 0263"record_type=QU" "user=tdw" "counterparty=277" "device=Aitken" "system=Equity" "time=29074" "quantity=1350" "buy_sell=B" "isin=CH0198251305" "epic=CCH" "t+=2" "settlement_date=20200306" "user_details=0723034" "quantity=1350" "buy_sell=B" "currency=GBP" "link="</t>
  </si>
  <si>
    <t>04/03/20 08:04:34 5992 (10.152.26.30) : Read: "record_type=QUR" "reply_reason=0" "agency_time=2020-03-04 08:04:34.769" "bid_price=25.75997" "bid_size=1350" "buy_sell=B" "control_ref=c93012e8-5dee-11ea-bb25-005056a25061" "counterparty=277" "currency=GBP" "device=Aitken" "epic=CCH" "isin=CH0198251305" "link=801" "market_maker=801" "offer_price=0" "offer_size=0" "professional=N" "ps_bid_price=25.75997" "ps_offer_price=0" "quantity=1350" "rsp=WNTSGB2LBIC" "sent_time=2020-03-04 08:04:34.769" "serial_number=250994250" "settlement_date=20200306" "system=Equity" "t+=2" "time=29074" "user=tdw" "user_details=0723034" "quotation_amount=1"</t>
  </si>
  <si>
    <t>04/03/20 08:04:34 5992: Quo reply :                       ICV        CH0198251305                                                    801 1350        S20200306  2     112       2575.997           30 LSD     B9895B7 CCH.L                         CCH   CH0198251305    GBXGB   CCH.L   0723034                    801</t>
  </si>
  <si>
    <t>04/03/20 08:04:35 9236 (10.152.26.31) : Got quo request:                      ICV        GB0008706128                                                        4000        B20200401 20                                     LSF     0870612 LLOY.L                        LLOY  GB0008706128    GBXGB   LLOY.L  0111249                    GBP</t>
  </si>
  <si>
    <t>04/03/20 08:04:35 9236 (10.152.26.31) : Sending....: 0265"record_type=QU" "user=tdw" "counterparty=277" "device=Aitken" "system=Equity" "time=29075" "quantity=4000" "buy_sell=S" "isin=GB0008706128" "epic=LLOY" "t+=20" "settlement_date=20200401" "user_details=0111249" "quantity=4000" "buy_sell=S" "currency=GBP" "link="</t>
  </si>
  <si>
    <t>04/03/20 08:04:35 9236 (10.152.26.31) : Read: "record_type=QUR" "reply_reason=0" "agency_time=2020-03-04 08:04:35.657" "bid_price=0" "bid_size=0" "buy_sell=S" "control_ref=c9b7fc44-5dee-11ea-9a75-005056a25061" "counterparty=277" "currency=GBP" "device=Aitken" "epic=LLOY" "isin=GB0008706128" "link=331" "market_maker=331" "offer_price=0.4809" "offer_size=375000" "professional=N" "ps_bid_price=0" "ps_offer_price=0.4809" "quantity=4000" "rsp=IHCSGB21002" "sent_time=2020-03-04 08:04:35.657" "serial_number=184064723" "settlement_date=20200401" "system=Equity" "t+=20" "time=29075" "user=tdw" "user_details=0111249"</t>
  </si>
  <si>
    <t>04/03/20 08:04:35 9236: Quo reply :                       ICV        GB0008706128                                                    331 4000        B20200401 20     113       48.09              30 LSF     0870612 LLOY.L                        LLOY  GB0008706128    GBXGB   LLOY.L  0111249                    331</t>
  </si>
  <si>
    <t>04/03/20 08:04:35 11996 (10.152.26.32) : Got quo request:                      ICV        GB0005603997                                                        1286        S20200306  2                                     LSD     0560399 LGEN.L                        LGEN  GB0005603997    GBXGB   LGEN.L  1034926                    GBP</t>
  </si>
  <si>
    <t>04/03/20 08:04:35 11996 (10.152.26.32) : Sending....: 0264"record_type=QU" "user=tdw" "counterparty=277" "device=Aitken" "system=Equity" "time=29075" "quantity=1286" "buy_sell=B" "isin=GB0005603997" "epic=LGEN" "t+=2" "settlement_date=20200306" "user_details=1034926" "quantity=1286" "buy_sell=B" "currency=GBP" "link="</t>
  </si>
  <si>
    <t>04/03/20 08:04:35 11996 (10.152.26.32) : Read: "record_type=QUR" "reply_reason=0" "agency_time=2020-03-04 08:04:36.054" "bid_price=2.588424" "bid_size=9750" "buy_sell=B" "control_ref=c9eeced6-5dee-11ea-9a0b-005056a25061" "counterparty=277" "currency=GBP" "device=Aitken" "epic=LGEN.L" "isin=GB0005603997" "link=871" "market_maker=871" "offer_price=0" "offer_size=0" "professional=N" "ps_bid_price=2.588424" "ps_offer_price=0" "quantity=1286" "rsp=PLHCGB3LBIC" "sent_time=2020-03-04 08:04:36.054" "serial_number=544128560" "settlement_date=20200306" "system=Equity" "t+=2" "time=29075" "user=tdw" "user_details=1034926"</t>
  </si>
  <si>
    <t>04/03/20 08:04:35 11996: Quo reply :                       ICV        GB0005603997                                                    871 1286        S20200306  2     114       258.8424           30 LSD     0560399 LGEN.L                        LGEN  GB0005603997    GBXGB   LGEN.L  1034926                    871</t>
  </si>
  <si>
    <t>04/03/20 08:04:37 12900 (10.152.26.30) : Got quo request:                      ICV        GB0007980591                                                        2387        B20200306  2                                     LSF     0798059 BP..L                         BP.   GB0007980591    GBXGB   BP..L   3521452                    GBP</t>
  </si>
  <si>
    <t>04/03/20 08:04:37 12900 (10.152.26.30) : Sending....: 0263"record_type=QU" "user=tdw" "counterparty=277" "device=Aitken" "system=Equity" "time=29077" "quantity=2387" "buy_sell=S" "isin=GB0007980591" "epic=BP." "t+=2" "settlement_date=20200306" "user_details=3521452" "quantity=2387" "buy_sell=S" "currency=GBP" "link="</t>
  </si>
  <si>
    <t>04/03/20 08:04:37 12900 (10.152.26.30) : Read: "record_type=QUR" "reply_reason=0" "agency_time=2020-03-04 08:04:37.895" "bid_price=0" "bid_size=0" "buy_sell=S" "control_ref=cb0da99a-5dee-11ea-ae35-005056a25061" "counterparty=277" "currency=GBP" "device=Aitken" "epic=BP." "isin=GB0007980591" "link=006" "market_maker=006" "offer_price=4.1645" "offer_size=5000" "professional=N" "ps_bid_price=0" "ps_offer_price=4.1645" "quantity=2387" "rsp=STNOGB21" "sent_time=2020-03-04 08:04:37.895" "serial_number=1872866119" "settlement_date=20200306" "system=Equity" "t+=2" "time=29077" "user=tdw" "user_details=3521452"</t>
  </si>
  <si>
    <t>04/03/20 08:04:37 12900: Quo reply :                       ICV        GB0007980591                                                    006 2387        B20200306  2     115       416.45             30 LSF     0798059 BP..L                         BP.   GB0007980591    GBXGB   BP..L   3521452                    006</t>
  </si>
  <si>
    <t>04/03/20 08:04:40 12728 (10.152.26.31) : Got quo request:                      ICV        GB0031544546                                                        16986       S20200320 12                                     LSB     3154454 POG.L                         POG   GB0031544546    GBXGB   POG.L   0123149                    GBP</t>
  </si>
  <si>
    <t>04/03/20 08:04:40 12728 (10.152.26.31) : Sending....: 0266"record_type=QU" "user=tdw" "counterparty=277" "device=Aitken" "system=Equity" "time=29080" "quantity=16986" "buy_sell=B" "isin=GB0031544546" "epic=POG" "t+=12" "settlement_date=20200320" "user_details=0123149" "quantity=16986" "buy_sell=B" "currency=GBP" "link="</t>
  </si>
  <si>
    <t>04/03/20 08:04:40 12728 (10.152.26.31) : Read: "record_type=QUR" "reply_reason=0" "agency_time=2020-03-04 08:04:40.974" "bid_price=0.203951" "bid_size=25000" "buy_sell=B" "control_ref=cce3b9f8-5dee-11ea-bedc-005056a25061" "counterparty=277" "currency=GBP" "device=Aitken" "epic=POG.L" "isin=GB0031544546" "link=871" "market_maker=871" "offer_price=0" "offer_size=0" "professional=N" "ps_bid_price=0.203951" "ps_offer_price=0" "quantity=16986" "rsp=PLHCGB3LBIC" "sent_time=2020-03-04 08:04:40.974" "serial_number=318177420" "settlement_date=20200320" "system=Equity" "t+=12" "time=29080" "user=tdw" "user_details=0123149"</t>
  </si>
  <si>
    <t>04/03/20 08:04:40 12728: Quo reply :                       ICV        GB0031544546                                                    871 16986       S20200320 12     116       20.3951            30 LSB     3154454 POG.L                         POG   GB0031544546    GBXGB   POG.L   0123149                    871</t>
  </si>
  <si>
    <t>04/03/20 08:04:41 8992 (10.152.26.30) : Got quo request:                      ICV        GB0005991111                                                        1782        S20200306  2                                     LSC     0599111 MPAC.L                        MPAC  GB0005991111    GBXGB   MPAC.L  4716687                    GBP</t>
  </si>
  <si>
    <t>04/03/20 08:04:41 8992 (10.152.26.30) : Sending....: 0264"record_type=QU" "user=tdw" "counterparty=277" "device=Aitken" "system=Equity" "time=29081" "quantity=1782" "buy_sell=B" "isin=GB0005991111" "epic=MPAC" "t+=2" "settlement_date=20200306" "user_details=4716687" "quantity=1782" "buy_sell=B" "currency=GBP" "link="</t>
  </si>
  <si>
    <t>04/03/20 08:04:41 8992 (10.152.26.30) : Read: "record_type=QUR" "reply_reason=99" "reply_message=No valid quote available" "agency_time=2020-03-04 08:04:41.541" "buy_sell=B" "counterparty=277" "currency=GBP" "device=Aitken" "epic=MPAC" "isin=GB0005991111" "link=000" "professional=N" "quantity=1782" "system=Equity" "t+=2" "time=20200304-08:04:41" "user=tdw" "user_details=4716687"</t>
  </si>
  <si>
    <t>04/03/20 08:04:41 8992: Quo reject : 10099 : No valid quote available</t>
  </si>
  <si>
    <t>04/03/20 08:04:41 11108 (10.152.26.32) : Got quo request:                      ICV        FR0010397232                                                        10000       S20200306  2                                     LSC     BF16YK9 NCYT.L                        NCYT  FR0010397232    GBXGB   NCYT.L  7055692                    GBP</t>
  </si>
  <si>
    <t>04/03/20 08:04:41 11108 (10.152.26.32) : Sending....: 0266"record_type=QU" "user=tdw" "counterparty=277" "device=Aitken" "system=Equity" "time=29081" "quantity=10000" "buy_sell=B" "isin=FR0010397232" "epic=NCYT" "t+=2" "settlement_date=20200306" "user_details=7055692" "quantity=10000" "buy_sell=B" "currency=GBP" "link="</t>
  </si>
  <si>
    <t>04/03/20 08:04:41 11108 (10.152.26.32) : Read: "record_type=QUR" "reply_reason=0" "agency_time=2020-03-04 08:04:42.160" "bid_price=1.030001" "bid_size=12000" "buy_sell=B" "control_ref=cd96b15c-5dee-11ea-a257-005056a25061" "counterparty=277" "currency=GBP" "device=Aitken" "epic=NCYT.L" "isin=FR0010397232" "link=871" "market_maker=871" "offer_price=0" "offer_size=0" "professional=N" "ps_bid_price=1.030001" "ps_offer_price=0" "quantity=10000" "rsp=PLHCGB3LBIC" "sent_time=2020-03-04 08:04:42.160" "serial_number=1191992974" "settlement_date=20200306" "system=Equity" "t+=2" "time=29081" "user=tdw" "user_details=7055692"</t>
  </si>
  <si>
    <t>04/03/20 08:04:41 11108: Quo reply :                       ICV        FR0010397232                                                    871 10000       S20200306  2     117       103.0001           30 LSC     BF16YK9 NCYT.L                        NCYT  FR0010397232    GBXGB   NCYT.L  7055692                    871</t>
  </si>
  <si>
    <t>04/03/20 08:04:46 4124 (10.152.26.31) : Got quo request:                      ICV        GB00B0HZPV38                                                        2500        B20200401 20                                     LSA     B0HZPV3 KAZ.L                         KAZ   GB00B0HZPV38    GBXGB   KAZ.L   0880300                    GBP</t>
  </si>
  <si>
    <t>04/03/20 08:04:46 4124 (10.152.26.31) : Sending....: 0264"record_type=QU" "user=tdw" "counterparty=277" "device=Aitken" "system=Equity" "time=29086" "quantity=2500" "buy_sell=S" "isin=GB00B0HZPV38" "epic=KAZ" "t+=20" "settlement_date=20200401" "user_details=0880300" "quantity=2500" "buy_sell=S" "currency=GBP" "link="</t>
  </si>
  <si>
    <t>04/03/20 08:04:46 4124 (10.152.26.31) : Read: "record_type=QUR" "reply_reason=0" "agency_time=2020-03-04 08:04:46.650" "bid_price=0" "bid_size=0" "buy_sell=S" "control_ref=d0385294-5dee-11ea-9d73-005056a25061" "counterparty=277" "currency=GBP" "device=Aitken" "epic=KAZ" "isin=GB00B0HZPV38" "link=331" "market_maker=331" "offer_price=4.262" "offer_size=10000" "professional=N" "ps_bid_price=0" "ps_offer_price=4.262" "quantity=2500" "rsp=IHCSGB21002" "sent_time=2020-03-04 08:04:46.650" "serial_number=199892609" "settlement_date=20200401" "system=Equity" "t+=20" "time=29086" "user=tdw" "user_details=0880300"</t>
  </si>
  <si>
    <t>04/03/20 08:04:46 4124: Quo reply :                       ICV        GB00B0HZPV38                                                    331 2500        B20200401 20     118       426.2              30 LSA     B0HZPV3 KAZ.L                         KAZ   GB00B0HZPV38    GBXGB   KAZ.L   0880300                    331</t>
  </si>
  <si>
    <t>04/03/20 08:04:47 11888 (10.152.26.32) : Got quo request:                      ICV        GB00B0DG3H29                                                        135750      S20200306  2                                     LSB     B0DG3H2 SXX.L                         SXX   GB00B0DG3H29    GBXGB   SXX.L   0458139                    GBP</t>
  </si>
  <si>
    <t>04/03/20 08:04:47 11888 (10.152.26.32) : Sending....: 0267"record_type=QU" "user=tdw" "counterparty=277" "device=Aitken" "system=Equity" "time=29087" "quantity=135750" "buy_sell=B" "isin=GB00B0DG3H29" "epic=SXX" "t+=2" "settlement_date=20200306" "user_details=0458139" "quantity=135750" "buy_sell=B" "currency=GBP" "link="</t>
  </si>
  <si>
    <t>04/03/20 08:04:47 11888 (10.152.26.32) : Read: "record_type=QUR" "reply_reason=99" "reply_message=No valid quote available" "agency_time=2020-03-04 08:04:47.740" "buy_sell=B" "counterparty=277" "currency=GBP" "device=Aitken" "epic=SXX" "isin=GB00B0DG3H29" "link=000" "professional=N" "quantity=135750" "system=Equity" "t+=2" "time=20200304-08:04:47" "user=tdw" "user_details=0458139"</t>
  </si>
  <si>
    <t>04/03/20 08:04:47 11888: Quo reject : 10099 : No valid quote available</t>
  </si>
  <si>
    <t>04/03/20 08:04:47 9580(10.152.26.30) : Got exe request:                      ICV        GB0007980591                                                    416.450000         2387        BABGBXA 115                            Y                                                     3521452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006 GB     BP..L   00</t>
  </si>
  <si>
    <t>04/03/20 08:04:47 9580 (10.152.26.30) : Sending....: 0299"record_type=DE" "user=tdw" "counterparty=277" "device=Aitken" "system=Equity" "time=29087" "isin=GB0007980591" "epic=BP." "serial_number=1872866119" "buy_sell=S" "quantity=2387" "t+=2" "currency=GBP" "booking_c/party=" "settlement_date=20200306" "user_details=3521452" "market_maker=006" "link="</t>
  </si>
  <si>
    <t>04/03/20 08:04:47 9580 (10.152.26.30) : Read: "record_type=DER" "reply_reason=0" "agency_time=2020-03-04 08:04:48.097" "bargain_ref=0563927773LOA2-1" "buy_sell=S" "control_ref=0066412439LOA1" "counterparty=277" "currency=GBP" "deal_time=08:04:48" "device=Aitken" "epic=BP." "execution_venue=XLON" "isin=GB0007980591" "market_maker=006" "price=4.1645" "professional=N" "quantity=2387" "sent_time=2020-03-04 08:04:47.817" "serial_number=0563927773LOA2-1" "settlement_date=20200306" "system=Equity" "t+=2" "time=29087" "user=tdw" "user_details=3521452"</t>
  </si>
  <si>
    <t>04/03/20 08:04:47 9580: Exe reply :                       ICV        GB0007980591                                                    416.450000         2387        BABGBXA 115                            Y                                                     3521452                                                                                                                                                                                                                                                                       0563927773LOA220200306     056392777320200304080447   416.45                2387                006 GB     BP..L   02</t>
  </si>
  <si>
    <t>04/03/20 08:04:47 5992 (10.152.26.30)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</si>
  <si>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08:04:47 5992 (10.152.26.30) : Sending....: 0264"record_type=QU" "user=tdw" "counterparty=277" "device=Aitken" "system=Equity" "time=29087" "quantity=5029" "buy_sell=B" "isin=GB00B17BBQ50" "epic=INVP" "t+=2" "settlement_date=20200306" "user_details=0680395" "quantity=5029" "buy_sell=B" "currency=GBP" "link="</t>
  </si>
  <si>
    <t>04/03/20 08:04:47 5992 (10.152.26.30) : Read: "record_type=QUR" "reply_reason=0" "agency_time=2020-03-04 08:04:48.284" "bid_price=3.953621" "bid_size=6450" "buy_sell=B" "control_ref=d13ee4d2-5dee-11ea-938f-005056a25061" "counterparty=277" "currency=GBP" "device=Aitken" "epic=INVP.L" "isin=GB00B17BBQ50" "link=871" "market_maker=871" "offer_price=0" "offer_size=0" "professional=N" "ps_bid_price=3.953621" "ps_offer_price=0" "quantity=5029" "rsp=PLHCGB3LBIC" "sent_time=2020-03-04 08:04:48.284" "serial_number=589873237" "settlement_date=20200306" "system=Equity" "t+=2" "time=29087" "user=tdw" "user_details=0680395"</t>
  </si>
  <si>
    <t>04/03/20 08:04:47 5992: Quo reply :                       ICV        GB00B17BBQ50                                                    871 5029        S20200306  2     119       395.3621           30 LSA     B17BBQ5 INVP.L                        INVP  GB00B17BBQ50    GBXGB   INVP.L  0680395                    871</t>
  </si>
  <si>
    <t>04/03/20 08:04:50 12728 (10.152.26.31) : Got quo request:                      ICV        GB0007980591                                                        2628        S20200306  2                                     LSF     0798059 BP..L                         BP.   GB0007980591    GBXGB   BP..L   4715911                    GBP</t>
  </si>
  <si>
    <t>04/03/20 08:04:50 12728 (10.152.26.31) : Sending....: 0263"record_type=QU" "user=tdw" "counterparty=277" "device=Aitken" "system=Equity" "time=29090" "quantity=2628" "buy_sell=B" "isin=GB0007980591" "epic=BP." "t+=2" "settlement_date=20200306" "user_details=4715911" "quantity=2628" "buy_sell=B" "currency=GBP" "link="</t>
  </si>
  <si>
    <t>04/03/20 08:04:50 12728 (10.152.26.31) : Read: "record_type=QUR" "reply_reason=0" "agency_time=2020-03-04 08:04:50.690" "bid_price=4.163076" "bid_size=6000" "buy_sell=B" "control_ref=d2ae9b0a-5dee-11ea-9283-005056a25061" "counterparty=277" "currency=GBP" "device=Aitken" "epic=BP..L" "isin=GB0007980591" "link=871" "market_maker=871" "offer_price=0" "offer_size=0" "professional=N" "ps_bid_price=4.163076" "ps_offer_price=0" "quantity=2628" "rsp=PLHCGB3LBIC" "sent_time=2020-03-04 08:04:50.690" "serial_number=197523536" "settlement_date=20200306" "system=Equity" "t+=2" "time=29090" "user=tdw" "user_details=4715911"</t>
  </si>
  <si>
    <t>04/03/20 08:04:50 12728: Quo reply :                       ICV        GB0007980591                                                    871 2628        S20200306  2     120       416.3076           30 LSF     0798059 BP..L                         BP.   GB0007980591    GBXGB   BP..L   4715911                    871</t>
  </si>
  <si>
    <t>04/03/20 08:04:53 6048 (10.152.26.32) : Got quo request:                      ICV        IL0011284465                                                        1000        S20200306  2                                     LSA     BBT3PS9 PLUS.L                        PLUS  IL0011284465    GBXGB   PLUS.L  4711950                    GBP</t>
  </si>
  <si>
    <t>04/03/20 08:04:53 6048 (10.152.26.32) : Sending....: 0264"record_type=QU" "user=tdw" "counterparty=277" "device=Aitken" "system=Equity" "time=29093" "quantity=1000" "buy_sell=B" "isin=IL0011284465" "epic=PLUS" "t+=2" "settlement_date=20200306" "user_details=4711950" "quantity=1000" "buy_sell=B" "currency=GBP" "link="</t>
  </si>
  <si>
    <t>04/03/20 08:04:53 6048 (10.152.26.32) : Read: "record_type=QUR" "reply_reason=0" "agency_time=2020-03-04 08:04:53.539" "bid_price=9.83" "bid_size=1250" "buy_sell=B" "control_ref=d45bbb4a-5dee-11ea-998f-005056a25061" "counterparty=277" "currency=GBP" "device=Aitken" "epic=PLUS" "isin=IL0011284465" "link=331" "market_maker=331" "offer_price=0" "offer_size=0" "professional=N" "ps_bid_price=9.83" "ps_offer_price=0" "quantity=1000" "rsp=IHCSGB21002" "sent_time=2020-03-04 08:04:53.539" "serial_number=1851932902" "settlement_date=20200306" "system=Equity" "t+=2" "time=29093" "user=tdw" "user_details=4711950"</t>
  </si>
  <si>
    <t>04/03/20 08:04:53 6048: Quo reply :                       ICV        IL0011284465                                                    331 1000        S20200306  2     121       983                30 LSA     BBT3PS9 PLUS.L                        PLUS  IL0011284465    GBXGB   PLUS.L  4711950                    331</t>
  </si>
  <si>
    <t>04/03/20 08:04:54 9236 (10.152.26.31)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</si>
  <si>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08:04:54 9236 (10.152.26.31) : Sending....: 0264"record_type=QU" "user=tdw" "counterparty=277" "device=Aitken" "system=Equity" "time=29094" "quantity=5029" "buy_sell=B" "isin=GB00B17BBQ50" "epic=INVP" "t+=2" "settlement_date=20200306" "user_details=0680395" "quantity=5029" "buy_sell=B" "currency=GBP" "link="</t>
  </si>
  <si>
    <t>04/03/20 08:04:54 9236 (10.152.26.31) : Read: "record_type=QUR" "reply_reason=0" "agency_time=2020-03-04 08:04:54.657" "bid_price=3.953725" "bid_size=6450" "buy_sell=B" "control_ref=d509ca78-5dee-11ea-bf76-005056a25061" "counterparty=277" "currency=GBP" "device=Aitken" "epic=INVP.L" "isin=GB00B17BBQ50" "link=871" "market_maker=871" "offer_price=0" "offer_size=0" "professional=N" "ps_bid_price=3.953725" "ps_offer_price=0" "quantity=5029" "rsp=PLHCGB3LBIC" "sent_time=2020-03-04 08:04:54.657" "serial_number=1862135046" "settlement_date=20200306" "system=Equity" "t+=2" "time=29094" "user=tdw" "user_details=0680395"</t>
  </si>
  <si>
    <t>04/03/20 08:04:54 9236: Quo reply :                       ICV        GB00B17BBQ50                                                    871 5029        S20200306  2     122       395.3725           30 LSA     B17BBQ5 INVP.L                        INVP  GB00B17BBQ50    GBXGB   INVP.L  0680395                    871</t>
  </si>
  <si>
    <t>04/03/20 08:04:55 12900 (10.152.26.30)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</si>
  <si>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08:04:55 12900 (10.152.26.30) : Sending....: 0264"record_type=QU" "user=tdw" "counterparty=277" "device=Aitken" "system=Equity" "time=29095" "quantity=5029" "buy_sell=B" "isin=GB00B17BBQ50" "epic=INVP" "t+=2" "settlement_date=20200306" "user_details=0680395" "quantity=5029" "buy_sell=B" "currency=GBP" "link="</t>
  </si>
  <si>
    <t>04/03/20 08:04:55 12900 (10.152.26.30) : Read: "record_type=QUR" "reply_reason=0" "agency_time=2020-03-04 08:04:55.906" "bid_price=3.953621" "bid_size=6450" "buy_sell=B" "control_ref=d5c9f92e-5dee-11ea-af4c-005056a25061" "counterparty=277" "currency=GBP" "device=Aitken" "epic=INVP.L" "isin=GB00B17BBQ50" "link=871" "market_maker=871" "offer_price=0" "offer_size=0" "professional=N" "ps_bid_price=3.953621" "ps_offer_price=0" "quantity=5029" "rsp=PLHCGB3LBIC" "sent_time=2020-03-04 08:04:55.906" "serial_number=207891854" "settlement_date=20200306" "system=Equity" "t+=2" "time=29095" "user=tdw" "user_details=0680395"</t>
  </si>
  <si>
    <t>04/03/20 08:04:55 12900: Quo reply :                       ICV        GB00B17BBQ50                                                    871 5029        S20200306  2     123       395.3621           30 LSA     B17BBQ5 INVP.L                        INVP  GB00B17BBQ50    GBXGB   INVP.L  0680395                    871</t>
  </si>
  <si>
    <t>04/03/20 08:04:56 11996 (10.152.26.32)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</si>
  <si>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08:04:56 11996 (10.152.26.32) : Sending....: 0264"record_type=QU" "user=tdw" "counterparty=277" "device=Aitken" "system=Equity" "time=29096" "quantity=5029" "buy_sell=B" "isin=GB00B17BBQ50" "epic=INVP" "t+=2" "settlement_date=20200306" "user_details=0680395" "quantity=5029" "buy_sell=B" "currency=GBP" "link="</t>
  </si>
  <si>
    <t>04/03/20 08:04:56 11996 (10.152.26.32) : Read: "record_type=QUR" "reply_reason=0" "agency_time=2020-03-04 08:04:57.121" "bid_price=3.953621" "bid_size=6450" "buy_sell=B" "control_ref=d6824f60-5dee-11ea-99f3-005056a25061" "counterparty=277" "currency=GBP" "device=Aitken" "epic=INVP.L" "isin=GB00B17BBQ50" "link=871" "market_maker=871" "offer_price=0" "offer_size=0" "professional=N" "ps_bid_price=3.953621" "ps_offer_price=0" "quantity=5029" "rsp=PLHCGB3LBIC" "sent_time=2020-03-04 08:04:57.121" "serial_number=1718566284" "settlement_date=20200306" "system=Equity" "t+=2" "time=29096" "user=tdw" "user_details=0680395"</t>
  </si>
  <si>
    <t>04/03/20 08:04:56 11996: Quo reply :                       ICV        GB00B17BBQ50                                                    871 5029        S20200306  2     124       395.3621           30 LSA     B17BBQ5 INVP.L                        INVP  GB00B17BBQ50    GBXGB   INVP.L  0680395                    871</t>
  </si>
  <si>
    <t>04/03/20 08:04:58 8992 (10.152.26.30) : Got quo request:                      ICV        GB00B15XDH89                                                        22000       S20200306  2                                     LSC     B15XDH8 GGP.L                         GGP   GB00B15XDH89    GBXGB   GGP.L   0804354                    GBP</t>
  </si>
  <si>
    <t>04/03/20 08:04:58 8992 (10.152.26.30) : Sending....: 0265"record_type=QU" "user=tdw" "counterparty=277" "device=Aitken" "system=Equity" "time=29098" "quantity=22000" "buy_sell=B" "isin=GB00B15XDH89" "epic=GGP" "t+=2" "settlement_date=20200306" "user_details=0804354" "quantity=22000" "buy_sell=B" "currency=GBP" "link="</t>
  </si>
  <si>
    <t>04/03/20 08:04:59 8992 (10.152.26.30) : Read: "record_type=QUR" "reply_reason=0" "agency_time=2020-03-04 08:04:59.493" "bid_price=0.047" "bid_size=1500000" "buy_sell=B" "control_ref=d7e10b3a-5dee-11ea-b915-005056a25061" "counterparty=277" "currency=GBP" "device=Aitken" "epic=GGP.L" "isin=GB00B15XDH89" "link=871" "market_maker=871" "offer_price=0" "offer_size=0" "professional=N" "ps_bid_price=0.047" "ps_offer_price=0" "quantity=22000" "rsp=PLHCGB3LBIC" "sent_time=2020-03-04 08:04:59.493" "serial_number=155984082" "settlement_date=20200306" "system=Equity" "t+=2" "time=29098" "user=tdw" "user_details=0804354"</t>
  </si>
  <si>
    <t>04/03/20 08:04:59 8992: Quo reply :                       ICV        GB00B15XDH89                                                    871 22000       S20200306  2     125       4.7                30 LSC     B15XDH8 GGP.L                         GGP   GB00B15XDH89    GBXGB   GGP.L   0804354                    871</t>
  </si>
  <si>
    <t>04/03/20 08:05:00 12728 (10.152.26.31) : Got quo request:                      ICV        GB0000456144                                                        1000        B20200306  2                                     LSD     0045614 ANTO.L                        ANTO  GB0000456144    GBXGB   ANTO.L  4643472                    GBP</t>
  </si>
  <si>
    <t>04/03/20 08:05:00 12728 (10.152.26.31) : Sending....: 0264"record_type=QU" "user=tdw" "counterparty=277" "device=Aitken" "system=Equity" "time=29100" "quantity=1000" "buy_sell=S" "isin=GB0000456144" "epic=ANTO" "t+=2" "settlement_date=20200306" "user_details=4643472" "quantity=1000" "buy_sell=S" "currency=GBP" "link="</t>
  </si>
  <si>
    <t>04/03/20 08:05:00 12728 (10.152.26.31) : Read: "record_type=QUR" "reply_reason=0" "agency_time=2020-03-04 08:05:00.865" "bid_price=0" "bid_size=0" "buy_sell=S" "control_ref=d8b9ca2e-5dee-11ea-b283-005056a25061" "counterparty=277" "currency=GBP" "device=Aitken" "epic=ANTO" "isin=GB0000456144" "link=801" "market_maker=801" "offer_price=7.84166" "offer_size=1000" "professional=N" "ps_bid_price=0" "ps_offer_price=7.84166" "quantity=1000" "rsp=WNTSGB2LBIC" "sent_time=2020-03-04 08:05:00.865" "serial_number=949399161" "settlement_date=20200306" "system=Equity" "t+=2" "time=29100" "user=tdw" "user_details=4643472" "quotation_amount=1"</t>
  </si>
  <si>
    <t>04/03/20 08:05:00 12728: Quo reply :                       ICV        GB0000456144                                                    801 1000        B20200306  2     126       784.166            30 LSD     0045614 ANTO.L                        ANTO  GB0000456144    GBXGB   ANTO.L  4643472                    801</t>
  </si>
  <si>
    <t>04/03/20 08:05:02 9580 (10.152.26.30) : Got quo request:                      ICV        GB00BJ5JNL69                                                        5208        B20200306  2                                     LSC     BJ5JNL6 SDX.L                         SDX   GB00BJ5JNL69    GBXGB   SDX.L   4718409                    GBP</t>
  </si>
  <si>
    <t>04/03/20 08:05:02 9580 (10.152.26.30) : Sending....: 0263"record_type=QU" "user=tdw" "counterparty=277" "device=Aitken" "system=Equity" "time=29102" "quantity=5208" "buy_sell=S" "isin=GB00BJ5JNL69" "epic=SDX" "t+=2" "settlement_date=20200306" "user_details=4718409" "quantity=5208" "buy_sell=S" "currency=GBP" "link="</t>
  </si>
  <si>
    <t>04/03/20 08:05:02 9580 (10.152.26.30) : Read: "record_type=QUR" "reply_reason=0" "agency_time=2020-03-04 08:05:02.827" "bid_price=0" "bid_size=0" "buy_sell=S" "control_ref=d9d57bce-5dee-11ea-bb3b-005056a25061" "counterparty=277" "currency=GBP" "device=Aitken" "epic=SDX" "isin=GB00BJ5JNL69" "link=791" "market_maker=791" "offer_price=0.192" "offer_size=27500" "professional=N" "ps_bid_price=0" "ps_offer_price=0.192" "quantity=5208" "rsp=BEGODEHH" "sent_time=2020-03-04 08:05:02.827" "serial_number=1974893227" "settlement_date=20200306" "system=Equity" "t+=2" "time=29102" "user=tdw" "user_details=4718409"</t>
  </si>
  <si>
    <t>04/03/20 08:05:02 9580: Quo reply :                       ICV        GB00BJ5JNL69                                                    791 5208        B20200306  2     127       19.2               30 LSC     BJ5JNL6 SDX.L                         SDX   GB00BJ5JNL69    GBXGB   SDX.L   4718409                    791</t>
  </si>
  <si>
    <t>04/03/20 08:05:03 4124 (10.152.26.31) : Got quo request:                      ICV        FR0010397232                                                        10000       S20200306  2                                     LSC     BF16YK9 NCYT.L                        NCYT  FR0010397232    GBXGB   NCYT.L  7055692                    GBP</t>
  </si>
  <si>
    <t>04/03/20 08:05:03 4124 (10.152.26.31) : Sending....: 0266"record_type=QU" "user=tdw" "counterparty=277" "device=Aitken" "system=Equity" "time=29103" "quantity=10000" "buy_sell=B" "isin=FR0010397232" "epic=NCYT" "t+=2" "settlement_date=20200306" "user_details=7055692" "quantity=10000" "buy_sell=B" "currency=GBP" "link="</t>
  </si>
  <si>
    <t>04/03/20 08:05:03 4124 (10.152.26.31) : Read: "record_type=QUR" "reply_reason=0" "agency_time=2020-03-04 08:05:03.920" "bid_price=1.030001" "bid_size=25000" "buy_sell=B" "control_ref=da884f88-5dee-11ea-846c-005056a25061" "counterparty=277" "currency=GBP" "device=Aitken" "epic=NCYT.L" "isin=FR0010397232" "link=871" "market_maker=871" "offer_price=0" "offer_size=0" "professional=N" "ps_bid_price=1.030001" "ps_offer_price=0" "quantity=10000" "rsp=PLHCGB3LBIC" "sent_time=2020-03-04 08:05:03.920" "serial_number=1326141123" "settlement_date=20200306" "system=Equity" "t+=2" "time=29103" "user=tdw" "user_details=7055692"</t>
  </si>
  <si>
    <t>04/03/20 08:05:03 4124: Quo reply :                       ICV        FR0010397232                                                    871 10000       S20200306  2     128       103.0001           30 LSC     BF16YK9 NCYT.L                        NCYT  FR0010397232    GBXGB   NCYT.L  7055692                    871</t>
  </si>
  <si>
    <t>04/03/20 08:05:03 11108 (10.152.26.32) : Got quo request:                      ICV        BMG864081044                                                        182         S20200306  2                                     LSC     B3V5PR6 SLP.L                         SLP   BMG864081044    GBXGB   SLP.L   2259797                    GBP</t>
  </si>
  <si>
    <t>04/03/20 08:05:03 11108 (10.152.26.32) : Sending....: 0261"record_type=QU" "user=tdw" "counterparty=277" "device=Aitken" "system=Equity" "time=29103" "quantity=182" "buy_sell=B" "isin=BMG864081044" "epic=SLP" "t+=2" "settlement_date=20200306" "user_details=2259797" "quantity=182" "buy_sell=B" "currency=GBP" "link="</t>
  </si>
  <si>
    <t>04/03/20 08:05:03 11108 (10.152.26.32) : Read: "record_type=QUR" "reply_reason=0" "agency_time=2020-03-04 08:05:04.272" "bid_price=0.5525" "bid_size=112500" "buy_sell=B" "control_ref=daa03f76-5dee-11ea-b441-005056a25061" "counterparty=277" "currency=GBP" "device=Aitken" "epic=SLP" "isin=BMG864081044" "link=801" "market_maker=801" "offer_price=0" "offer_size=0" "professional=N" "ps_bid_price=0.5525" "ps_offer_price=0" "quantity=182" "rsp=WNTSGB2LBIC" "sent_time=2020-03-04 08:05:04.272" "serial_number=1615062442" "settlement_date=20200306" "system=Equity" "t+=2" "time=29103" "user=tdw" "user_details=2259797" "quotation_amount=1"</t>
  </si>
  <si>
    <t>04/03/20 08:05:03 11108: Quo reply :                       ICV        BMG864081044                                                    801 182         S20200306  2     129       55.25              30 LSC     B3V5PR6 SLP.L                         SLP   BMG864081044    GBXGB   SLP.L   2259797                    801</t>
  </si>
  <si>
    <t>04/03/20 08:05:05 5992 (10.152.26.30) : Got quo request:                      ICV        GB0004270301                                                        200         B20200306  2                                     LSA     0427030 HILS.L                        HILS  GB0004270301    GBXGB   HILS.L  2240174                    GBP</t>
  </si>
  <si>
    <t>04/03/20 08:05:05 5992 (10.152.26.30) : Sending....: 0262"record_type=QU" "user=tdw" "counterparty=277" "device=Aitken" "system=Equity" "time=29105" "quantity=200" "buy_sell=S" "isin=GB0004270301" "epic=HILS" "t+=2" "settlement_date=20200306" "user_details=2240174" "quantity=200" "buy_sell=S" "currency=GBP" "link="</t>
  </si>
  <si>
    <t>04/03/20 08:05:05 5992 (10.152.26.30) : Read: "record_type=QUR" "reply_reason=0" "agency_time=2020-03-04 08:05:06.103" "bid_price=0" "bid_size=0" "buy_sell=S" "control_ref=dbb03538-5dee-11ea-a1dc-005056a25061" "counterparty=277" "currency=GBP" "device=Aitken" "epic=HILS.L" "isin=GB0004270301" "link=871" "market_maker=871" "offer_price=14.0262" "offer_size=1265" "professional=N" "ps_bid_price=0" "ps_offer_price=14.0262" "quantity=200" "rsp=PLHCGB3LBIC" "sent_time=2020-03-04 08:05:06.103" "serial_number=2143807406" "settlement_date=20200306" "system=Equity" "t+=2" "time=29105" "user=tdw" "user_details=2240174"</t>
  </si>
  <si>
    <t>04/03/20 08:05:05 5992: Quo reply :                       ICV        GB0004270301                                                    871 200         B20200306  2     130       1402.62            30 LSA     0427030 HILS.L                        HILS  GB0004270301    GBXGB   HILS.L  2240174                    871</t>
  </si>
  <si>
    <t>04/03/20 08:05:07 11888(10.152.26.32) : Got exe request:                      ICV        GB0004270301                                                    1402.620000        200         BABGBXA 130                            Y                                                     2240174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871 GB     HILS.L  00</t>
  </si>
  <si>
    <t>04/03/20 08:05:07 11888 (10.152.26.32) : Sending....: 0299"record_type=DE" "user=tdw" "counterparty=277" "device=Aitken" "system=Equity" "time=29107" "isin=GB0004270301" "epic=HILS" "serial_number=2143807406" "buy_sell=S" "quantity=200" "t+=2" "currency=GBP" "booking_c/party=" "settlement_date=20200306" "user_details=2240174" "market_maker=871" "link="</t>
  </si>
  <si>
    <t>04/03/20 08:05:07 11888 (10.152.26.32) : Read: "record_type=DER" "reply_reason=0" "agency_time=2020-03-04 08:05:08.162" "bargain_ref=080505G0644879-1" "buy_sell=S" "control_ref=080505G0644879" "counterparty=277" "currency=GBP" "deal_time=08:05:08" "device=Aitken" "epic=HILS.L" "execution_venue=XLON" "isin=GB0004270301" "market_maker=871" "price=14.0262" "professional=N" "quantity=200" "sent_time=2020-03-04 08:05:08.149" "serial_number=080505G0644879-1" "settlement_date=20200306" "system=Equity" "t+=2" "time=29107" "user=tdw" "user_details=2240174"</t>
  </si>
  <si>
    <t>04/03/20 08:05:07 11888: Exe reply :                       ICV        GB0004270301                                                    1402.620000        200         BABGBXA 130                            Y                                                     2240174                                                                                                                                                                                                                                                                       080505G064487920200306     080505G06420200304080507   1402.62               200                 871 GB     HILS.L  02</t>
  </si>
  <si>
    <t>04/03/20 08:05:08 10288 (10.152.26.31)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</si>
  <si>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08:05:08 10288 (10.152.26.31) : Sending....: 0264"record_type=QU" "user=tdw" "counterparty=277" "device=Aitken" "system=Equity" "time=29108" "quantity=1500" "buy_sell=B" "isin=GB0031348658" "epic=BARC" "t+=2" "settlement_date=20200306" "user_details=5231771" "quantity=1500" "buy_sell=B" "currency=GBP" "link="</t>
  </si>
  <si>
    <t>04/03/20 08:05:08 10288 (10.152.26.31) : Read: "record_type=QUR" "reply_reason=0" "agency_time=2020-03-04 08:05:08.975" "bid_price=1.3859" "bid_size=4000" "buy_sell=B" "control_ref=dd8f8606-5dee-11ea-9da4-005056a25061" "counterparty=277" "currency=GBP" "device=Aitken" "epic=BARC" "isin=GB0031348658" "link=801" "market_maker=801" "offer_price=0" "offer_size=0" "professional=N" "ps_bid_price=1.3859" "ps_offer_price=0" "quantity=1500" "rsp=WNTSGB2LBIC" "sent_time=2020-03-04 08:05:08.975" "serial_number=1418440708" "settlement_date=20200306" "system=Equity" "t+=2" "time=29108" "user=tdw" "user_details=5231771" "quotation_amount=1"</t>
  </si>
  <si>
    <t>04/03/20 08:05:08 10288: Quo reply :                       ICV        GB0031348658                                                    801 1500        S20200306  2     131       138.59             30 LSF     3134865 BARC.L                        BARC  GB0031348658    GBXGB   BARC.L  5231771                    801</t>
  </si>
  <si>
    <t>04/03/20 08:05:09 12900 (10.152.26.30) : Got quo request:                      ICV        GB00B0DG3H29                                                        21288       B20200306  2                                     LSB     B0DG3H2 SXX.L                         SXX   GB00B0DG3H29    GBXGB   SXX.L   4742166                    GBP</t>
  </si>
  <si>
    <t>04/03/20 08:05:09 12900 (10.152.26.30) : Sending....: 0265"record_type=QU" "user=tdw" "counterparty=277" "device=Aitken" "system=Equity" "time=29109" "quantity=21288" "buy_sell=S" "isin=GB00B0DG3H29" "epic=SXX" "t+=2" "settlement_date=20200306" "user_details=4742166" "quantity=21288" "buy_sell=S" "currency=GBP" "link="</t>
  </si>
  <si>
    <t>04/03/20 08:05:09 12900 (10.152.26.30) : Read: "record_type=QUR" "reply_reason=99" "reply_message=No valid quote available" "agency_time=2020-03-04 08:05:09.891" "buy_sell=S" "counterparty=277" "currency=GBP" "device=Aitken" "epic=SXX" "isin=GB00B0DG3H29" "link=000" "professional=N" "quantity=21288" "system=Equity" "t+=2" "time=20200304-08:05:09" "user=tdw" "user_details=4742166"</t>
  </si>
  <si>
    <t>04/03/20 08:05:09 12900: Quo reject : 10099 : No valid quote available</t>
  </si>
  <si>
    <t>04/03/20 08:05:10 6048 (10.152.26.32)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</si>
  <si>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08:05:10 6048 (10.152.26.32) : Sending....: 0264"record_type=QU" "user=tdw" "counterparty=277" "device=Aitken" "system=Equity" "time=29110" "quantity=1500" "buy_sell=B" "isin=GB0031348658" "epic=BARC" "t+=2" "settlement_date=20200306" "user_details=5231771" "quantity=1500" "buy_sell=B" "currency=GBP" "link="</t>
  </si>
  <si>
    <t>04/03/20 08:05:10 6048 (10.152.26.32) : Read: "record_type=QUR" "reply_reason=0" "agency_time=2020-03-04 08:05:10.566" "bid_price=1.3856" "bid_size=4000" "buy_sell=B" "control_ref=de869478-5dee-11ea-a1de-005056a25061" "counterparty=277" "currency=GBP" "device=Aitken" "epic=BARC" "isin=GB0031348658" "link=801" "market_maker=801" "offer_price=0" "offer_size=0" "professional=N" "ps_bid_price=1.3856" "ps_offer_price=0" "quantity=1500" "rsp=WNTSGB2LBIC" "sent_time=2020-03-04 08:05:10.566" "serial_number=1904864565" "settlement_date=20200306" "system=Equity" "t+=2" "time=29110" "user=tdw" "user_details=5231771" "quotation_amount=1"</t>
  </si>
  <si>
    <t>04/03/20 08:05:10 6048: Quo reply :                       ICV        GB0031348658                                                    801 1500        S20200306  2     132       138.56             30 LSF     3134865 BARC.L                        BARC  GB0031348658    GBXGB   BARC.L  5231771                    801</t>
  </si>
  <si>
    <t>04/03/20 08:05:14 9236 (10.152.26.31) : Got quo request:                      ICV        CH0198251305                                                        1350        S20200306  2                                     LSD     B9895B7 CCH.L                         CCH   CH0198251305    GBXGB   CCH.L   0723034                    GBP</t>
  </si>
  <si>
    <t>04/03/20 08:05:14 9236 (10.152.26.31) : Sending....: 0263"record_type=QU" "user=tdw" "counterparty=277" "device=Aitken" "system=Equity" "time=29114" "quantity=1350" "buy_sell=B" "isin=CH0198251305" "epic=CCH" "t+=2" "settlement_date=20200306" "user_details=0723034" "quantity=1350" "buy_sell=B" "currency=GBP" "link="</t>
  </si>
  <si>
    <t>04/03/20 08:05:14 9236 (10.152.26.31) : Read: "record_type=QUR" "reply_reason=0" "agency_time=2020-03-04 08:05:14.717" "bid_price=25.7257" "bid_size=1350" "buy_sell=B" "control_ref=e0ffd02a-5dee-11ea-807b-005056a25061" "counterparty=277" "currency=GBP" "device=Aitken" "epic=CCH" "isin=CH0198251305" "link=801" "market_maker=801" "offer_price=0" "offer_size=0" "professional=N" "ps_bid_price=25.7257" "ps_offer_price=0" "quantity=1350" "rsp=WNTSGB2LBIC" "sent_time=2020-03-04 08:05:14.717" "serial_number=2039596973" "settlement_date=20200306" "system=Equity" "t+=2" "time=29114" "user=tdw" "user_details=0723034" "quotation_amount=1"</t>
  </si>
  <si>
    <t>04/03/20 08:05:14 9236: Quo reply :                       ICV        CH0198251305                                                    801 1350        S20200306  2     133       2572.57            30 LSD     B9895B7 CCH.L                         CCH   CH0198251305    GBXGB   CCH.L   0723034                    801</t>
  </si>
  <si>
    <t>04/03/20 08:05:15 11996 (10.152.26.32) : Got quo request:                      ICV        GB0033711010                                                        10000       S20200306  2                                     LSB     3371101 IMM.L                         IMM   GB0033711010    GBXGB   IMM.L   6120848                    GBP</t>
  </si>
  <si>
    <t>04/03/20 08:05:15 11996 (10.152.26.32) : Sending....: 0265"record_type=QU" "user=tdw" "counterparty=277" "device=Aitken" "system=Equity" "time=29115" "quantity=10000" "buy_sell=B" "isin=GB0033711010" "epic=IMM" "t+=2" "settlement_date=20200306" "user_details=6120848" "quantity=10000" "buy_sell=B" "currency=GBP" "link="</t>
  </si>
  <si>
    <t>04/03/20 08:05:15 11996 (10.152.26.32) : Read: "record_type=QUR" "reply_reason=0" "agency_time=2020-03-04 08:05:16.328" "bid_price=0.1231" "bid_size=62500" "buy_sell=B" "control_ref=e1f12470-5dee-11ea-bdef-005056a25061" "counterparty=277" "currency=GBP" "device=Aitken" "epic=IMM" "isin=GB0033711010" "link=635" "market_maker=635" "offer_price=0" "offer_size=0" "professional=N" "ps_bid_price=0.1231" "ps_offer_price=0" "quantity=10000" "rsp=CFEQGB21EPE" "sent_time=2020-03-04 08:05:16.328" "serial_number=786692339" "settlement_date=20200306" "system=Equity" "t+=2" "time=29115" "user=tdw" "user_details=6120848"</t>
  </si>
  <si>
    <t>04/03/20 08:05:15 11996: Quo reply :                       ICV        GB0033711010                                                    635 10000       S20200306  2     134       12.31              30 LSB     3371101 IMM.L                         IMM   GB0033711010    GBXGB   IMM.L   6120848                    635</t>
  </si>
  <si>
    <t>04/03/20 08:05:16 8992 (10.152.26.30) : Got quo request:                      ICV        GB0008706128                                                        4000        B20200401 20                                     LSF     0870612 LLOY.L                        LLOY  GB0008706128    GBXGB   LLOY.L  0111249                    GBP</t>
  </si>
  <si>
    <t>04/03/20 08:05:16 8992 (10.152.26.30) : Sending....: 0265"record_type=QU" "user=tdw" "counterparty=277" "device=Aitken" "system=Equity" "time=29116" "quantity=4000" "buy_sell=S" "isin=GB0008706128" "epic=LLOY" "t+=20" "settlement_date=20200401" "user_details=0111249" "quantity=4000" "buy_sell=S" "currency=GBP" "link="</t>
  </si>
  <si>
    <t>04/03/20 08:05:16 8992 (10.152.26.30) : Read: "record_type=QUR" "reply_reason=0" "agency_time=2020-03-04 08:05:16.507" "bid_price=0" "bid_size=0" "buy_sell=S" "control_ref=e20b4fa8-5dee-11ea-86da-005056a25061" "counterparty=277" "currency=GBP" "device=Aitken" "epic=LLOY" "isin=GB0008706128" "link=331" "market_maker=331" "offer_price=0.481" "offer_size=375000" "professional=N" "ps_bid_price=0" "ps_offer_price=0.481" "quantity=4000" "rsp=IHCSGB21002" "sent_time=2020-03-04 08:05:16.507" "serial_number=2018009735" "settlement_date=20200401" "system=Equity" "t+=20" "time=29116" "user=tdw" "user_details=0111249"</t>
  </si>
  <si>
    <t>04/03/20 08:05:16 8992: Quo reply :                       ICV        GB0008706128                                                    331 4000        B20200401 20     135       48.1               30 LSF     0870612 LLOY.L                        LLOY  GB0008706128    GBXGB   LLOY.L  0111249                    331</t>
  </si>
  <si>
    <t>04/03/20 08:05:19 12656 (10.152.26.34) : Got quo request:                      ICV        GB00BH4HKS39                                                        1429        B20200306  2                                     LSF     BH4HKS3 VOD.L                         VOD   GB00BH4HKS39    GBXGB   VOD.L   1067216                    GBP</t>
  </si>
  <si>
    <t>04/03/20 08:05:19 12656 (10.152.26.34) : Sending....: 0263"record_type=QU" "user=tdw" "counterparty=277" "device=Aitken" "system=Equity" "time=29119" "quantity=1429" "buy_sell=S" "isin=GB00BH4HKS39" "epic=VOD" "t+=2" "settlement_date=20200306" "user_details=1067216" "quantity=1429" "buy_sell=S" "currency=GBP" "link="</t>
  </si>
  <si>
    <t>04/03/20 08:05:19 12656 (10.152.26.34) : Read: "record_type=QUR" "reply_reason=0" "agency_time=2020-03-04 08:05:19.531" "bid_price=0" "bid_size=0" "buy_sell=S" "control_ref=e3deff96-5dee-11ea-8983-005056a25061" "counterparty=277" "currency=GBP" "device=Aitken" "epic=VOD" "isin=GB00BH4HKS39" "link=801" "market_maker=801" "offer_price=1.33083" "offer_size=10000" "professional=N" "ps_bid_price=0" "ps_offer_price=1.33083" "quantity=1429" "rsp=WNTSGB2LBIC" "sent_time=2020-03-04 08:05:19.531" "serial_number=1249852673" "settlement_date=20200306" "system=Equity" "t+=2" "time=29119" "user=tdw" "user_details=1067216" "quotation_amount=1"</t>
  </si>
  <si>
    <t>04/03/20 08:05:19 12656: Quo reply :                       ICV        GB00BH4HKS39                                                    801 1429        B20200306  2     136       133.083            30 LSF     BH4HKS3 VOD.L                         VOD   GB00BH4HKS39    GBXGB   VOD.L   1067216                    801</t>
  </si>
  <si>
    <t>04/03/20 08:05:20 12728 (10.152.26.31)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</si>
  <si>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08:05:20 12728 (10.152.26.31) : Sending....: 0264"record_type=QU" "user=tdw" "counterparty=277" "device=Aitken" "system=Equity" "time=29120" "quantity=1500" "buy_sell=B" "isin=GB0031348658" "epic=BARC" "t+=2" "settlement_date=20200306" "user_details=5231771" "quantity=1500" "buy_sell=B" "currency=GBP" "link="</t>
  </si>
  <si>
    <t>04/03/20 08:05:20 12728 (10.152.26.31) : Read: "record_type=QUR" "reply_reason=0" "agency_time=2020-03-04 08:05:21.328" "bid_price=1.3876" "bid_size=4000" "buy_sell=B" "control_ref=e4f08918-5dee-11ea-b7eb-005056a25061" "counterparty=277" "currency=GBP" "device=Aitken" "epic=BARC" "isin=GB0031348658" "link=801" "market_maker=801" "offer_price=0" "offer_size=0" "professional=N" "ps_bid_price=1.3876" "ps_offer_price=0" "quantity=1500" "rsp=WNTSGB2LBIC" "sent_time=2020-03-04 08:05:21.328" "serial_number=1805767335" "settlement_date=20200306" "system=Equity" "t+=2" "time=29120" "user=tdw" "user_details=5231771" "quotation_amount=1"</t>
  </si>
  <si>
    <t>04/03/20 08:05:20 12728: Quo reply :                       ICV        GB0031348658                                                    801 1500        S20200306  2     137       138.76             30 LSF     3134865 BARC.L                        BARC  GB0031348658    GBXGB   BARC.L  5231771                    801</t>
  </si>
  <si>
    <t>04/03/20 08:05:22 11108 (10.152.26.32) : Got quo request:                      ICV        GB00B4WQVY43                                                        200000      S20200331 19                                     LSC     B4WQVY4 PHE.L                         PHE   GB00B4WQVY43    GBXGB   PHE.L   0492798                    GBP</t>
  </si>
  <si>
    <t>04/03/20 08:05:22 11108 (10.152.26.32) : Sending....: 0268"record_type=QU" "user=tdw" "counterparty=277" "device=Aitken" "system=Equity" "time=29122" "quantity=200000" "buy_sell=B" "isin=GB00B4WQVY43" "epic=PHE" "t+=19" "settlement_date=20200331" "user_details=0492798" "quantity=200000" "buy_sell=B" "currency=GBP" "link="</t>
  </si>
  <si>
    <t>04/03/20 08:05:22 11108 (10.152.26.32) : Read: "record_type=QUR" "reply_reason=99" "reply_message=No valid quote available" "agency_time=2020-03-04 08:05:22.724" "buy_sell=B" "counterparty=277" "currency=GBP" "device=Aitken" "epic=PHE" "isin=GB00B4WQVY43" "link=000" "professional=N" "quantity=200000" "system=Equity" "t+=19" "time=20200304-08:05:22" "user=tdw" "user_details=0492798"</t>
  </si>
  <si>
    <t>04/03/20 08:05:22 11108: Quo reject : 10099 : No valid quote available</t>
  </si>
  <si>
    <t>04/03/20 08:05:23 9580 (10.152.26.30)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</si>
  <si>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08:05:23 9580 (10.152.26.30) : Sending....: 0264"record_type=QU" "user=tdw" "counterparty=277" "device=Aitken" "system=Equity" "time=29123" "quantity=1500" "buy_sell=B" "isin=GB0031348658" "epic=BARC" "t+=2" "settlement_date=20200306" "user_details=5231771" "quantity=1500" "buy_sell=B" "currency=GBP" "link="</t>
  </si>
  <si>
    <t>04/03/20 08:05:23 9580 (10.152.26.30) : Read: "record_type=QUR" "reply_reason=0" "agency_time=2020-03-04 08:05:24.327" "bid_price=1.3878" "bid_size=4000" "buy_sell=B" "control_ref=e6b8b086-5dee-11ea-9b18-005056a25061" "counterparty=277" "currency=GBP" "device=Aitken" "epic=BARC" "isin=GB0031348658" "link=801" "market_maker=801" "offer_price=0" "offer_size=0" "professional=N" "ps_bid_price=1.3878" "ps_offer_price=0" "quantity=1500" "rsp=WNTSGB2LBIC" "sent_time=2020-03-04 08:05:24.327" "serial_number=1395851449" "settlement_date=20200306" "system=Equity" "t+=2" "time=29123" "user=tdw" "user_details=5231771" "quotation_amount=1"</t>
  </si>
  <si>
    <t>04/03/20 08:05:23 9580: Quo reply :                       ICV        GB0031348658                                                    801 1500        S20200306  2     138       138.78             30 LSF     3134865 BARC.L                        BARC  GB0031348658    GBXGB   BARC.L  5231771                    801</t>
  </si>
  <si>
    <t>04/03/20 08:05:25 4124 (10.152.26.31) : Got quo request:                      ICV        GB00B580MF54                                                        66          B20200306  2                                     LSB     B580MF5 HUR.L                         HUR   GB00B580MF54    GBXGB   HUR.L   2261493                    GBP</t>
  </si>
  <si>
    <t>04/03/20 08:05:25 4124 (10.152.26.31) : Sending....: 0259"record_type=QU" "user=tdw" "counterparty=277" "device=Aitken" "system=Equity" "time=29125" "quantity=66" "buy_sell=S" "isin=GB00B580MF54" "epic=HUR" "t+=2" "settlement_date=20200306" "user_details=2261493" "quantity=66" "buy_sell=S" "currency=GBP" "link="</t>
  </si>
  <si>
    <t>04/03/20 08:05:25 4124 (10.152.26.31) : Read: "record_type=QUR" "reply_reason=0" "agency_time=2020-03-04 08:05:25.902" "bid_price=0" "bid_size=0" "buy_sell=S" "control_ref=e7a8f97e-5dee-11ea-b2c8-005056a25061" "counterparty=277" "currency=GBP" "device=Aitken" "epic=HUR" "isin=GB00B580MF54" "link=801" "market_maker=801" "offer_price=0.1496" "offer_size=7500" "professional=N" "ps_bid_price=0" "ps_offer_price=0.1496" "quantity=66" "rsp=WNTSGB2LBIC" "sent_time=2020-03-04 08:05:25.902" "serial_number=1460837359" "settlement_date=20200306" "system=Equity" "t+=2" "time=29125" "user=tdw" "user_details=2261493" "quotation_amount=1"</t>
  </si>
  <si>
    <t>04/03/20 08:05:25 4124: Quo reply :                       ICV        GB00B580MF54                                                    801 66          B20200306  2     139       14.96              30 LSB     B580MF5 HUR.L                         HUR   GB00B580MF54    GBXGB   HUR.L   2261493                    801</t>
  </si>
  <si>
    <t>04/03/20 08:05:27 11888 (10.152.26.32) : Got quo request:                      ICV        GB00B0HZPV38                                                        2500        B20200401 20                                     LSA     B0HZPV3 KAZ.L                         KAZ   GB00B0HZPV38    GBXGB   KAZ.L   0880300                    GBP</t>
  </si>
  <si>
    <t>04/03/20 08:05:27 11888 (10.152.26.32) : Sending....: 0264"record_type=QU" "user=tdw" "counterparty=277" "device=Aitken" "system=Equity" "time=29127" "quantity=2500" "buy_sell=S" "isin=GB00B0HZPV38" "epic=KAZ" "t+=20" "settlement_date=20200401" "user_details=0880300" "quantity=2500" "buy_sell=S" "currency=GBP" "link="</t>
  </si>
  <si>
    <t>04/03/20 08:05:28 11888 (10.152.26.32) : Read: "record_type=QUR" "reply_reason=0" "agency_time=2020-03-04 08:05:28.444" "bid_price=0" "bid_size=0" "buy_sell=S" "control_ref=e923a45c-5dee-11ea-bd92-005056a25061" "counterparty=277" "currency=GBP" "device=Aitken" "epic=KAZ" "isin=GB00B0HZPV38" "link=331" "market_maker=331" "offer_price=4.243" "offer_size=10000" "professional=N" "ps_bid_price=0" "ps_offer_price=4.243" "quantity=2500" "rsp=IHCSGB21002" "sent_time=2020-03-04 08:05:28.444" "serial_number=1330078396" "settlement_date=20200401" "system=Equity" "t+=20" "time=29127" "user=tdw" "user_details=0880300"</t>
  </si>
  <si>
    <t>04/03/20 08:05:28 11888: Quo reply :                       ICV        GB00B0HZPV38                                                    331 2500        B20200401 20     140       424.3              30 LSA     B0HZPV3 KAZ.L                         KAZ   GB00B0HZPV38    GBXGB   KAZ.L   0880300                    331</t>
  </si>
  <si>
    <t>04/03/20 08:05:28 8992 (10.152.26.30) : Got quo request:                      ICV        FR0010397232                                                        10000       S20200306  2                                     LSC     BF16YK9 NCYT.L                        NCYT  FR0010397232    GBXGB   NCYT.L  7055692                    GBP</t>
  </si>
  <si>
    <t>04/03/20 08:05:28 8992 (10.152.26.30) : Sending....: 0266"record_type=QU" "user=tdw" "counterparty=277" "device=Aitken" "system=Equity" "time=29128" "quantity=10000" "buy_sell=B" "isin=FR0010397232" "epic=NCYT" "t+=2" "settlement_date=20200306" "user_details=7055692" "quantity=10000" "buy_sell=B" "currency=GBP" "link="</t>
  </si>
  <si>
    <t>04/03/20 08:05:28 8992 (10.152.26.30) : Read: "record_type=QUR" "reply_reason=0" "agency_time=2020-03-04 08:05:28.506" "bid_price=1.032" "bid_size=25000" "buy_sell=B" "control_ref=e93696fc-5dee-11ea-8999-005056a25061" "counterparty=277" "currency=GBP" "device=Aitken" "epic=NCYT" "isin=FR0010397232" "link=006" "market_maker=006" "offer_price=0" "offer_size=0" "professional=N" "ps_bid_price=1.032" "ps_offer_price=0" "quantity=10000" "rsp=STNOGB21" "sent_time=2020-03-04 08:05:28.506" "serial_number=286755984" "settlement_date=20200306" "system=Equity" "t+=2" "time=29128" "user=tdw" "user_details=7055692"</t>
  </si>
  <si>
    <t>04/03/20 08:05:28 8992: Quo reply :                       ICV        FR0010397232                                                    006 10000       S20200306  2     141       103.2              30 LSC     BF16YK9 NCYT.L                        NCYT  FR0010397232    GBXGB   NCYT.L  7055692                    006</t>
  </si>
  <si>
    <t>04/03/20 08:05:32 10288 (10.152.26.31)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</si>
  <si>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08:05:32 10288 (10.152.26.31) : Sending....: 0264"record_type=QU" "user=tdw" "counterparty=277" "device=Aitken" "system=Equity" "time=29132" "quantity=1500" "buy_sell=B" "isin=GB0031348658" "epic=BARC" "t+=2" "settlement_date=20200306" "user_details=5231771" "quantity=1500" "buy_sell=B" "currency=GBP" "link="</t>
  </si>
  <si>
    <t>04/03/20 08:05:32 10288 (10.152.26.31) : Read: "record_type=QUR" "reply_reason=0" "agency_time=2020-03-04 08:05:32.729" "bid_price=1.3878" "bid_size=4000" "buy_sell=B" "control_ref=ebbab3c2-5dee-11ea-8927-005056a25061" "counterparty=277" "currency=GBP" "device=Aitken" "epic=BARC" "isin=GB0031348658" "link=801" "market_maker=801" "offer_price=0" "offer_size=0" "professional=N" "ps_bid_price=1.3878" "ps_offer_price=0" "quantity=1500" "rsp=WNTSGB2LBIC" "sent_time=2020-03-04 08:05:32.729" "serial_number=1950062284" "settlement_date=20200306" "system=Equity" "t+=2" "time=29132" "user=tdw" "user_details=5231771" "quotation_amount=1"</t>
  </si>
  <si>
    <t>04/03/20 08:05:32 10288: Quo reply :                       ICV        GB0031348658                                                    801 1500        S20200306  2     142       138.78             30 LSF     3134865 BARC.L                        BARC  GB0031348658    GBXGB   BARC.L  5231771                    801</t>
  </si>
  <si>
    <t>04/03/20 08:05:33 12900 (10.152.26.30) : Got quo request:                      ICV        GB0031544546                                                        5000        S20200306  2                                     LSB     3154454 POG.L                         POG   GB0031544546    GBXGB   POG.L   0291654                    GBP</t>
  </si>
  <si>
    <t>04/03/20 08:05:33 12900 (10.152.26.30) : Sending....: 0263"record_type=QU" "user=tdw" "counterparty=277" "device=Aitken" "system=Equity" "time=29133" "quantity=5000" "buy_sell=B" "isin=GB0031544546" "epic=POG" "t+=2" "settlement_date=20200306" "user_details=0291654" "quantity=5000" "buy_sell=B" "currency=GBP" "link="</t>
  </si>
  <si>
    <t>04/03/20 08:05:33 12900 (10.152.26.30) : Read: "record_type=QUR" "reply_reason=0" "agency_time=2020-03-04 08:05:33.708" "bid_price=0.204771" "bid_size=25000" "buy_sell=B" "control_ref=ec5349ca-5dee-11ea-9376-005056a25061" "counterparty=277" "currency=GBP" "device=Aitken" "epic=POG.L" "isin=GB0031544546" "link=871" "market_maker=871" "offer_price=0" "offer_size=0" "professional=N" "ps_bid_price=0.204771" "ps_offer_price=0" "quantity=5000" "rsp=PLHCGB3LBIC" "sent_time=2020-03-04 08:05:33.708" "serial_number=1034769944" "settlement_date=20200306" "system=Equity" "t+=2" "time=29133" "user=tdw" "user_details=0291654"</t>
  </si>
  <si>
    <t>04/03/20 08:05:33 12900: Quo reply :                       ICV        GB0031544546                                                    871 5000        S20200306  2     143       20.4771            30 LSB     3154454 POG.L                         POG   GB0031544546    GBXGB   POG.L   0291654                    871</t>
  </si>
  <si>
    <t>04/03/20 08:05:34 6048 (10.152.26.32)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</si>
  <si>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08:05:34 6048 (10.152.26.32) : Sending....: 0264"record_type=QU" "user=tdw" "counterparty=277" "device=Aitken" "system=Equity" "time=29134" "quantity=1500" "buy_sell=B" "isin=GB0031348658" "epic=BARC" "t+=2" "settlement_date=20200306" "user_details=5231771" "quantity=1500" "buy_sell=B" "currency=GBP" "link="</t>
  </si>
  <si>
    <t>04/03/20 08:05:34 6048 (10.152.26.32) : Read: "record_type=QUR" "reply_reason=0" "agency_time=2020-03-04 08:05:34.496" "bid_price=1.3878" "bid_size=4000" "buy_sell=B" "control_ref=ecca7aa4-5dee-11ea-9e44-005056a25061" "counterparty=277" "currency=GBP" "device=Aitken" "epic=BARC" "isin=GB0031348658" "link=801" "market_maker=801" "offer_price=0" "offer_size=0" "professional=N" "ps_bid_price=1.3878" "ps_offer_price=0" "quantity=1500" "rsp=WNTSGB2LBIC" "sent_time=2020-03-04 08:05:34.496" "serial_number=808555987" "settlement_date=20200306" "system=Equity" "t+=2" "time=29134" "user=tdw" "user_details=5231771" "quotation_amount=1"</t>
  </si>
  <si>
    <t>04/03/20 08:05:34 6048: Quo reply :                       ICV        GB0031348658                                                    801 1500        S20200306  2     144       138.78             30 LSF     3134865 BARC.L                        BARC  GB0031348658    GBXGB   BARC.L  5231771                    801</t>
  </si>
  <si>
    <t>04/03/20 08:05:35 9236 (10.152.26.31) : Got quo request:                      ICV        GG00B4L84979                                                        1953        S20200306  2                                     LSB     B4L8497 BUR.L                         BUR   GG00B4L84979    GBXGG   BUR.L   1052673                    GBP</t>
  </si>
  <si>
    <t>04/03/20 08:05:35 9236 (10.152.26.31) : Sending....: 0263"record_type=QU" "user=tdw" "counterparty=277" "device=Aitken" "system=Equity" "time=29135" "quantity=1953" "buy_sell=B" "isin=GG00B4L84979" "epic=BUR" "t+=2" "settlement_date=20200306" "user_details=1052673" "quantity=1953" "buy_sell=B" "currency=GBP" "link="</t>
  </si>
  <si>
    <t>04/03/20 08:05:35 9236 (10.152.26.31) : Read: "record_type=QUR" "reply_reason=0" "agency_time=2020-03-04 08:05:35.801" "bid_price=5.094645" "bid_size=4725" "buy_sell=B" "control_ref=ed8755de-5dee-11ea-8525-005056a25061" "counterparty=277" "currency=GBP" "device=Aitken" "epic=BUR.L" "isin=GG00B4L84979" "link=871" "market_maker=871" "offer_price=0" "offer_size=0" "professional=N" "ps_bid_price=5.094645" "ps_offer_price=0" "quantity=1953" "rsp=PLHCGB3LBIC" "sent_time=2020-03-04 08:05:35.801" "serial_number=624540630" "settlement_date=20200306" "system=Equity" "t+=2" "time=29135" "user=tdw" "user_details=1052673"</t>
  </si>
  <si>
    <t>04/03/20 08:05:35 9236: Quo reply :                       ICV        GG00B4L84979                                                    871 1953        S20200306  2     145       509.4645           30 LSB     B4L8497 BUR.L                         BUR   GG00B4L84979    GBXGG   BUR.L   1052673                    871</t>
  </si>
  <si>
    <t>04/03/20 08:05:37 11996 (10.152.26.32) : Got quo request:                      ICV        GB0009589168                                                        12748       B20200306  2                                     LSE     0958916 SYM.L                         SYM   GB0009589168    GBXGB   SYM.L   0627928                    GBP</t>
  </si>
  <si>
    <t>04/03/20 08:05:37 11996 (10.152.26.32) : Sending....: 0265"record_type=QU" "user=tdw" "counterparty=277" "device=Aitken" "system=Equity" "time=29137" "quantity=12748" "buy_sell=S" "isin=GB0009589168" "epic=SYM" "t+=2" "settlement_date=20200306" "user_details=0627928" "quantity=12748" "buy_sell=S" "currency=GBP" "link="</t>
  </si>
  <si>
    <t>04/03/20 08:05:37 11996 (10.152.26.32) : Read: "record_type=QUR" "reply_reason=99" "reply_message=No valid quote available" "agency_time=2020-03-04 08:05:37.485" "buy_sell=S" "counterparty=277" "currency=GBP" "device=Aitken" "epic=SYM" "isin=GB0009589168" "link=000" "professional=N" "quantity=12748" "system=Equity" "t+=2" "time=20200304-08:05:37" "user=tdw" "user_details=0627928"</t>
  </si>
  <si>
    <t>04/03/20 08:05:37 11996: Quo reject : 10099 : No valid quote available</t>
  </si>
  <si>
    <t>04/03/20 08:05:38 9580 (10.152.26.30) : Got quo request:                      ICV        CH0198251305                                                        1350        S20200306  2                                     LSD     B9895B7 CCH.L                         CCH   CH0198251305    GBXGB   CCH.L   0723034                    GBP</t>
  </si>
  <si>
    <t>04/03/20 08:05:38 9580 (10.152.26.30) : Sending....: 0263"record_type=QU" "user=tdw" "counterparty=277" "device=Aitken" "system=Equity" "time=29138" "quantity=1350" "buy_sell=B" "isin=CH0198251305" "epic=CCH" "t+=2" "settlement_date=20200306" "user_details=0723034" "quantity=1350" "buy_sell=B" "currency=GBP" "link="</t>
  </si>
  <si>
    <t>04/03/20 08:05:38 9580 (10.152.26.30) : Read: "record_type=QUR" "reply_reason=0" "agency_time=2020-03-04 08:05:38.688" "bid_price=25.75135" "bid_size=1350" "buy_sell=B" "control_ref=ef479564-5dee-11ea-b42d-005056a25061" "counterparty=277" "currency=GBP" "device=Aitken" "epic=CCH" "isin=CH0198251305" "link=801" "market_maker=801" "offer_price=0" "offer_size=0" "professional=N" "ps_bid_price=25.75135" "ps_offer_price=0" "quantity=1350" "rsp=WNTSGB2LBIC" "sent_time=2020-03-04 08:05:38.688" "serial_number=295108726" "settlement_date=20200306" "system=Equity" "t+=2" "time=29138" "user=tdw" "user_details=0723034" "quotation_amount=1"</t>
  </si>
  <si>
    <t>04/03/20 08:05:38 9580: Quo reply :                       ICV        CH0198251305                                                    801 1350        S20200306  2     146       2575.135           30 LSD     B9895B7 CCH.L                         CCH   CH0198251305    GBXGB   CCH.L   0723034                    801</t>
  </si>
  <si>
    <t>04/03/20 08:05:39 12728(10.152.26.31) : Got exe request:                      ICV        GB0031544546                                                    20.477100          5000        SABGBXA 143                            Y                                                     0291654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871 GB     POG.L   00</t>
  </si>
  <si>
    <t>04/03/20 08:05:39 12728 (10.152.26.31) : Sending....: 0299"record_type=DE" "user=tdw" "counterparty=277" "device=Aitken" "system=Equity" "time=29139" "isin=GB0031544546" "epic=POG" "serial_number=1034769944" "buy_sell=B" "quantity=5000" "t+=2" "currency=GBP" "booking_c/party=" "settlement_date=20200306" "user_details=0291654" "market_maker=871" "link="</t>
  </si>
  <si>
    <t>04/03/20 08:05:39 12728 (10.152.26.31) : Read: "record_type=DER" "reply_reason=0" "agency_time=2020-03-04 08:05:40.353" "bargain_ref=080533G0644ea7-1" "buy_sell=B" "control_ref=080533G0644ea7" "counterparty=277" "currency=GBP" "deal_time=08:05:40" "device=Aitken" "epic=POG.L" "execution_venue=XLON" "isin=GB0031544546" "market_maker=871" "price=0.204771" "professional=N" "quantity=5000" "sent_time=2020-03-04 08:05:40.340" "serial_number=080533G0644ea7-1" "settlement_date=20200306" "system=Equity" "t+=2" "time=29139" "user=tdw" "user_details=0291654"</t>
  </si>
  <si>
    <t>04/03/20 08:05:39 12728: Exe reply :                       ICV        GB0031544546                                                    20.477100          5000        SABGBXA 143                            Y                                                     0291654                                                                                                                                                                                                                                                                       080533G0644ea720200306     080533G06420200304080539   20.4771               5000                871 GB     POG.L   02</t>
  </si>
  <si>
    <t>04/03/20 08:05:39 4124 (10.152.26.31)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</si>
  <si>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08:05:39 4124 (10.152.26.31) : Sending....: 0264"record_type=QU" "user=tdw" "counterparty=277" "device=Aitken" "system=Equity" "time=29139" "quantity=5029" "buy_sell=B" "isin=GB00B17BBQ50" "epic=INVP" "t+=2" "settlement_date=20200306" "user_details=0680395" "quantity=5029" "buy_sell=B" "currency=GBP" "link="</t>
  </si>
  <si>
    <t>04/03/20 08:05:40 4124 (10.152.26.31) : Read: "record_type=QUR" "reply_reason=0" "agency_time=2020-03-04 08:05:40.497" "bid_price=3.961518" "bid_size=6450" "buy_sell=B" "control_ref=f04f6d6a-5dee-11ea-bf9e-005056a25061" "counterparty=277" "currency=GBP" "device=Aitken" "epic=INVP.L" "isin=GB00B17BBQ50" "link=871" "market_maker=871" "offer_price=0" "offer_size=0" "professional=N" "ps_bid_price=3.961518" "ps_offer_price=0" "quantity=5029" "rsp=PLHCGB3LBIC" "sent_time=2020-03-04 08:05:40.497" "serial_number=39894211" "settlement_date=20200306" "system=Equity" "t+=2" "time=29139" "user=tdw" "user_details=0680395"</t>
  </si>
  <si>
    <t>04/03/20 08:05:40 4124: Quo reply :                       ICV        GB00B17BBQ50                                                    871 5029        S20200306  2     147       396.1518           30 LSA     B17BBQ5 INVP.L                        INVP  GB00B17BBQ50    GBXGB   INVP.L  0680395                    871</t>
  </si>
  <si>
    <t>04/03/20 08:05:42 10288 (10.152.26.31) : Got quo request:                      ICV        GB00BD8QVC95                                                        16293       S20200306  2                                     LSC     BD8QVC9 ESL.L                         ESL   GB00BD8QVC95    GBXGB   ESL.L   4729585                    GBP</t>
  </si>
  <si>
    <t>04/03/20 08:05:42 10288 (10.152.26.31) : Sending....: 0265"record_type=QU" "user=tdw" "counterparty=277" "device=Aitken" "system=Equity" "time=29142" "quantity=16293" "buy_sell=B" "isin=GB00BD8QVC95" "epic=ESL" "t+=2" "settlement_date=20200306" "user_details=4729585" "quantity=16293" "buy_sell=B" "currency=GBP" "link="</t>
  </si>
  <si>
    <t>04/03/20 08:05:42 10288 (10.152.26.31) : Read: "record_type=QUR" "reply_reason=99" "reply_message=No valid quote available" "agency_time=2020-03-04 08:05:42.987" "buy_sell=B" "counterparty=277" "currency=GBP" "device=Aitken" "epic=ESL" "isin=GB00BD8QVC95" "link=000" "professional=N" "quantity=16293" "system=Equity" "t+=2" "time=20200304-08:05:42" "user=tdw" "user_details=4729585"</t>
  </si>
  <si>
    <t>04/03/20 08:05:42 10288: Quo reject : 10099 : No valid quote available</t>
  </si>
  <si>
    <t>04/03/20 08:05:42 11108 (10.152.26.32) : Got quo request:                      ICV        GB0009589168                                                        12748       B20200306  2                                     LSE     0958916 SYM.L                         SYM   GB0009589168    GBXGB   SYM.L   0627928                    GBP</t>
  </si>
  <si>
    <t>04/03/20 08:05:42 11108 (10.152.26.32) : Sending....: 0265"record_type=QU" "user=tdw" "counterparty=277" "device=Aitken" "system=Equity" "time=29142" "quantity=12748" "buy_sell=S" "isin=GB0009589168" "epic=SYM" "t+=2" "settlement_date=20200306" "user_details=0627928" "quantity=12748" "buy_sell=S" "currency=GBP" "link="</t>
  </si>
  <si>
    <t>04/03/20 08:05:43 11108 (10.152.26.32) : Read: "record_type=QUR" "reply_reason=99" "reply_message=No valid quote available" "agency_time=2020-03-04 08:05:43.370" "buy_sell=S" "counterparty=277" "currency=GBP" "device=Aitken" "epic=SYM" "isin=GB0009589168" "link=000" "professional=N" "quantity=12748" "system=Equity" "t+=2" "time=20200304-08:05:43" "user=tdw" "user_details=0627928"</t>
  </si>
  <si>
    <t>04/03/20 08:05:43 11108: Quo reject : 10099 : No valid quote available</t>
  </si>
  <si>
    <t>04/03/20 08:05:43 8992 (10.152.26.30)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</si>
  <si>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08:05:43 8992 (10.152.26.30) : Sending....: 0264"record_type=QU" "user=tdw" "counterparty=277" "device=Aitken" "system=Equity" "time=29143" "quantity=1500" "buy_sell=B" "isin=GB0031348658" "epic=BARC" "t+=2" "settlement_date=20200306" "user_details=5231771" "quantity=1500" "buy_sell=B" "currency=GBP" "link="</t>
  </si>
  <si>
    <t>04/03/20 08:05:43 8992 (10.152.26.30) : Read: "record_type=QUR" "reply_reason=0" "agency_time=2020-03-04 08:05:43.437" "bid_price=1.3895" "bid_size=4000" "buy_sell=B" "control_ref=f21be1fa-5dee-11ea-bceb-005056a25061" "counterparty=277" "currency=GBP" "device=Aitken" "epic=BARC" "isin=GB0031348658" "link=801" "market_maker=801" "offer_price=0" "offer_size=0" "professional=N" "ps_bid_price=1.3895" "ps_offer_price=0" "quantity=1500" "rsp=WNTSGB2LBIC" "sent_time=2020-03-04 08:05:43.437" "serial_number=737487778" "settlement_date=20200306" "system=Equity" "t+=2" "time=29143" "user=tdw" "user_details=5231771" "quotation_amount=1"</t>
  </si>
  <si>
    <t>04/03/20 08:05:43 8992: Quo reply :                       ICV        GB0031348658                                                    801 1500        S20200306  2     148       138.95             30 LSF     3134865 BARC.L                        BARC  GB0031348658    GBXGB   BARC.L  5231771                    801</t>
  </si>
  <si>
    <t>04/03/20 08:05:49 9236 (10.152.26.31)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</si>
  <si>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08:05:49 9236 (10.152.26.31) : Sending....: 0264"record_type=QU" "user=tdw" "counterparty=277" "device=Aitken" "system=Equity" "time=29149" "quantity=5000" "buy_sell=S" "isin=JE00B5TT1872" "epic=CEY" "t+=20" "settlement_date=20200401" "user_details=0426920" "quantity=5000" "buy_sell=S" "currency=GBP" "link="</t>
  </si>
  <si>
    <t>04/03/20 08:05:49 9236 (10.152.26.31) : Read: "record_type=QUR" "reply_reason=0" "agency_time=2020-03-04 08:05:49.866" "bid_price=0" "bid_size=0" "buy_sell=S" "control_ref=f5eefb96-5dee-11ea-af69-005056a25061" "counterparty=277" "currency=GBP" "device=Aitken" "epic=CEY" "isin=JE00B5TT1872" "link=331" "market_maker=331" "offer_price=1.4145" "offer_size=50000" "professional=N" "ps_bid_price=0" "ps_offer_price=1.4145" "quantity=5000" "rsp=IHCSGB21002" "sent_time=2020-03-04 08:05:49.866" "serial_number=404841942" "settlement_date=20200401" "system=Equity" "t+=20" "time=29149" "user=tdw" "user_details=0426920"</t>
  </si>
  <si>
    <t>04/03/20 08:05:49 9236: Quo reply :                       ICV        JE00B5TT1872                                                    331 5000        B20200401 20     149       141.45             30 LSA     B5TT187 CEY.L                         CEY   JE00B5TT1872    GBXJE   CEY.L   0426920                    331</t>
  </si>
  <si>
    <t>04/03/20 08:05:49 5992 (10.152.26.30) : Got quo request:                      ICV        GB00B7N0K053                                                        50000       S20200306  2                                     LSB     B7N0K05 PFD.L                         PFD   GB00B7N0K053    GBXGB   PFD.L   1007311                    GBP</t>
  </si>
  <si>
    <t>04/03/20 08:05:49 5992 (10.152.26.30) : Sending....: 0265"record_type=QU" "user=tdw" "counterparty=277" "device=Aitken" "system=Equity" "time=29149" "quantity=50000" "buy_sell=B" "isin=GB00B7N0K053" "epic=PFD" "t+=2" "settlement_date=20200306" "user_details=1007311" "quantity=50000" "buy_sell=B" "currency=GBP" "link="</t>
  </si>
  <si>
    <t>04/03/20 08:05:49 5992 (10.152.26.30) : Read: "record_type=QUR" "reply_reason=99" "reply_message=No valid quote available" "agency_time=2020-03-04 08:05:49.942" "buy_sell=B" "counterparty=277" "currency=GBP" "device=Aitken" "epic=PFD" "isin=GB00B7N0K053" "link=000" "professional=N" "quantity=50000" "system=Equity" "t+=2" "time=20200304-08:05:49" "user=tdw" "user_details=1007311"</t>
  </si>
  <si>
    <t>04/03/20 08:05:49 5992: Quo reject : 10099 : No valid quote available</t>
  </si>
  <si>
    <t>04/03/20 08:05:50 11888 (10.152.26.32) : Got quo request:                      ICV        GB0008706128                                                        4000        B20200401 20                                     LSF     0870612 LLOY.L                        LLOY  GB0008706128    GBXGB   LLOY.L  0111249                    GBP</t>
  </si>
  <si>
    <t>04/03/20 08:05:50 11888 (10.152.26.32) : Sending....: 0265"record_type=QU" "user=tdw" "counterparty=277" "device=Aitken" "system=Equity" "time=29150" "quantity=4000" "buy_sell=S" "isin=GB0008706128" "epic=LLOY" "t+=20" "settlement_date=20200401" "user_details=0111249" "quantity=4000" "buy_sell=S" "currency=GBP" "link="</t>
  </si>
  <si>
    <t>04/03/20 08:05:50 11888 (10.152.26.32) : Read: "record_type=QUR" "reply_reason=0" "agency_time=2020-03-04 08:05:51.118" "bid_price=0" "bid_size=0" "buy_sell=S" "control_ref=f6ada55a-5dee-11ea-9f67-005056a25061" "counterparty=277" "currency=GBP" "device=Aitken" "epic=LLOY" "isin=GB0008706128" "link=331" "market_maker=331" "offer_price=0.4815" "offer_size=375000" "professional=N" "ps_bid_price=0" "ps_offer_price=0.4815" "quantity=4000" "rsp=IHCSGB21002" "sent_time=2020-03-04 08:05:51.118" "serial_number=351883263" "settlement_date=20200401" "system=Equity" "t+=20" "time=29150" "user=tdw" "user_details=0111249"</t>
  </si>
  <si>
    <t>04/03/20 08:05:50 11888: Quo reply :                       ICV        GB0008706128                                                    331 4000        B20200401 20     150       48.15              30 LSF     0870612 LLOY.L                        LLOY  GB0008706128    GBXGB   LLOY.L  0111249                    331</t>
  </si>
  <si>
    <t>04/03/20 08:05:54 6048 (10.152.26.32) : Got quo request:                      ICV        GB00B17BBQ50                                                        5029        S20200306  2                                     LSA     B17BBQ5 INVP.L                        INVP  GB00B17BBQ50    GBXGB   INVP.L  0680395                    GBP</t>
  </si>
  <si>
    <t>04/03/20 08:05:54 6048 (10.152.26.32) : Sending....: 0264"record_type=QU" "user=tdw" "counterparty=277" "device=Aitken" "system=Equity" "time=29154" "quantity=5029" "buy_sell=B" "isin=GB00B17BBQ50" "epic=INVP" "t+=2" "settlement_date=20200306" "user_details=0680395" "quantity=5029" "buy_sell=B" "currency=GBP" "link="</t>
  </si>
  <si>
    <t>04/03/20 08:05:54 6048 (10.152.26.32) : Read: "record_type=QUR" "reply_reason=0" "agency_time=2020-03-04 08:05:54.729" "bid_price=3.958724" "bid_size=6450" "buy_sell=B" "control_ref=f8d453c4-5dee-11ea-a63d-005056a25061" "counterparty=277" "currency=GBP" "device=Aitken" "epic=INVP.L" "isin=GB00B17BBQ50" "link=871" "market_maker=871" "offer_price=0" "offer_size=0" "professional=N" "ps_bid_price=3.958724" "ps_offer_price=0" "quantity=5029" "rsp=PLHCGB3LBIC" "sent_time=2020-03-04 08:05:54.729" "serial_number=1161779412" "settlement_date=20200306" "system=Equity" "t+=2" "time=29154" "user=tdw" "user_details=0680395"</t>
  </si>
  <si>
    <t>04/03/20 08:05:54 6048: Quo reply :                       ICV        GB00B17BBQ50                                                    871 5029        S20200306  2     151       395.8724           30 LSA     B17BBQ5 INVP.L                        INVP  GB00B17BBQ50    GBXGB   INVP.L  0680395                    871</t>
  </si>
  <si>
    <t>04/03/20 08:05:54 12900 (10.152.26.30) : Got quo request:                      ICV        GB00B580MF54                                                        50000       S20200306  2                                     LSB     B580MF5 HUR.L                         HUR   GB00B580MF54    GBXGB   HUR.L   0909675                    GBP</t>
  </si>
  <si>
    <t>04/03/20 08:05:54 12900 (10.152.26.30) : Sending....: 0265"record_type=QU" "user=tdw" "counterparty=277" "device=Aitken" "system=Equity" "time=29154" "quantity=50000" "buy_sell=B" "isin=GB00B580MF54" "epic=HUR" "t+=2" "settlement_date=20200306" "user_details=0909675" "quantity=50000" "buy_sell=B" "currency=GBP" "link="</t>
  </si>
  <si>
    <t>04/03/20 08:05:54 12900 (10.152.26.30) : Read: "record_type=QUR" "reply_reason=0" "agency_time=2020-03-04 08:05:54.788" "bid_price=0.148125" "bid_size=75000" "buy_sell=B" "control_ref=f8e10934-5dee-11ea-bdea-005056a25061" "counterparty=277" "currency=GBP" "device=Aitken" "epic=HUR" "isin=GB00B580MF54" "link=801" "market_maker=801" "offer_price=0" "offer_size=0" "professional=N" "ps_bid_price=0.148125" "ps_offer_price=0" "quantity=50000" "rsp=WNTSGB2LBIC" "sent_time=2020-03-04 08:05:54.788" "serial_number=1946447537" "settlement_date=20200306" "system=Equity" "t+=2" "time=29154" "user=tdw" "user_details=0909675" "quotation_amount=1"</t>
  </si>
  <si>
    <t>04/03/20 08:05:54 12900: Quo reply :                       ICV        GB00B580MF54                                                    801 50000       S20200306  2     152       14.8125            30 LSB     B580MF5 HUR.L                         HUR   GB00B580MF54    GBXGB   HUR.L   0909675                    801</t>
  </si>
  <si>
    <t>04/03/20 08:05:54 12728 (10.152.26.31)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</si>
  <si>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08:05:54 12728 (10.152.26.31) : Sending....: 0264"record_type=QU" "user=tdw" "counterparty=277" "device=Aitken" "system=Equity" "time=29154" "quantity=5000" "buy_sell=S" "isin=JE00B5TT1872" "epic=CEY" "t+=20" "settlement_date=20200401" "user_details=0426920" "quantity=5000" "buy_sell=S" "currency=GBP" "link="</t>
  </si>
  <si>
    <t>04/03/20 08:05:54 12728 (10.152.26.31) : Read: "record_type=QUR" "reply_reason=0" "agency_time=2020-03-04 08:05:55.252" "bid_price=0" "bid_size=0" "buy_sell=S" "control_ref=f92a2a88-5dee-11ea-892c-005056a25061" "counterparty=277" "currency=GBP" "device=Aitken" "epic=CEY" "isin=JE00B5TT1872" "link=331" "market_maker=331" "offer_price=1.4145" "offer_size=50000" "professional=N" "ps_bid_price=0" "ps_offer_price=1.4145" "quantity=5000" "rsp=IHCSGB21002" "sent_time=2020-03-04 08:05:55.252" "serial_number=232023263" "settlement_date=20200401" "system=Equity" "t+=20" "time=29154" "user=tdw" "user_details=0426920"</t>
  </si>
  <si>
    <t>04/03/20 08:05:54 12728: Quo reply :                       ICV        JE00B5TT1872                                                    331 5000        B20200401 20     153       141.45             30 LSA     B5TT187 CEY.L                         CEY   JE00B5TT1872    GBXJE   CEY.L   0426920                    331</t>
  </si>
  <si>
    <t>04/03/20 08:05:57 11996 (10.152.26.32) : Got quo request:                      ICV        GB0009589168                                                        12748       B20200306  2                                     LSE     0958916 SYM.L                         SYM   GB0009589168    GBXGB   SYM.L   0627928                    GBP</t>
  </si>
  <si>
    <t>04/03/20 08:05:57 11996 (10.152.26.32) : Sending....: 0265"record_type=QU" "user=tdw" "counterparty=277" "device=Aitken" "system=Equity" "time=29157" "quantity=12748" "buy_sell=S" "isin=GB0009589168" "epic=SYM" "t+=2" "settlement_date=20200306" "user_details=0627928" "quantity=12748" "buy_sell=S" "currency=GBP" "link="</t>
  </si>
  <si>
    <t>04/03/20 08:05:59 11996 (10.152.26.32) : Read: "record_type=QUR" "reply_reason=99" "reply_message=No valid quote available" "agency_time=2020-03-04 08:05:59.667" "buy_sell=S" "counterparty=277" "currency=GBP" "device=Aitken" "epic=SYM" "isin=GB0009589168" "link=000" "professional=N" "quantity=12748" "system=Equity" "t+=2" "time=20200304-08:05:57" "user=tdw" "user_details=0627928"</t>
  </si>
  <si>
    <t>04/03/20 08:05:59 11996: Quo reject : 10099 : No valid quote available</t>
  </si>
  <si>
    <t>04/03/20 08:06:00 4124 (10.152.26.31) : Got quo request:                      ICV        GB00BD8QVC95                                                        16293       S20200306  2                                     LSC     BD8QVC9 ESL.L                         ESL   GB00BD8QVC95    GBXGB   ESL.L   4729585                    GBP</t>
  </si>
  <si>
    <t>04/03/20 08:06:00 4124 (10.152.26.31) : Sending....: 0265"record_type=QU" "user=tdw" "counterparty=277" "device=Aitken" "system=Equity" "time=29160" "quantity=16293" "buy_sell=B" "isin=GB00BD8QVC95" "epic=ESL" "t+=2" "settlement_date=20200306" "user_details=4729585" "quantity=16293" "buy_sell=B" "currency=GBP" "link="</t>
  </si>
  <si>
    <t>04/03/20 08:06:01 4124 (10.152.26.31) : Read: "record_type=QUR" "reply_reason=99" "reply_message=No valid quote available" "agency_time=2020-03-04 08:06:01.778" "buy_sell=B" "counterparty=277" "currency=GBP" "device=Aitken" "epic=ESL" "isin=GB00BD8QVC95" "link=000" "professional=N" "quantity=16293" "system=Equity" "t+=2" "time=20200304-08:06:00" "user=tdw" "user_details=4729585"</t>
  </si>
  <si>
    <t>04/03/20 08:06:01 4124: Quo reject : 10099 : No valid quote available</t>
  </si>
  <si>
    <t>04/03/20 08:06:01 9580 (10.152.26.30) : Got quo request:                      ICV        GB0008854563                                                        45000       B20200306  2                                     LSE     0885456 TYM.L                         TYM   GB0008854563    GBXGB   TYM.L   6112422                    GBP</t>
  </si>
  <si>
    <t>04/03/20 08:06:01 9580 (10.152.26.30) : Sending....: 0265"record_type=QU" "user=tdw" "counterparty=277" "device=Aitken" "system=Equity" "time=29161" "quantity=45000" "buy_sell=S" "isin=GB0008854563" "epic=TYM" "t+=2" "settlement_date=20200306" "user_details=6112422" "quantity=45000" "buy_sell=S" "currency=GBP" "link="</t>
  </si>
  <si>
    <t>04/03/20 08:06:01 9580 (10.152.26.30) : Read: "record_type=QUR" "reply_reason=99" "reply_message=No valid quote available" "agency_time=2020-03-04 08:06:01.820" "buy_sell=S" "counterparty=277" "currency=GBP" "device=Aitken" "epic=TYM" "isin=GB0008854563" "link=000" "professional=N" "quantity=45000" "system=Equity" "t+=2" "time=20200304-08:06:01" "user=tdw" "user_details=6112422"</t>
  </si>
  <si>
    <t>04/03/20 08:06:01 9580: Quo reject : 10099 : No valid quote available</t>
  </si>
  <si>
    <t>04/03/20 08:06:03 11108 (10.152.26.32) : Got quo request:                      ICV        GB0002162385                                                        7385        B20200306  2                                     LSD     0216238 AV..L                         AV.   GB0002162385    GBXGB   AV..L   2233258                    GBP</t>
  </si>
  <si>
    <t>04/03/20 08:06:03 11108 (10.152.26.32) : Sending....: 0263"record_type=QU" "user=tdw" "counterparty=277" "device=Aitken" "system=Equity" "time=29163" "quantity=7385" "buy_sell=S" "isin=GB0002162385" "epic=AV." "t+=2" "settlement_date=20200306" "user_details=2233258" "quantity=7385" "buy_sell=S" "currency=GBP" "link="</t>
  </si>
  <si>
    <t>04/03/20 08:06:03 11108 (10.152.26.32) : Read: "record_type=QUR" "reply_reason=0" "agency_time=2020-03-04 08:06:03.554" "bid_price=0" "bid_size=0" "buy_sell=S" "control_ref=fe165be8-5dee-11ea-b006-005056a25061" "counterparty=277" "currency=GBP" "device=Aitken" "epic=AV..L" "isin=GB0002162385" "link=871" "market_maker=871" "offer_price=3.496528" "offer_size=7500" "professional=N" "ps_bid_price=0" "ps_offer_price=3.496528" "quantity=7385" "rsp=PLHCGB3LBIC" "sent_time=2020-03-04 08:06:03.554" "serial_number=645802802" "settlement_date=20200306" "system=Equity" "t+=2" "time=29163" "user=tdw" "user_details=2233258"</t>
  </si>
  <si>
    <t>04/03/20 08:06:03 11108: Quo reply :                       ICV        GB0002162385                                                    871 7385        B20200306  2     154       349.6528           30 LSD     0216238 AV..L                         AV.   GB0002162385    GBXGB   AV..L   2233258                    871</t>
  </si>
  <si>
    <t>04/03/20 08:06:05 10288 (10.152.26.31) : Got quo request:                      ICV        CH0198251305                                                        1350        S20200306  2                                     LSD     B9895B7 CCH.L                         CCH   CH0198251305    GBXGB   CCH.L   0723034                    GBP</t>
  </si>
  <si>
    <t>04/03/20 08:06:05 10288 (10.152.26.31) : Sending....: 0263"record_type=QU" "user=tdw" "counterparty=277" "device=Aitken" "system=Equity" "time=29165" "quantity=1350" "buy_sell=B" "isin=CH0198251305" "epic=CCH" "t+=2" "settlement_date=20200306" "user_details=0723034" "quantity=1350" "buy_sell=B" "currency=GBP" "link="</t>
  </si>
  <si>
    <t>04/03/20 08:06:05 10288 (10.152.26.31) : Read: "record_type=QUR" "reply_reason=0" "agency_time=2020-03-04 08:06:06.097" "bid_price=25.75954" "bid_size=1350" "buy_sell=B" "control_ref=ff9f64c8-5dee-11ea-b20f-005056a25061" "counterparty=277" "currency=GBP" "device=Aitken" "epic=CCH" "isin=CH0198251305" "link=801" "market_maker=801" "offer_price=0" "offer_size=0" "professional=N" "ps_bid_price=25.75954" "ps_offer_price=0" "quantity=1350" "rsp=WNTSGB2LBIC" "sent_time=2020-03-04 08:06:06.097" "serial_number=358053126" "settlement_date=20200306" "system=Equity" "t+=2" "time=29165" "user=tdw" "user_details=0723034" "quotation_amount=1"</t>
  </si>
  <si>
    <t>04/03/20 08:06:05 10288: Quo reply :                       ICV        CH0198251305                                                    801 1350        S20200306  2     155       2575.954           30 LSD     B9895B7 CCH.L                         CCH   CH0198251305    GBXGB   CCH.L   0723034                    801</t>
  </si>
  <si>
    <t>04/03/20 08:06:07 8992 (10.152.26.30) : Got quo request:                      ICV        GB00BDR05C01                                                        2919        B20200306  2                                     LSD     BDR05C0 NG..L                         NG.   GB00BDR05C01    GBXGB   NG..L   2016091                    GBP</t>
  </si>
  <si>
    <t>04/03/20 08:06:07 8992 (10.152.26.30) : Sending....: 0263"record_type=QU" "user=tdw" "counterparty=277" "device=Aitken" "system=Equity" "time=29167" "quantity=2919" "buy_sell=S" "isin=GB00BDR05C01" "epic=NG." "t+=2" "settlement_date=20200306" "user_details=2016091" "quantity=2919" "buy_sell=S" "currency=GBP" "link="</t>
  </si>
  <si>
    <t>04/03/20 08:06:07 8992 (10.152.26.30) : Read: "record_type=QUR" "reply_reason=0" "agency_time=2020-03-04 08:06:07.847" "bid_price=0" "bid_size=0" "buy_sell=S" "control_ref=00a656a6-5def-11ea-8c31-005056a25061" "counterparty=277" "currency=GBP" "device=Aitken" "epic=NG..L" "isin=GB00BDR05C01" "link=871" "market_maker=871" "offer_price=10.083995" "offer_size=2977" "professional=N" "ps_bid_price=0" "ps_offer_price=10.083995" "quantity=2919" "rsp=PLHCGB3LBIC" "sent_time=2020-03-04 08:06:07.847" "serial_number=1988444163" "settlement_date=20200306" "system=Equity" "t+=2" "time=29167" "user=tdw" "user_details=2016091"</t>
  </si>
  <si>
    <t>04/03/20 08:06:07 8992: Quo reply :                       ICV        GB00BDR05C01                                                    871 2919        B20200306  2     156       1008.3995          30 LSD     BDR05C0 NG..L                         NG.   GB00BDR05C01    GBXGB   NG..L   2016091                    871</t>
  </si>
  <si>
    <t>04/03/20 08:06:10 9236 (10.152.26.31) : Got quo request:                      ICV        GB00B0HZPV38                                                        2500        B20200401 20                                     LSA     B0HZPV3 KAZ.L                         KAZ   GB00B0HZPV38    GBXGB   KAZ.L   0880300                    GBP</t>
  </si>
  <si>
    <t>04/03/20 08:06:10 9236 (10.152.26.31) : Sending....: 0264"record_type=QU" "user=tdw" "counterparty=277" "device=Aitken" "system=Equity" "time=29170" "quantity=2500" "buy_sell=S" "isin=GB00B0HZPV38" "epic=KAZ" "t+=20" "settlement_date=20200401" "user_details=0880300" "quantity=2500" "buy_sell=S" "currency=GBP" "link="</t>
  </si>
  <si>
    <t>04/03/20 08:06:10 9236 (10.152.26.31) : Read: "record_type=QUR" "reply_reason=0" "agency_time=2020-03-04 08:06:10.590" "bid_price=0" "bid_size=0" "buy_sell=S" "control_ref=024cfe56-5def-11ea-be1a-005056a25061" "counterparty=277" "currency=GBP" "device=Aitken" "epic=KAZ" "isin=GB00B0HZPV38" "link=331" "market_maker=331" "offer_price=4.252" "offer_size=10000" "professional=N" "ps_bid_price=0" "ps_offer_price=4.252" "quantity=2500" "rsp=IHCSGB21002" "sent_time=2020-03-04 08:06:10.590" "serial_number=694923726" "settlement_date=20200401" "system=Equity" "t+=20" "time=29170" "user=tdw" "user_details=0880300"</t>
  </si>
  <si>
    <t>04/03/20 08:06:10 9236: Quo reply :                       ICV        GB00B0HZPV38                                                    331 2500        B20200401 20     157       425.2              30 LSA     B0HZPV3 KAZ.L                         KAZ   GB00B0HZPV38    GBXGB   KAZ.L   0880300                    331</t>
  </si>
  <si>
    <t>04/03/20 08:06:10 11888 (10.152.26.32) : Got quo request:                      ICV        CA46989Q1000                                                        14640       B20200306  2                                     LSC     BDDVW60 JSE.L                         JSE   CA46989Q1000    GBXGB   JSE.L   2258592                    GBP</t>
  </si>
  <si>
    <t>04/03/20 08:06:10 11888 (10.152.26.32) : Sending....: 0265"record_type=QU" "user=tdw" "counterparty=277" "device=Aitken" "system=Equity" "time=29170" "quantity=14640" "buy_sell=S" "isin=CA46989Q1000" "epic=JSE" "t+=2" "settlement_date=20200306" "user_details=2258592" "quantity=14640" "buy_sell=S" "currency=GBP" "link="</t>
  </si>
  <si>
    <t>04/03/20 08:06:10 11888 (10.152.26.32) : Read: "record_type=QUR" "reply_reason=0" "agency_time=2020-03-04 08:06:11.198" "bid_price=0" "bid_size=0" "buy_sell=S" "control_ref=029e4b08-5def-11ea-9008-005056a25061" "counterparty=277" "currency=GBP" "device=Aitken" "epic=JSE" "isin=CA46989Q1000" "link=006" "market_maker=006" "offer_price=0.684" "offer_size=50000" "professional=N" "ps_bid_price=0" "ps_offer_price=0.684" "quantity=14640" "rsp=STNOGB21" "sent_time=2020-03-04 08:06:11.198" "serial_number=1575975313" "settlement_date=20200306" "system=Equity" "t+=2" "time=29170" "user=tdw" "user_details=2258592"</t>
  </si>
  <si>
    <t>04/03/20 08:06:10 11888: Quo reply :                       ICV        CA46989Q1000                                                    006 14640       B20200306  2     158       68.4               30 LSC     BDDVW60 JSE.L                         JSE   CA46989Q1000    GBXGB   JSE.L   2258592                    006</t>
  </si>
  <si>
    <t>04/03/20 08:06:12 5992 (10.152.26.30) : Got quo request:                      ICV        GB0005991111                                                        1782        S20200306  2                                     LSC     0599111 MPAC.L                        MPAC  GB0005991111    GBXGB   MPAC.L  4716687                    GBP</t>
  </si>
  <si>
    <t>04/03/20 08:06:12 5992 (10.152.26.30) : Sending....: 0264"record_type=QU" "user=tdw" "counterparty=277" "device=Aitken" "system=Equity" "time=29172" "quantity=1782" "buy_sell=B" "isin=GB0005991111" "epic=MPAC" "t+=2" "settlement_date=20200306" "user_details=4716687" "quantity=1782" "buy_sell=B" "currency=GBP" "link="</t>
  </si>
  <si>
    <t>04/03/20 08:06:12 5992 (10.152.26.30) : Read: "record_type=QUR" "reply_reason=99" "reply_message=No valid quote available" "agency_time=2020-03-04 08:06:12.585" "buy_sell=B" "counterparty=277" "currency=GBP" "device=Aitken" "epic=MPAC" "isin=GB0005991111" "link=000" "professional=N" "quantity=1782" "system=Equity" "t+=2" "time=20200304-08:06:12" "user=tdw" "user_details=4716687"</t>
  </si>
  <si>
    <t>04/03/20 08:06:12 5992: Quo reject : 10099 : No valid quote available</t>
  </si>
  <si>
    <t>04/03/20 08:06:14 6048 (10.152.26.32) : Got quo request:                      ICV        GB0001500809                                                        5000        B20200306  2                                     LSA     0150080 TLW.L                         TLW   GB0001500809    GBXGB   TLW.L   9039741                    GBP</t>
  </si>
  <si>
    <t>04/03/20 08:06:14 6048 (10.152.26.32) : Sending....: 0263"record_type=QU" "user=tdw" "counterparty=277" "device=Aitken" "system=Equity" "time=29174" "quantity=5000" "buy_sell=S" "isin=GB0001500809" "epic=TLW" "t+=2" "settlement_date=20200306" "user_details=9039741" "quantity=5000" "buy_sell=S" "currency=GBP" "link="</t>
  </si>
  <si>
    <t>04/03/20 08:06:14 6048 (10.152.26.32) : Read: "record_type=QUR" "reply_reason=0" "agency_time=2020-03-04 08:06:14.659" "bid_price=0" "bid_size=0" "buy_sell=S" "control_ref=04ba734e-5def-11ea-b4d0-005056a25061" "counterparty=277" "currency=GBP" "device=Aitken" "epic=TLW" "isin=GB0001500809" "link=801" "market_maker=801" "offer_price=0.32684" "offer_size=7500" "professional=N" "ps_bid_price=0" "ps_offer_price=0.32684" "quantity=5000" "rsp=WNTSGB2LBIC" "sent_time=2020-03-04 08:06:14.659" "serial_number=698629344" "settlement_date=20200306" "system=Equity" "t+=2" "time=29174" "user=tdw" "user_details=9039741" "quotation_amount=1"</t>
  </si>
  <si>
    <t>04/03/20 08:06:14 6048: Quo reply :                       ICV        GB0001500809                                                    801 5000        B20200306  2     159       32.684             30 LSA     0150080 TLW.L                         TLW   GB0001500809    GBXGB   TLW.L   9039741                    801</t>
  </si>
  <si>
    <t>04/03/20 08:06:16 12728 (10.152.26.31)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</si>
  <si>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08:06:16 12728 (10.152.26.31) : Sending....: 0264"record_type=QU" "user=tdw" "counterparty=277" "device=Aitken" "system=Equity" "time=29176" "quantity=5000" "buy_sell=S" "isin=JE00B5TT1872" "epic=CEY" "t+=20" "settlement_date=20200401" "user_details=0426920" "quantity=5000" "buy_sell=S" "currency=GBP" "link="</t>
  </si>
  <si>
    <t>04/03/20 08:06:16 12728 (10.152.26.31) : Read: "record_type=QUR" "reply_reason=0" "agency_time=2020-03-04 08:06:16.668" "bid_price=0" "bid_size=0" "buy_sell=S" "control_ref=05c8f972-5def-11ea-bd5b-005056a25061" "counterparty=277" "currency=GBP" "device=Aitken" "epic=CEY" "isin=JE00B5TT1872" "link=331" "market_maker=331" "offer_price=1.4145" "offer_size=50000" "professional=N" "ps_bid_price=0" "ps_offer_price=1.4145" "quantity=5000" "rsp=IHCSGB21002" "sent_time=2020-03-04 08:06:16.668" "serial_number=263836439" "settlement_date=20200401" "system=Equity" "t+=20" "time=29176" "user=tdw" "user_details=0426920"</t>
  </si>
  <si>
    <t>04/03/20 08:06:16 12728: Quo reply :                       ICV        JE00B5TT1872                                                    331 5000        B20200401 20     160       141.45             30 LSA     B5TT187 CEY.L                         CEY   JE00B5TT1872    GBXJE   CEY.L   0426920                    331</t>
  </si>
  <si>
    <t>04/03/20 08:06:17 11996 (10.152.26.32) : Got quo request:                      ICV        FR0010397232                                                        754         S20200306  2                                     LSC     BF16YK9 NCYT.L                        NCYT  FR0010397232    GBXGB   NCYT.L  0412918                    GBP</t>
  </si>
  <si>
    <t>04/03/20 08:06:17 11996 (10.152.26.32) : Sending....: 0262"record_type=QU" "user=tdw" "counterparty=277" "device=Aitken" "system=Equity" "time=29177" "quantity=754" "buy_sell=B" "isin=FR0010397232" "epic=NCYT" "t+=2" "settlement_date=20200306" "user_details=0412918" "quantity=754" "buy_sell=B" "currency=GBP" "link="</t>
  </si>
  <si>
    <t>04/03/20 08:06:18 11996 (10.152.26.32) : Read: "record_type=QUR" "reply_reason=0" "agency_time=2020-03-04 08:06:18.528" "bid_price=1.045" "bid_size=125000" "buy_sell=B" "control_ref=06f4e176-5def-11ea-93ff-005056a25061" "counterparty=277" "currency=GBP" "device=Aitken" "epic=NCYT" "isin=FR0010397232" "link=635" "market_maker=635" "offer_price=0" "offer_size=0" "professional=N" "ps_bid_price=1.045" "ps_offer_price=0" "quantity=754" "rsp=CFEQGB21EPE" "sent_time=2020-03-04 08:06:18.528" "serial_number=263387468" "settlement_date=20200306" "system=Equity" "t+=2" "time=29177" "user=tdw" "user_details=0412918"</t>
  </si>
  <si>
    <t>04/03/20 08:06:18 11996: Quo reply :                       ICV        FR0010397232                                                    635 754         S20200306  2     161       104.5              30 LSC     BF16YK9 NCYT.L                        NCYT  FR0010397232    GBXGB   NCYT.L  0412918                    635</t>
  </si>
  <si>
    <t>04/03/20 08:06:18 12900 (10.152.26.30) : Got quo request:                      ICV        GB0002162385                                                        98          B20200306  2                                     LSD     0216238 AV..L                         AV.   GB0002162385    GBXGB   AV..L   1029204                    GBP</t>
  </si>
  <si>
    <t>04/03/20 08:06:18 12900 (10.152.26.30) : Sending....: 0259"record_type=QU" "user=tdw" "counterparty=277" "device=Aitken" "system=Equity" "time=29178" "quantity=98" "buy_sell=S" "isin=GB0002162385" "epic=AV." "t+=2" "settlement_date=20200306" "user_details=1029204" "quantity=98" "buy_sell=S" "currency=GBP" "link="</t>
  </si>
  <si>
    <t>04/03/20 08:06:19 12900 (10.152.26.30) : Read: "record_type=QUR" "reply_reason=0" "agency_time=2020-03-04 08:06:19.416" "bid_price=0" "bid_size=0" "buy_sell=S" "control_ref=0710a352-5def-11ea-8e39-005056a25061" "counterparty=277" "currency=GBP" "device=Aitken" "epic=AV." "isin=GB0002162385" "link=801" "market_maker=801" "offer_price=3.4932" "offer_size=2000" "professional=N" "ps_bid_price=0" "ps_offer_price=3.4932" "quantity=98" "rsp=WNTSGB2LBIC" "sent_time=2020-03-04 08:06:19.416" "serial_number=104550846" "settlement_date=20200306" "system=Equity" "t+=2" "time=29178" "user=tdw" "user_details=1029204" "quotation_amount=1"</t>
  </si>
  <si>
    <t>04/03/20 08:06:19 12900: Quo reply :                       ICV        GB0002162385                                                    801 98          B20200306  2     162       349.32             30 LSD     0216238 AV..L                         AV.   GB0002162385    GBXGB   AV..L   1029204                    801</t>
  </si>
  <si>
    <t>04/03/20 08:06:20 9580 (10.152.26.30) : Got quo request:                      ICV        GB00B580MF54                                                        14278       S20200306  2                                     LSB     B580MF5 HUR.L                         HUR   GB00B580MF54    GBXGB   HUR.L   4736303                    GBP</t>
  </si>
  <si>
    <t>04/03/20 08:06:20 9580 (10.152.26.30) : Sending....: 0265"record_type=QU" "user=tdw" "counterparty=277" "device=Aitken" "system=Equity" "time=29180" "quantity=14278" "buy_sell=B" "isin=GB00B580MF54" "epic=HUR" "t+=2" "settlement_date=20200306" "user_details=4736303" "quantity=14278" "buy_sell=B" "currency=GBP" "link="</t>
  </si>
  <si>
    <t>04/03/20 08:06:21 9580 (10.152.26.30) : Read: "record_type=QUR" "reply_reason=0" "agency_time=2020-03-04 08:06:21.782" "bid_price=0.1482" "bid_size=15000" "buy_sell=B" "control_ref=08830b9e-5def-11ea-82f4-005056a25061" "counterparty=277" "currency=GBP" "device=Aitken" "epic=HUR" "isin=GB00B580MF54" "link=801" "market_maker=801" "offer_price=0" "offer_size=0" "professional=N" "ps_bid_price=0.1482" "ps_offer_price=0" "quantity=14278" "rsp=WNTSGB2LBIC" "sent_time=2020-03-04 08:06:21.782" "serial_number=543287561" "settlement_date=20200306" "system=Equity" "t+=2" "time=29180" "user=tdw" "user_details=4736303" "quotation_amount=1"</t>
  </si>
  <si>
    <t>04/03/20 08:06:21 9580: Quo reply :                       ICV        GB00B580MF54                                                    801 14278       S20200306  2     163       14.82              30 LSB     B580MF5 HUR.L                         HUR   GB00B580MF54    GBXGB   HUR.L   4736303                    801</t>
  </si>
  <si>
    <t>04/03/20 08:06:23 11108 (10.152.26.32) : Got quo request:                      ICV        GB00B580MF54                                                        68          B20200306  2                                     LSB     B580MF5 HUR.L                         HUR   GB00B580MF54    GBXGB   HUR.L   2261493                    GBP</t>
  </si>
  <si>
    <t>04/03/20 08:06:23 11108 (10.152.26.32) : Sending....: 0259"record_type=QU" "user=tdw" "counterparty=277" "device=Aitken" "system=Equity" "time=29183" "quantity=68" "buy_sell=S" "isin=GB00B580MF54" "epic=HUR" "t+=2" "settlement_date=20200306" "user_details=2261493" "quantity=68" "buy_sell=S" "currency=GBP" "link="</t>
  </si>
  <si>
    <t>04/03/20 08:06:23 11108 (10.152.26.32) : Read: "record_type=QUR" "reply_reason=0" "agency_time=2020-03-04 08:06:24.087" "bid_price=0" "bid_size=0" "buy_sell=S" "control_ref=0a58fc62-5def-11ea-866d-005056a25061" "counterparty=277" "currency=GBP" "device=Aitken" "epic=HUR" "isin=GB00B580MF54" "link=801" "market_maker=801" "offer_price=0.1491" "offer_size=15000" "professional=N" "ps_bid_price=0" "ps_offer_price=0.1491" "quantity=68" "rsp=WNTSGB2LBIC" "sent_time=2020-03-04 08:06:24.087" "serial_number=2112882290" "settlement_date=20200306" "system=Equity" "t+=2" "time=29183" "user=tdw" "user_details=2261493" "quotation_amount=1"</t>
  </si>
  <si>
    <t>04/03/20 08:06:23 11108: Quo reply :                       ICV        GB00B580MF54                                                    801 68          B20200306  2     164       14.91              30 LSB     B580MF5 HUR.L                         HUR   GB00B580MF54    GBXGB   HUR.L   2261493                    801</t>
  </si>
  <si>
    <t>04/03/20 08:06:23 4124 (10.152.26.31) : Got quo request:                      ICV        JE00BG6L7297                                                        7000        B20200306  2                                     LSB     BG6L729 BOO.L                         BOO   JE00BG6L7297    GBXJE   BOO.L   1073850                    GBP</t>
  </si>
  <si>
    <t>04/03/20 08:06:23 4124 (10.152.26.31) : Sending....: 0263"record_type=QU" "user=tdw" "counterparty=277" "device=Aitken" "system=Equity" "time=29183" "quantity=7000" "buy_sell=S" "isin=JE00BG6L7297" "epic=BOO" "t+=2" "settlement_date=20200306" "user_details=1073850" "quantity=7000" "buy_sell=S" "currency=GBP" "link="</t>
  </si>
  <si>
    <t>04/03/20 08:06:23 4124 (10.152.26.31) : Read: "record_type=QUR" "reply_reason=0" "agency_time=2020-03-04 08:06:24.196" "bid_price=0" "bid_size=0" "buy_sell=S" "control_ref=0a628124-5def-11ea-90fd-005056a25061" "counterparty=277" "currency=GBP" "device=Aitken" "epic=BOO" "isin=JE00BG6L7297" "link=046" "market_maker=046" "offer_price=3.01" "offer_size=11000" "professional=N" "ps_bid_price=0" "ps_offer_price=3.01" "quantity=7000" "rsp=SNGRGB21" "sent_time=2020-03-04 08:06:24.196" "serial_number=1224657833" "settlement_date=20200306" "system=Equity" "t+=2" "time=29183" "user=tdw" "user_details=1073850"</t>
  </si>
  <si>
    <t>04/03/20 08:06:23 4124: Quo reply :                       ICV        JE00BG6L7297                                                    046 7000        B20200306  2     165       301                30 LSB     BG6L729 BOO.L                         BOO   JE00BG6L7297    GBXJE   BOO.L   1073850                    046</t>
  </si>
  <si>
    <t>04/03/20 08:06:27 8992 (10.152.26.30) : Got quo request:                      ICV        GB0009589168                                                        12748       B20200306  2                                     LSE     0958916 SYM.L                         SYM   GB0009589168    GBXGB   SYM.L   0627928                    GBP</t>
  </si>
  <si>
    <t>04/03/20 08:06:27 8992 (10.152.26.30) : Sending....: 0265"record_type=QU" "user=tdw" "counterparty=277" "device=Aitken" "system=Equity" "time=29187" "quantity=12748" "buy_sell=S" "isin=GB0009589168" "epic=SYM" "t+=2" "settlement_date=20200306" "user_details=0627928" "quantity=12748" "buy_sell=S" "currency=GBP" "link="</t>
  </si>
  <si>
    <t>04/03/20 08:06:27 8992 (10.152.26.30) : Read: "record_type=QUR" "reply_reason=99" "reply_message=No valid quote available" "agency_time=2020-03-04 08:06:27.587" "buy_sell=S" "counterparty=277" "currency=GBP" "device=Aitken" "epic=SYM" "isin=GB0009589168" "link=000" "professional=N" "quantity=12748" "system=Equity" "t+=2" "time=20200304-08:06:27" "user=tdw" "user_details=0627928"</t>
  </si>
  <si>
    <t>04/03/20 08:06:27 8992: Quo reject : 10099 : No valid quote available</t>
  </si>
  <si>
    <t>04/03/20 08:06:29 10288 (10.152.26.31) : Got quo request:                      ICV        GB00B0130H42                                                        10000       B20200306  2                                     LSB     B0130H4 ITM.L                         ITM   GB00B0130H42    GBXGB   ITM.L   8045161                    GBP</t>
  </si>
  <si>
    <t>04/03/20 08:06:29 10288 (10.152.26.31) : Sending....: 0265"record_type=QU" "user=tdw" "counterparty=277" "device=Aitken" "system=Equity" "time=29189" "quantity=10000" "buy_sell=S" "isin=GB00B0130H42" "epic=ITM" "t+=2" "settlement_date=20200306" "user_details=8045161" "quantity=10000" "buy_sell=S" "currency=GBP" "link="</t>
  </si>
  <si>
    <t>04/03/20 08:06:29 10288 (10.152.26.31) : Read: "record_type=QUR" "reply_reason=0" "agency_time=2020-03-04 08:06:29.543" "bid_price=0" "bid_size=0" "buy_sell=S" "control_ref=0d98e36a-5def-11ea-aa70-005056a25061" "counterparty=277" "currency=GBP" "device=Aitken" "epic=ITM" "isin=GB00B0130H42" "link=635" "market_maker=635" "offer_price=1.475455" "offer_size=12500" "professional=N" "ps_bid_price=0" "ps_offer_price=1.475455" "quantity=10000" "rsp=CFEQGB21EPE" "sent_time=2020-03-04 08:06:29.543" "serial_number=781764030" "settlement_date=20200306" "system=Equity" "t+=2" "time=29189" "user=tdw" "user_details=8045161"</t>
  </si>
  <si>
    <t>04/03/20 08:06:29 10288: Quo reply :                       ICV        GB00B0130H42                                                    635 10000       B20200306  2     166       147.5455           30 LSB     B0130H4 ITM.L                         ITM   GB00B0130H42    GBXGB   ITM.L   8045161                    635</t>
  </si>
  <si>
    <t>04/03/20 08:06:29 11888 (10.152.26.32)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</si>
  <si>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08:06:29 11888 (10.152.26.32) : Sending....: 0264"record_type=QU" "user=tdw" "counterparty=277" "device=Aitken" "system=Equity" "time=29189" "quantity=5000" "buy_sell=S" "isin=JE00B5TT1872" "epic=CEY" "t+=20" "settlement_date=20200401" "user_details=0426920" "quantity=5000" "buy_sell=S" "currency=GBP" "link="</t>
  </si>
  <si>
    <t>04/03/20 08:06:29 11888 (10.152.26.32) : Read: "record_type=QUR" "reply_reason=0" "agency_time=2020-03-04 08:06:29.744" "bid_price=0" "bid_size=0" "buy_sell=S" "control_ref=0db33986-5def-11ea-a8ed-005056a25061" "counterparty=277" "currency=GBP" "device=Aitken" "epic=CEY" "isin=JE00B5TT1872" "link=331" "market_maker=331" "offer_price=1.414" "offer_size=50000" "professional=N" "ps_bid_price=0" "ps_offer_price=1.414" "quantity=5000" "rsp=IHCSGB21002" "sent_time=2020-03-04 08:06:29.744" "serial_number=116252264" "settlement_date=20200401" "system=Equity" "t+=20" "time=29189" "user=tdw" "user_details=0426920"</t>
  </si>
  <si>
    <t>04/03/20 08:06:29 11888: Quo reply :                       ICV        JE00B5TT1872                                                    331 5000        B20200401 20     167       141.4              30 LSA     B5TT187 CEY.L                         CEY   JE00B5TT1872    GBXJE   CEY.L   0426920                    331</t>
  </si>
  <si>
    <t>04/03/20 08:06:30 5992 (10.152.26.30) : Got quo request:                      ICV        GB00B13GSS58                                                        25000       B20200306  2                                     LSC     B13GSS5 PHD.L                         PHD   GB00B13GSS58    GBXGB   PHD.L   1079177                    GBP</t>
  </si>
  <si>
    <t>04/03/20 08:06:30 5992 (10.152.26.30) : Sending....: 0265"record_type=QU" "user=tdw" "counterparty=277" "device=Aitken" "system=Equity" "time=29190" "quantity=25000" "buy_sell=S" "isin=GB00B13GSS58" "epic=PHD" "t+=2" "settlement_date=20200306" "user_details=1079177" "quantity=25000" "buy_sell=S" "currency=GBP" "link="</t>
  </si>
  <si>
    <t>04/03/20 08:06:30 5992 (10.152.26.30) : Read: "record_type=QUR" "reply_reason=0" "agency_time=2020-03-04 08:06:30.890" "bid_price=0" "bid_size=0" "buy_sell=S" "control_ref=0e638ffc-5def-11ea-b470-005056a25061" "counterparty=277" "currency=GBP" "device=Aitken" "epic=PHD" "isin=GB00B13GSS58" "link=046" "market_maker=046" "offer_price=0.34" "offer_size=27500" "professional=N" "ps_bid_price=0" "ps_offer_price=0.34" "quantity=25000" "rsp=SNGRGB21" "sent_time=2020-03-04 08:06:30.890" "serial_number=1183946028" "settlement_date=20200306" "system=Equity" "t+=2" "time=29190" "user=tdw" "user_details=1079177"</t>
  </si>
  <si>
    <t>04/03/20 08:06:30 5992: Quo reply :                       ICV        GB00B13GSS58                                                    046 25000       B20200306  2     168       34                 30 LSC     B13GSS5 PHD.L                         PHD   GB00B13GSS58    GBXGB   PHD.L   1079177                    046</t>
  </si>
  <si>
    <t>04/03/20 08:06:33 6048 (10.152.26.32) : Got quo request:                      ICV        GB00B0130H42                                                        3077        B20200306  2                                     LSB     B0130H4 ITM.L                         ITM   GB00B0130H42    GBXGB   ITM.L   0771103                    GBP</t>
  </si>
  <si>
    <t>04/03/20 08:06:33 6048 (10.152.26.32) : Sending....: 0263"record_type=QU" "user=tdw" "counterparty=277" "device=Aitken" "system=Equity" "time=29193" "quantity=3077" "buy_sell=S" "isin=GB00B0130H42" "epic=ITM" "t+=2" "settlement_date=20200306" "user_details=0771103" "quantity=3077" "buy_sell=S" "currency=GBP" "link="</t>
  </si>
  <si>
    <t>04/03/20 08:06:34 6048 (10.152.26.32) : Read: "record_type=QUR" "reply_reason=0" "agency_time=2020-03-04 08:06:34.533" "bid_price=0" "bid_size=0" "buy_sell=S" "control_ref=1071d538-5def-11ea-bded-005056a25061" "counterparty=277" "currency=GBP" "device=Aitken" "epic=ITM" "isin=GB00B0130H42" "link=589" "market_maker=589" "offer_price=1.48" "offer_size=11881" "professional=N" "ps_bid_price=0" "ps_offer_price=1.48" "quantity=3077" "rsp=SHOCGB21" "sent_time=2020-03-04 08:06:34.533" "serial_number=1156535236" "settlement_date=20200306" "system=Equity" "t+=2" "time=29193" "user=tdw" "user_details=0771103"</t>
  </si>
  <si>
    <t>04/03/20 08:06:34 6048: Quo reply :                       ICV        GB00B0130H42                                                    589 3077        B20200306  2     169       148                30 LSB     B0130H4 ITM.L                         ITM   GB00B0130H42    GBXGB   ITM.L   0771103                    589</t>
  </si>
  <si>
    <t>04/03/20 08:06:34 12900 (10.152.26.30) : Got quo request:                      ICV        GB00B13GSS58                                                        8838        B20200306  2                                     LSC     B13GSS5 PHD.L                         PHD   GB00B13GSS58    GBXGB   PHD.L   4682557                    GBP</t>
  </si>
  <si>
    <t>04/03/20 08:06:34 12900 (10.152.26.30) : Sending....: 0263"record_type=QU" "user=tdw" "counterparty=277" "device=Aitken" "system=Equity" "time=29194" "quantity=8838" "buy_sell=S" "isin=GB00B13GSS58" "epic=PHD" "t+=2" "settlement_date=20200306" "user_details=4682557" "quantity=8838" "buy_sell=S" "currency=GBP" "link="</t>
  </si>
  <si>
    <t>04/03/20 08:06:34 12900 (10.152.26.30) : Read: "record_type=QUR" "reply_reason=0" "agency_time=2020-03-04 08:06:35.012" "bid_price=0" "bid_size=0" "buy_sell=S" "control_ref=109ac844-5def-11ea-a8b9-005056a25061" "counterparty=277" "currency=GBP" "device=Aitken" "epic=PHD" "isin=GB00B13GSS58" "link=046" "market_maker=046" "offer_price=0.34" "offer_size=27500" "professional=N" "ps_bid_price=0" "ps_offer_price=0.34" "quantity=8838" "rsp=SNGRGB21" "sent_time=2020-03-04 08:06:35.012" "serial_number=492669586" "settlement_date=20200306" "system=Equity" "t+=2" "time=29194" "user=tdw" "user_details=4682557"</t>
  </si>
  <si>
    <t>04/03/20 08:06:34 12900: Quo reply :                       ICV        GB00B13GSS58                                                    046 8838        B20200306  2     170       34                 30 LSC     B13GSS5 PHD.L                         PHD   GB00B13GSS58    GBXGB   PHD.L   4682557                    046</t>
  </si>
  <si>
    <t>04/03/20 08:06:34 9580(10.152.26.30) : Got exe request:                      ICV        GB0002162385                                                    349.320000         98          BABGBXA 162                            Y                                                     1029204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GB     AV..L   00</t>
  </si>
  <si>
    <t>04/03/20 08:06:34 9580 (10.152.26.30) : Sending....: 0296"record_type=DE" "user=tdw" "counterparty=277" "device=Aitken" "system=Equity" "time=29194" "isin=GB0002162385" "epic=AV." "serial_number=104550846" "buy_sell=S" "quantity=98" "t+=2" "currency=GBP" "booking_c/party=" "settlement_date=20200306" "user_details=1029204" "market_maker=801" "link="</t>
  </si>
  <si>
    <t>04/03/20 08:06:34 9580 (10.152.26.30) : Read: "record_type=DER" "reply_reason=0" "agency_time=2020-03-04 08:06:35.051" "bargain_ref=1824413958" "buy_sell=S" "control_ref=1824413958" "counterparty=277" "currency=GBP" "deal_time=08:06:35" "device=Aitken" "epic=AV." "execution_venue=XLON" "isin=GB0002162385" "market_maker=801" "price=3.4932" "professional=N" "quantity=98." "sent_time=2020-03-04 08:06:35.015" "serial_number=1824413958" "settlement_date=20200306" "system=Equity" "t+=2" "time=29194" "user=tdw" "user_details=1029204" "quotation_amount=1"</t>
  </si>
  <si>
    <t>04/03/20 08:06:34 9580: Exe reply :                       ICV        GB0002162385                                                    349.320000         98          BABGBXA 162                            Y                                                     1029204                                                                                                                                                                                                                                                                       1824413958    20200306     182441395820200304080634   349.32                98                  801 GB     AV..L   02</t>
  </si>
  <si>
    <t>04/03/20 08:06:34 9236 (10.152.26.31) : Got quo request:                      ICV        GB0005991111                                                        2000        S20200306  2                                     LSC     0599111 MPAC.L                        MPAC  GB0005991111    GBXGB   MPAC.L  1034616                    GBP</t>
  </si>
  <si>
    <t>04/03/20 08:06:34 9236 (10.152.26.31) : Sending....: 0264"record_type=QU" "user=tdw" "counterparty=277" "device=Aitken" "system=Equity" "time=29194" "quantity=2000" "buy_sell=B" "isin=GB0005991111" "epic=MPAC" "t+=2" "settlement_date=20200306" "user_details=1034616" "quantity=2000" "buy_sell=B" "currency=GBP" "link="</t>
  </si>
  <si>
    <t>04/03/20 08:06:35 9236 (10.152.26.31) : Read: "record_type=QUR" "reply_reason=99" "reply_message=No valid quote available" "agency_time=2020-03-04 08:06:35.458" "buy_sell=B" "counterparty=277" "currency=GBP" "device=Aitken" "epic=MPAC" "isin=GB0005991111" "link=000" "professional=N" "quantity=2000" "system=Equity" "t+=2" "time=20200304-08:06:35" "user=tdw" "user_details=1034616"</t>
  </si>
  <si>
    <t>04/03/20 08:06:35 9236: Quo reject : 10099 : No valid quote available</t>
  </si>
  <si>
    <t>04/03/20 08:06:37 8992 (10.152.26.30) : Got quo request:                      ICV        FR0010397232                                                        754         S20200306  2                                     LSC     BF16YK9 NCYT.L                        NCYT  FR0010397232    GBXGB   NCYT.L  0412918                    GBP</t>
  </si>
  <si>
    <t>04/03/20 08:06:37 8992 (10.152.26.30) : Sending....: 0262"record_type=QU" "user=tdw" "counterparty=277" "device=Aitken" "system=Equity" "time=29197" "quantity=754" "buy_sell=B" "isin=FR0010397232" "epic=NCYT" "t+=2" "settlement_date=20200306" "user_details=0412918" "quantity=754" "buy_sell=B" "currency=GBP" "link="</t>
  </si>
  <si>
    <t>04/03/20 08:06:38 8992 (10.152.26.30) : Read: "record_type=QUR" "reply_reason=0" "agency_time=2020-03-04 08:06:39.239" "bid_price=1.0615" "bid_size=37500" "buy_sell=B" "control_ref=129c61ca-5def-11ea-8b8c-005056a25061" "counterparty=277" "currency=GBP" "device=Aitken" "epic=NCYT" "isin=FR0010397232" "link=801" "market_maker=801" "offer_price=0" "offer_size=0" "professional=N" "ps_bid_price=1.0615" "ps_offer_price=0" "quantity=754" "rsp=WNTSGB2LBIC" "sent_time=2020-03-04 08:06:39.239" "serial_number=2139791080" "settlement_date=20200306" "system=Equity" "t+=2" "time=29197" "user=tdw" "user_details=0412918" "quotation_amount=1"</t>
  </si>
  <si>
    <t>04/03/20 08:06:38 8992: Quo reply :                       ICV        FR0010397232                                                    801 754         S20200306  2     171       106.15             30 LSC     BF16YK9 NCYT.L                        NCYT  FR0010397232    GBXGB   NCYT.L  0412918                    801</t>
  </si>
  <si>
    <t>04/03/20 08:06:39 12728 (10.152.26.31) : Got quo request:                      ICV        GB0008847096                                                        80000       B20200401 20                                     LSD     0884709 TSCO.L                        TSCO  GB0008847096    GBXGB   TSCO.L  6150399                    GBP</t>
  </si>
  <si>
    <t>04/03/20 08:06:39 12728 (10.152.26.31) : Sending....: 0267"record_type=QU" "user=tdw" "counterparty=277" "device=Aitken" "system=Equity" "time=29199" "quantity=80000" "buy_sell=S" "isin=GB0008847096" "epic=TSCO" "t+=20" "settlement_date=20200401" "user_details=6150399" "quantity=80000" "buy_sell=S" "currency=GBP" "link="</t>
  </si>
  <si>
    <t>04/03/20 08:06:40 12728 (10.152.26.31) : Read: "record_type=QUR" "reply_reason=0" "agency_time=2020-03-04 08:06:41.317" "bid_price=0" "bid_size=0" "buy_sell=S" "control_ref=13cbcc98-5def-11ea-8238-005056a25061" "counterparty=277" "currency=GBP" "device=Aitken" "epic=TSCO" "isin=GB0008847096" "link=801" "market_maker=801" "offer_price=2.36802" "offer_size=80000" "professional=N" "ps_bid_price=0" "ps_offer_price=2.36802" "quantity=80000" "rsp=WNTSGB2LBIC" "sent_time=2020-03-04 08:06:41.317" "serial_number=1921176300" "settlement_date=20200401" "system=Equity" "t+=20" "time=29199" "user=tdw" "user_details=6150399" "quotation_amount=1"</t>
  </si>
  <si>
    <t>04/03/20 08:06:40 12728: Quo reply :                       ICV        GB0008847096                                                    801 80000       B20200401 20     172       236.802            30 LSD     0884709 TSCO.L                        TSCO  GB0008847096    GBXGB   TSCO.L  6150399                    801</t>
  </si>
  <si>
    <t>04/03/20 08:06:40 11996 (10.152.26.32) : Got quo request:                      ICV        IL0011284465                                                        1000        S20200327 17                                     LSA     BBT3PS9 PLUS.L                        PLUS  IL0011284465    GBXGB   PLUS.L  0453889                    GBP</t>
  </si>
  <si>
    <t>04/03/20 08:06:40 11996 (10.152.26.32) : Sending....: 0265"record_type=QU" "user=tdw" "counterparty=277" "device=Aitken" "system=Equity" "time=29200" "quantity=1000" "buy_sell=B" "isin=IL0011284465" "epic=PLUS" "t+=17" "settlement_date=20200327" "user_details=0453889" "quantity=1000" "buy_sell=B" "currency=GBP" "link="</t>
  </si>
  <si>
    <t>04/03/20 08:06:42 11996 (10.152.26.32) : Read: "record_type=QUR" "reply_reason=0" "agency_time=2020-03-04 08:06:42.843" "bid_price=9.758085" "bid_size=2700" "buy_sell=B" "control_ref=14a5e414-5def-11ea-a1bf-005056a25061" "counterparty=277" "currency=GBP" "device=Aitken" "epic=PLUS.L" "isin=IL0011284465" "link=871" "market_maker=871" "offer_price=0" "offer_size=0" "professional=N" "ps_bid_price=9.758085" "ps_offer_price=0" "quantity=1000" "rsp=PLHCGB3LBIC" "sent_time=2020-03-04 08:06:42.843" "serial_number=1271037544" "settlement_date=20200327" "system=Equity" "t+=17" "time=29200" "user=tdw" "user_details=0453889"</t>
  </si>
  <si>
    <t>04/03/20 08:06:42 11996: Quo reply :                       ICV        IL0011284465                                                    871 1000        S20200327 17     173       975.8085           30 LSA     BBT3PS9 PLUS.L                        PLUS  IL0011284465    GBXGB   PLUS.L  0453889                    871</t>
  </si>
  <si>
    <t>04/03/20 08:06:43 5992 (10.152.26.30) : Got quo request:                      ICV        GB00B4WQVY43                                                        69895       B20200306  2                                     LSC     B4WQVY4 PHE.L                         PHE   GB00B4WQVY43    GBXGB   PHE.L   1078463                    GBP</t>
  </si>
  <si>
    <t>04/03/20 08:06:43 5992 (10.152.26.30) : Sending....: 0265"record_type=QU" "user=tdw" "counterparty=277" "device=Aitken" "system=Equity" "time=29203" "quantity=69895" "buy_sell=S" "isin=GB00B4WQVY43" "epic=PHE" "t+=2" "settlement_date=20200306" "user_details=1078463" "quantity=69895" "buy_sell=S" "currency=GBP" "link="</t>
  </si>
  <si>
    <t>04/03/20 08:06:43 5992 (10.152.26.30) : Read: "record_type=QUR" "reply_reason=0" "agency_time=2020-03-04 08:06:43.667" "bid_price=0" "bid_size=0" "buy_sell=S" "control_ref=1604d14e-5def-11ea-a802-005056a25061" "counterparty=277" "currency=GBP" "device=Aitken" "epic=PHE" "isin=GB00B4WQVY43" "link=589" "market_maker=589" "offer_price=0.01614" "offer_size=187500" "professional=N" "ps_bid_price=0" "ps_offer_price=0.01614" "quantity=69895" "rsp=SHOCGB21" "sent_time=2020-03-04 08:06:43.667" "serial_number=449130563" "settlement_date=20200306" "system=Equity" "t+=2" "time=29203" "user=tdw" "user_details=1078463"</t>
  </si>
  <si>
    <t>04/03/20 08:06:43 5992: Quo reply :                       ICV        GB00B4WQVY43                                                    589 69895       B20200306  2     174       1.614              30 LSC     B4WQVY4 PHE.L                         PHE   GB00B4WQVY43    GBXGB   PHE.L   1078463                    589</t>
  </si>
  <si>
    <t>04/03/20 08:06:46 4124 (10.152.26.31) : Got quo request:                      ICV        GB0009589168                                                        12748       B20200306  2                                     LSE     0958916 SYM.L                         SYM   GB0009589168    GBXGB   SYM.L   0627928                    GBP</t>
  </si>
  <si>
    <t>04/03/20 08:06:46 4124 (10.152.26.31) : Sending....: 0265"record_type=QU" "user=tdw" "counterparty=277" "device=Aitken" "system=Equity" "time=29206" "quantity=12748" "buy_sell=S" "isin=GB0009589168" "epic=SYM" "t+=2" "settlement_date=20200306" "user_details=0627928" "quantity=12748" "buy_sell=S" "currency=GBP" "link="</t>
  </si>
  <si>
    <t>04/03/20 08:06:46 4124 (10.152.26.31) : Read: "record_type=QUR" "reply_reason=0" "agency_time=2020-03-04 08:06:46.979" "bid_price=0" "bid_size=0" "buy_sell=S" "control_ref=17e76346-5def-11ea-b2bc-005056a25061" "counterparty=277" "currency=GBP" "device=Aitken" "epic=SYM" "isin=GB0009589168" "link=635" "market_maker=635" "offer_price=0.241" "offer_size=62500" "professional=N" "ps_bid_price=0" "ps_offer_price=0.241" "quantity=12748" "rsp=CFEQGB21EPE" "sent_time=2020-03-04 08:06:46.979" "serial_number=465636975" "settlement_date=20200306" "system=Equity" "t+=2" "time=29206" "user=tdw" "user_details=0627928"</t>
  </si>
  <si>
    <t>04/03/20 08:06:46 4124: Quo reply :                       ICV        GB0009589168                                                    635 12748       B20200306  2     175       24.1               30 LSE     0958916 SYM.L                         SYM   GB0009589168    GBXGB   SYM.L   0627928                    635</t>
  </si>
  <si>
    <t>04/03/20 08:06:48 12900 (10.152.26.30) : Got quo request:                      ICV        FR0010397232                                                        10000       S20200306  2                                     LSC     BF16YK9 NCYT.L                        NCYT  FR0010397232    GBXGB   NCYT.L  7055692                    GBP</t>
  </si>
  <si>
    <t>04/03/20 08:06:48 12900 (10.152.26.30) : Sending....: 0266"record_type=QU" "user=tdw" "counterparty=277" "device=Aitken" "system=Equity" "time=29208" "quantity=10000" "buy_sell=B" "isin=FR0010397232" "epic=NCYT" "t+=2" "settlement_date=20200306" "user_details=7055692" "quantity=10000" "buy_sell=B" "currency=GBP" "link="</t>
  </si>
  <si>
    <t>04/03/20 08:06:48 12900 (10.152.26.30) : Read: "record_type=QUR" "reply_reason=0" "agency_time=2020-03-04 08:06:48.829" "bid_price=1.0615" "bid_size=37500" "buy_sell=B" "control_ref=1913c278-5def-11ea-948a-005056a25061" "counterparty=277" "currency=GBP" "device=Aitken" "epic=NCYT" "isin=FR0010397232" "link=801" "market_maker=801" "offer_price=0" "offer_size=0" "professional=N" "ps_bid_price=1.0615" "ps_offer_price=0" "quantity=10000" "rsp=WNTSGB2LBIC" "sent_time=2020-03-04 08:06:48.829" "serial_number=643013538" "settlement_date=20200306" "system=Equity" "t+=2" "time=29208" "user=tdw" "user_details=7055692" "quotation_amount=1"</t>
  </si>
  <si>
    <t>04/03/20 08:06:48 12900: Quo reply :                       ICV        FR0010397232                                                    801 10000       S20200306  2     176       106.15             30 LSC     BF16YK9 NCYT.L                        NCYT  FR0010397232    GBXGB   NCYT.L  7055692                    801</t>
  </si>
  <si>
    <t>04/03/20 08:06:50 6048 (10.152.26.32)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</si>
  <si>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08:06:50 6048 (10.152.26.32) : Sending....: 0264"record_type=QU" "user=tdw" "counterparty=277" "device=Aitken" "system=Equity" "time=29210" "quantity=1500" "buy_sell=B" "isin=GB0031348658" "epic=BARC" "t+=2" "settlement_date=20200306" "user_details=5231771" "quantity=1500" "buy_sell=B" "currency=GBP" "link="</t>
  </si>
  <si>
    <t>04/03/20 08:06:50 6048 (10.152.26.32) : Read: "record_type=QUR" "reply_reason=0" "agency_time=2020-03-04 08:06:51.323" "bid_price=1.3906" "bid_size=4000" "buy_sell=B" "control_ref=1a2e4ae8-5def-11ea-bd8f-005056a25061" "counterparty=277" "currency=GBP" "device=Aitken" "epic=BARC" "isin=GB0031348658" "link=801" "market_maker=801" "offer_price=0" "offer_size=0" "professional=N" "ps_bid_price=1.3906" "ps_offer_price=0" "quantity=1500" "rsp=WNTSGB2LBIC" "sent_time=2020-03-04 08:06:51.323" "serial_number=1766725238" "settlement_date=20200306" "system=Equity" "t+=2" "time=29210" "user=tdw" "user_details=5231771" "quotation_amount=1"</t>
  </si>
  <si>
    <t>04/03/20 08:06:50 6048: Quo reply :                       ICV        GB0031348658                                                    801 1500        S20200306  2     177       139.06             30 LSF     3134865 BARC.L                        BARC  GB0031348658    GBXGB   BARC.L  5231771                    801</t>
  </si>
  <si>
    <t>04/03/20 08:06:50 10288 (10.152.26.31) : Got quo request:                      ICV        GB0008854563                                                        704943      B20200306  2                                     LSE     0885456 TYM.L                         TYM   GB0008854563    GBXGB   TYM.L   0596411                    GBP</t>
  </si>
  <si>
    <t>04/03/20 08:06:50 10288 (10.152.26.31) : Sending....: 0267"record_type=QU" "user=tdw" "counterparty=277" "device=Aitken" "system=Equity" "time=29210" "quantity=704943" "buy_sell=S" "isin=GB0008854563" "epic=TYM" "t+=2" "settlement_date=20200306" "user_details=0596411" "quantity=704943" "buy_sell=S" "currency=GBP" "link="</t>
  </si>
  <si>
    <t>04/03/20 08:06:51 10288 (10.152.26.31) : Read: "record_type=QUR" "reply_reason=99" "reply_message=No valid quote available" "agency_time=2020-03-04 08:06:52.185" "buy_sell=S" "counterparty=277" "currency=GBP" "device=Aitken" "epic=TYM" "isin=GB0008854563" "link=000" "professional=N" "quantity=704943" "system=Equity" "t+=2" "time=20200304-08:06:51" "user=tdw" "user_details=0596411"</t>
  </si>
  <si>
    <t>04/03/20 08:06:51 10288: Quo reject : 10099 : No valid quote available</t>
  </si>
  <si>
    <t>04/03/20 08:06:51 9580 (10.152.26.30) : Got quo request:                      ICV        JE00B4T3BW64                                                        10000       S20200306  2                                     LSF     B4T3BW6 GLEN.L                        GLEN  JE00B4T3BW64    GBXJE   GLEN.L  4739159                    GBP</t>
  </si>
  <si>
    <t>04/03/20 08:06:51 9580 (10.152.26.30) : Sending....: 0266"record_type=QU" "user=tdw" "counterparty=277" "device=Aitken" "system=Equity" "time=29211" "quantity=10000" "buy_sell=B" "isin=JE00B4T3BW64" "epic=GLEN" "t+=2" "settlement_date=20200306" "user_details=4739159" "quantity=10000" "buy_sell=B" "currency=GBP" "link="</t>
  </si>
  <si>
    <t>04/03/20 08:06:52 9580 (10.152.26.30) : Read: "record_type=QUR" "reply_reason=0" "agency_time=2020-03-04 08:06:52.514" "bid_price=1.9294" "bid_size=10000" "buy_sell=B" "control_ref=1b2059dc-5def-11ea-82c5-005056a25061" "counterparty=277" "currency=GBP" "device=Aitken" "epic=GLEN" "isin=JE00B4T3BW64" "link=331" "market_maker=331" "offer_price=0" "offer_size=0" "professional=N" "ps_bid_price=1.9294" "ps_offer_price=0" "quantity=10000" "rsp=IHCSGB21002" "sent_time=2020-03-04 08:06:52.514" "serial_number=1883355865" "settlement_date=20200306" "system=Equity" "t+=2" "time=29211" "user=tdw" "user_details=4739159"</t>
  </si>
  <si>
    <t>04/03/20 08:06:52 9580: Quo reply :                       ICV        JE00B4T3BW64                                                    331 10000       S20200306  2     178       192.94             30 LSF     B4T3BW6 GLEN.L                        GLEN  JE00B4T3BW64    GBXJE   GLEN.L  4739159                    331</t>
  </si>
  <si>
    <t>04/03/20 08:06:54 11888 (10.152.26.32) : Got quo request:                      ICV        GB0008706128                                                        123250      B20200306  2                                     LSF     0870612 LLOY.L                        LLOY  GB0008706128    GBXGB   LLOY.L  5200352                    GBP</t>
  </si>
  <si>
    <t>04/03/20 08:06:54 11888 (10.152.26.32) : Sending....: 0268"record_type=QU" "user=tdw" "counterparty=277" "device=Aitken" "system=Equity" "time=29214" "quantity=123250" "buy_sell=S" "isin=GB0008706128" "epic=LLOY" "t+=2" "settlement_date=20200306" "user_details=5200352" "quantity=123250" "buy_sell=S" "currency=GBP" "link="</t>
  </si>
  <si>
    <t>04/03/20 08:06:54 11888 (10.152.26.32) : Read: "record_type=QUR" "reply_reason=0" "agency_time=2020-03-04 08:06:54.977" "bid_price=0" "bid_size=0" "buy_sell=S" "control_ref=1cbe61b2-5def-11ea-b6c3-005056a25061" "counterparty=277" "currency=GBP" "device=Aitken" "epic=LLOY" "isin=GB0008706128" "link=801" "market_maker=801" "offer_price=0.48035" "offer_size=123250" "professional=N" "ps_bid_price=0" "ps_offer_price=0.48035" "quantity=123250" "rsp=WNTSGB2LBIC" "sent_time=2020-03-04 08:06:54.977" "serial_number=363307326" "settlement_date=20200306" "system=Equity" "t+=2" "time=29214" "user=tdw" "user_details=5200352" "quotation_amount=1"</t>
  </si>
  <si>
    <t>04/03/20 08:06:54 11888: Quo reply :                       ICV        GB0008706128                                                    801 123250      B20200306  2     179       48.035             30 LSF     0870612 LLOY.L                        LLOY  GB0008706128    GBXGB   LLOY.L  5200352                    801</t>
  </si>
  <si>
    <t>04/03/20 08:06:56 8992 (10.152.26.30) : Got quo request:                      ICV        GB00BRS65X63                                                        8888        S20200306  2                                     LSB     BRS65X6 INDV.L                        INDV  GB00BRS65X63    GBXGB   INDV.L  6113125                    GBP</t>
  </si>
  <si>
    <t>04/03/20 08:06:56 8992 (10.152.26.30) : Sending....: 0264"record_type=QU" "user=tdw" "counterparty=277" "device=Aitken" "system=Equity" "time=29216" "quantity=8888" "buy_sell=B" "isin=GB00BRS65X63" "epic=INDV" "t+=2" "settlement_date=20200306" "user_details=6113125" "quantity=8888" "buy_sell=B" "currency=GBP" "link="</t>
  </si>
  <si>
    <t>04/03/20 08:06:56 8992 (10.152.26.30) : Read: "record_type=QUR" "reply_reason=0" "agency_time=2020-03-04 08:06:56.669" "bid_price=0.4506" "bid_size=8888" "buy_sell=B" "control_ref=1dc50cb4-5def-11ea-b103-005056a25061" "counterparty=277" "currency=GBP" "device=Aitken" "epic=INDV" "isin=GB00BRS65X63" "link=801" "market_maker=801" "offer_price=0" "offer_size=0" "professional=N" "ps_bid_price=0.4506" "ps_offer_price=0" "quantity=8888" "rsp=WNTSGB2LBIC" "sent_time=2020-03-04 08:06:56.669" "serial_number=651533836" "settlement_date=20200306" "system=Equity" "t+=2" "time=29216" "user=tdw" "user_details=6113125" "quotation_amount=1"</t>
  </si>
  <si>
    <t>04/03/20 08:06:56 8992: Quo reply :                       ICV        GB00BRS65X63                                                    801 8888        S20200306  2     180       45.06              30 LSB     BRS65X6 INDV.L                        INDV  GB00BRS65X63    GBXGB   INDV.L  6113125                    801</t>
  </si>
  <si>
    <t>04/03/20 08:06:56 9236 (10.152.26.31) : Got quo request:                      ICV        GB0009589168                                                        3153        B20200318 10                                     LSE     0958916 SYM.L                         SYM   GB0009589168    GBXGB   SYM.L   0449170                    GBP</t>
  </si>
  <si>
    <t>04/03/20 08:06:56 9236 (10.152.26.31) : Sending....: 0264"record_type=QU" "user=tdw" "counterparty=277" "device=Aitken" "system=Equity" "time=29216" "quantity=3153" "buy_sell=S" "isin=GB0009589168" "epic=SYM" "t+=10" "settlement_date=20200318" "user_details=0449170" "quantity=3153" "buy_sell=S" "currency=GBP" "link="</t>
  </si>
  <si>
    <t>04/03/20 08:06:56 9236 (10.152.26.31) : Read: "record_type=QUR" "reply_reason=0" "agency_time=2020-03-04 08:06:56.941" "bid_price=0" "bid_size=0" "buy_sell=S" "control_ref=1ded958a-5def-11ea-9e16-005056a25061" "counterparty=277" "currency=GBP" "device=Aitken" "epic=SYM" "isin=GB0009589168" "link=635" "market_maker=635" "offer_price=0.241" "offer_size=62500" "professional=N" "ps_bid_price=0" "ps_offer_price=0.241" "quantity=3153" "rsp=CFEQGB21EPE" "sent_time=2020-03-04 08:06:56.941" "serial_number=1039740567" "settlement_date=20200318" "system=Equity" "t+=10" "time=29216" "user=tdw" "user_details=0449170"</t>
  </si>
  <si>
    <t>04/03/20 08:06:56 9236: Quo reply :                       ICV        GB0009589168                                                    635 3153        B20200318 10     181       24.1               30 LSE     0958916 SYM.L                         SYM   GB0009589168    GBXGB   SYM.L   0449170                    635</t>
  </si>
  <si>
    <t>04/03/20 08:06:59 12728 (10.152.26.31)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</si>
  <si>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08:06:59 12728 (10.152.26.31) : Sending....: 0264"record_type=QU" "user=tdw" "counterparty=277" "device=Aitken" "system=Equity" "time=29219" "quantity=5000" "buy_sell=S" "isin=JE00B5TT1872" "epic=CEY" "t+=20" "settlement_date=20200401" "user_details=0426920" "quantity=5000" "buy_sell=S" "currency=GBP" "link="</t>
  </si>
  <si>
    <t>04/03/20 08:06:59 12728 (10.152.26.31) : Read: "record_type=QUR" "reply_reason=0" "agency_time=2020-03-04 08:07:00.310" "bid_price=0" "bid_size=0" "buy_sell=S" "control_ref=1ff19d72-5def-11ea-813f-005056a25061" "counterparty=277" "currency=GBP" "device=Aitken" "epic=CEY" "isin=JE00B5TT1872" "link=589" "market_maker=589" "offer_price=1.417739" "offer_size=5000" "professional=N" "ps_bid_price=0" "ps_offer_price=1.417739" "quantity=5000" "rsp=SHOCGB21" "sent_time=2020-03-04 08:07:00.310" "serial_number=1653614510" "settlement_date=20200401" "system=Equity" "t+=20" "time=29219" "user=tdw" "user_details=0426920"</t>
  </si>
  <si>
    <t>04/03/20 08:06:59 12728: Quo reply :                       ICV        JE00B5TT1872                                                    589 5000        B20200401 20     182       141.7739           30 LSA     B5TT187 CEY.L                         CEY   JE00B5TT1872    GBXJE   CEY.L   0426920                    589</t>
  </si>
  <si>
    <t>04/03/20 08:07:02 11996 (10.152.26.32) : Got quo request:                      ICV        GB00B13GSS58                                                        10000       B20200306  2                                     LSC     B13GSS5 PHD.L                         PHD   GB00B13GSS58    GBXGB   PHD.L   1079177                    GBP</t>
  </si>
  <si>
    <t>04/03/20 08:07:02 11996 (10.152.26.32) : Sending....: 0265"record_type=QU" "user=tdw" "counterparty=277" "device=Aitken" "system=Equity" "time=29222" "quantity=10000" "buy_sell=S" "isin=GB00B13GSS58" "epic=PHD" "t+=2" "settlement_date=20200306" "user_details=1079177" "quantity=10000" "buy_sell=S" "currency=GBP" "link="</t>
  </si>
  <si>
    <t>04/03/20 08:07:02 11996 (10.152.26.32) : Read: "record_type=QUR" "reply_reason=99" "reply_message=No valid quote available" "agency_time=2020-03-04 08:07:02.514" "buy_sell=S" "counterparty=277" "currency=GBP" "device=Aitken" "epic=PHD" "isin=GB00B13GSS58" "link=000" "professional=N" "quantity=10000" "system=Equity" "t+=2" "time=20200304-08:07:02" "user=tdw" "user_details=1079177"</t>
  </si>
  <si>
    <t>04/03/20 08:07:02 11996: Quo reject : 10099 : No valid quote available</t>
  </si>
  <si>
    <t>04/03/20 08:07:02 5992 (10.152.26.30) : Got quo request:                      ICV        GB00B0DG3H29                                                        130305      S20200306  2                                     LSB     B0DG3H2 SXX.L                         SXX   GB00B0DG3H29    GBXGB   SXX.L   5251327                    GBP</t>
  </si>
  <si>
    <t>04/03/20 08:07:02 5992 (10.152.26.30) : Sending....: 0267"record_type=QU" "user=tdw" "counterparty=277" "device=Aitken" "system=Equity" "time=29222" "quantity=130305" "buy_sell=B" "isin=GB00B0DG3H29" "epic=SXX" "t+=2" "settlement_date=20200306" "user_details=5251327" "quantity=130305" "buy_sell=B" "currency=GBP" "link="</t>
  </si>
  <si>
    <t>04/03/20 08:07:02 5992 (10.152.26.30) : Read: "record_type=QUR" "reply_reason=0" "agency_time=2020-03-04 08:07:03.156" "bid_price=0.054855" "bid_size=150000" "buy_sell=B" "control_ref=21a15e46-5def-11ea-bb12-005056a25061" "counterparty=277" "currency=GBP" "device=Aitken" "epic=SXX" "isin=GB00B0DG3H29" "link=801" "market_maker=801" "offer_price=0" "offer_size=0" "professional=N" "ps_bid_price=0.054855" "ps_offer_price=0" "quantity=130305" "rsp=WNTSGB2LBIC" "sent_time=2020-03-04 08:07:03.156" "serial_number=1591258400" "settlement_date=20200306" "system=Equity" "t+=2" "time=29222" "user=tdw" "user_details=5251327" "quotation_amount=1"</t>
  </si>
  <si>
    <t>04/03/20 08:07:02 5992: Quo reply :                       ICV        GB00B0DG3H29                                                    801 130305      S20200306  2     183       5.4855             30 LSB     B0DG3H2 SXX.L                         SXX   GB00B0DG3H29    GBXGB   SXX.L   5251327                    801</t>
  </si>
  <si>
    <t>04/03/20 08:07:05 4124 (10.152.26.31) : Got quo request:                      ICV        GG00B4TM3943                                                        25000       B20200306  2                                     LSC     B4TM394 BMN.L                         BMN   GG00B4TM3943    GBXGG   BMN.L   0688297                    GBP</t>
  </si>
  <si>
    <t>04/03/20 08:07:05 4124 (10.152.26.31) : Sending....: 0265"record_type=QU" "user=tdw" "counterparty=277" "device=Aitken" "system=Equity" "time=29225" "quantity=25000" "buy_sell=S" "isin=GG00B4TM3943" "epic=BMN" "t+=2" "settlement_date=20200306" "user_details=0688297" "quantity=25000" "buy_sell=S" "currency=GBP" "link="</t>
  </si>
  <si>
    <t>04/03/20 08:07:05 4124 (10.152.26.31) : Read: "record_type=QUR" "reply_reason=0" "agency_time=2020-03-04 08:07:05.772" "bid_price=0" "bid_size=0" "buy_sell=S" "control_ref=2332ae36-5def-11ea-a4ea-005056a25061" "counterparty=277" "currency=GBP" "device=Aitken" "epic=BMN" "isin=GG00B4TM3943" "link=801" "market_maker=801" "offer_price=0.1875" "offer_size=150000" "professional=N" "ps_bid_price=0" "ps_offer_price=0.1875" "quantity=25000" "rsp=WNTSGB2LBIC" "sent_time=2020-03-04 08:07:05.772" "serial_number=4557898" "settlement_date=20200306" "system=Equity" "t+=2" "time=29225" "user=tdw" "user_details=0688297" "quotation_amount=1"</t>
  </si>
  <si>
    <t>04/03/20 08:07:05 4124: Quo reply :                       ICV        GG00B4TM3943                                                    801 25000       B20200306  2     184       18.75              30 LSC     B4TM394 BMN.L                         BMN   GG00B4TM3943    GBXGG   BMN.L   0688297                    801</t>
  </si>
  <si>
    <t>04/03/20 08:07:08 12900 (10.152.26.30) : Got quo request:                      ICV        GB00B8YZTJ80                                                        16742       B20200306  2                                     LSC     B8YZTJ8 VRS.L                         VRS   GB00B8YZTJ80    GBXGB   VRS.L   4705518                    GBP</t>
  </si>
  <si>
    <t>04/03/20 08:07:08 12900 (10.152.26.30) : Sending....: 0265"record_type=QU" "user=tdw" "counterparty=277" "device=Aitken" "system=Equity" "time=29228" "quantity=16742" "buy_sell=S" "isin=GB00B8YZTJ80" "epic=VRS" "t+=2" "settlement_date=20200306" "user_details=4705518" "quantity=16742" "buy_sell=S" "currency=GBP" "link="</t>
  </si>
  <si>
    <t>04/03/20 08:07:08 12900 (10.152.26.30) : Read: "record_type=QUR" "reply_reason=0" "agency_time=2020-03-04 08:07:09.302" "bid_price=0" "bid_size=0" "buy_sell=S" "control_ref=254d84ac-5def-11ea-9895-005056a25061" "counterparty=277" "currency=GBP" "device=Aitken" "epic=VRS" "isin=GB00B8YZTJ80" "link=589" "market_maker=589" "offer_price=0.44113" "offer_size=31250" "professional=N" "ps_bid_price=0" "ps_offer_price=0.44113" "quantity=16742" "rsp=SHOCGB21" "sent_time=2020-03-04 08:07:09.302" "serial_number=1735434834" "settlement_date=20200306" "system=Equity" "t+=2" "time=29228" "user=tdw" "user_details=4705518"</t>
  </si>
  <si>
    <t>04/03/20 08:07:08 12900: Quo reply :                       ICV        GB00B8YZTJ80                                                    589 16742       B20200306  2     185       44.113             30 LSC     B8YZTJ8 VRS.L                         VRS   GB00B8YZTJ80    GBXGB   VRS.L   4705518                    589</t>
  </si>
  <si>
    <t>04/03/20 08:07:09 11108 (10.152.26.32) : Got quo request:                      ICV        JE00B4T3BW64                                                        2246        S20200331 19                                     LSF     B4T3BW6 GLEN.L                        GLEN  JE00B4T3BW64    GBXJE   GLEN.L  0426552                    GBP</t>
  </si>
  <si>
    <t>04/03/20 08:07:09 11108 (10.152.26.32) : Sending....: 0265"record_type=QU" "user=tdw" "counterparty=277" "device=Aitken" "system=Equity" "time=29229" "quantity=2246" "buy_sell=B" "isin=JE00B4T3BW64" "epic=GLEN" "t+=19" "settlement_date=20200331" "user_details=0426552" "quantity=2246" "buy_sell=B" "currency=GBP" "link="</t>
  </si>
  <si>
    <t>04/03/20 08:07:09 11108 (10.152.26.32) : Read: "record_type=QUR" "reply_reason=0" "agency_time=2020-03-04 08:07:09.818" "bid_price=1.9266" "bid_size=3000" "buy_sell=B" "control_ref=259c66da-5def-11ea-a52a-005056a25061" "counterparty=277" "currency=GBP" "device=Aitken" "epic=GLEN" "isin=JE00B4T3BW64" "link=801" "market_maker=801" "offer_price=0" "offer_size=0" "professional=N" "ps_bid_price=1.9266" "ps_offer_price=0" "quantity=2246" "rsp=WNTSGB2LBIC" "sent_time=2020-03-04 08:07:09.818" "serial_number=645357188" "settlement_date=20200331" "system=Equity" "t+=19" "time=29229" "user=tdw" "user_details=0426552" "quotation_amount=1"</t>
  </si>
  <si>
    <t>04/03/20 08:07:09 11108: Quo reply :                       ICV        JE00B4T3BW64                                                    801 2246        S20200331 19     186       192.66             30 LSF     B4T3BW6 GLEN.L                        GLEN  JE00B4T3BW64    GBXJE   GLEN.L  0426552                    801</t>
  </si>
  <si>
    <t>04/03/20 08:07:12 10288 (10.152.26.31) : Got quo request:                      ICV        GB0008854563                                                        322783      S20200306  2                                     LSE     0885456 TYM.L                         TYM   GB0008854563    GBXGB   TYM.L   4700276                    GBP</t>
  </si>
  <si>
    <t>04/03/20 08:07:12 10288 (10.152.26.31) : Sending....: 0267"record_type=QU" "user=tdw" "counterparty=277" "device=Aitken" "system=Equity" "time=29232" "quantity=322783" "buy_sell=B" "isin=GB0008854563" "epic=TYM" "t+=2" "settlement_date=20200306" "user_details=4700276" "quantity=322783" "buy_sell=B" "currency=GBP" "link="</t>
  </si>
  <si>
    <t>04/03/20 08:07:12 10288 (10.152.26.31) : Read: "record_type=QUR" "reply_reason=0" "agency_time=2020-03-04 08:07:12.546" "bid_price=0.0045" "bid_size=2250000" "buy_sell=B" "control_ref=27350e66-5def-11ea-8a6f-005056a25061" "counterparty=277" "currency=GBP" "device=Aitken" "epic=TYM" "isin=GB0008854563" "link=801" "market_maker=801" "offer_price=0" "offer_size=0" "professional=N" "ps_bid_price=0.0045" "ps_offer_price=0" "quantity=322783" "rsp=WNTSGB2LBIC" "sent_time=2020-03-04 08:07:12.546" "serial_number=620068216" "settlement_date=20200306" "system=Equity" "t+=2" "time=29232" "user=tdw" "user_details=4700276" "quotation_amount=1"</t>
  </si>
  <si>
    <t>04/03/20 08:07:12 10288: Quo reply :                       ICV        GB0008854563                                                    801 322783      S20200306  2     187       0.45               30 LSE     0885456 TYM.L                         TYM   GB0008854563    GBXGB   TYM.L   4700276                    801</t>
  </si>
  <si>
    <t>04/03/20 08:07:12 9580 (10.152.26.30) : Got quo request:                      ICV        JE00B5TT1872                                                        5000        S20200331 19                                     LSA     B5TT187 CEY.L                         CEY   JE00B5TT1872    GBXJE   CEY.L   0426920                    GBP</t>
  </si>
  <si>
    <t>04/03/20 08:07:12 9580 (10.152.26.30) : Sending....: 0264"record_type=QU" "user=tdw" "counterparty=277" "device=Aitken" "system=Equity" "time=29232" "quantity=5000" "buy_sell=B" "isin=JE00B5TT1872" "epic=CEY" "t+=19" "settlement_date=20200331" "user_details=0426920" "quantity=5000" "buy_sell=B" "currency=GBP" "link="</t>
  </si>
  <si>
    <t>04/03/20 08:07:12 9580 (10.152.26.30) : Read: "record_type=QUR" "reply_reason=0" "agency_time=2020-03-04 08:07:12.841" "bid_price=1.40725" "bid_size=7500" "buy_sell=B" "control_ref=2748249c-5def-11ea-a4bd-005056a25061" "counterparty=277" "currency=GBP" "device=Aitken" "epic=CEY" "isin=JE00B5TT1872" "link=801" "market_maker=801" "offer_price=0" "offer_size=0" "professional=N" "ps_bid_price=1.40725" "ps_offer_price=0" "quantity=5000" "rsp=WNTSGB2LBIC" "sent_time=2020-03-04 08:07:12.841" "serial_number=697167192" "settlement_date=20200331" "system=Equity" "t+=19" "time=29232" "user=tdw" "user_details=0426920" "quotation_amount=1"</t>
  </si>
  <si>
    <t>04/03/20 08:07:12 9580: Quo reply :                       ICV        JE00B5TT1872                                                    801 5000        S20200331 19     188       140.725            30 LSA     B5TT187 CEY.L                         CEY   JE00B5TT1872    GBXJE   CEY.L   0426920                    801</t>
  </si>
  <si>
    <t>04/03/20 08:07:13 6048 (10.152.26.32) : Got quo request:                      ICV        GB0009619924                                                        12000       S20200306  2                                     LSB     0961992 IQE.L                         IQE   GB0009619924    GBXGB   IQE.L   8237420                    GBP</t>
  </si>
  <si>
    <t>04/03/20 08:07:13 6048 (10.152.26.32) : Sending....: 0265"record_type=QU" "user=tdw" "counterparty=277" "device=Aitken" "system=Equity" "time=29233" "quantity=12000" "buy_sell=B" "isin=GB0009619924" "epic=IQE" "t+=2" "settlement_date=20200306" "user_details=8237420" "quantity=12000" "buy_sell=B" "currency=GBP" "link="</t>
  </si>
  <si>
    <t>04/03/20 08:07:13 6048 (10.152.26.32) : Read: "record_type=QUR" "reply_reason=0" "agency_time=2020-03-04 08:07:13.819" "bid_price=0.453176" "bid_size=37500" "buy_sell=B" "control_ref=27edcac8-5def-11ea-b288-005056a25061" "counterparty=277" "currency=GBP" "device=Aitken" "epic=IQE" "isin=GB0009619924" "link=801" "market_maker=801" "offer_price=0" "offer_size=0" "professional=N" "ps_bid_price=0.453176" "ps_offer_price=0" "quantity=12000" "rsp=WNTSGB2LBIC" "sent_time=2020-03-04 08:07:13.819" "serial_number=1579171699" "settlement_date=20200306" "system=Equity" "t+=2" "time=29233" "user=tdw" "user_details=8237420" "quotation_amount=1"</t>
  </si>
  <si>
    <t>04/03/20 08:07:13 6048: Quo reply :                       ICV        GB0009619924                                                    801 12000       S20200306  2     189       45.3176            30 LSB     0961992 IQE.L                         IQE   GB0009619924    GBXGB   IQE.L   8237420                    801</t>
  </si>
  <si>
    <t>04/03/20 08:07:16 9236 (10.152.26.31) : Got quo request:                      ICV        GB0008706128                                                        4000        B20200401 20                                     LSF     0870612 LLOY.L                        LLOY  GB0008706128    GBXGB   LLOY.L  0111249                    GBP</t>
  </si>
  <si>
    <t>04/03/20 08:07:16 9236 (10.152.26.31) : Sending....: 0265"record_type=QU" "user=tdw" "counterparty=277" "device=Aitken" "system=Equity" "time=29236" "quantity=4000" "buy_sell=S" "isin=GB0008706128" "epic=LLOY" "t+=20" "settlement_date=20200401" "user_details=0111249" "quantity=4000" "buy_sell=S" "currency=GBP" "link="</t>
  </si>
  <si>
    <t>04/03/20 08:07:17 9236 (10.152.26.31) : Read: "record_type=QUR" "reply_reason=0" "agency_time=2020-03-04 08:07:17.379" "bid_price=0" "bid_size=0" "buy_sell=S" "control_ref=2a1ce784-5def-11ea-84f8-005056a25061" "counterparty=277" "currency=GBP" "device=Aitken" "epic=LLOY" "isin=GB0008706128" "link=331" "market_maker=331" "offer_price=0.4806" "offer_size=375000" "professional=N" "ps_bid_price=0" "ps_offer_price=0.4806" "quantity=4000" "rsp=IHCSGB21002" "sent_time=2020-03-04 08:07:17.379" "serial_number=374658481" "settlement_date=20200401" "system=Equity" "t+=20" "time=29236" "user=tdw" "user_details=0111249"</t>
  </si>
  <si>
    <t>04/03/20 08:07:17 9236: Quo reply :                       ICV        GB0008706128                                                    331 4000        B20200401 20     190       48.06              30 LSF     0870612 LLOY.L                        LLOY  GB0008706128    GBXGB   LLOY.L  0111249                    331</t>
  </si>
  <si>
    <t>04/03/20 08:07:18 8992 (10.152.26.30) : Got quo request:                      ICV        GB00B0DG3H29                                                        10859       S20200306  2                                     LSB     B0DG3H2 SXX.L                         SXX   GB00B0DG3H29    GBXGB   SXX.L   0590199                    GBP</t>
  </si>
  <si>
    <t>04/03/20 08:07:18 8992 (10.152.26.30) : Sending....: 0265"record_type=QU" "user=tdw" "counterparty=277" "device=Aitken" "system=Equity" "time=29238" "quantity=10859" "buy_sell=B" "isin=GB00B0DG3H29" "epic=SXX" "t+=2" "settlement_date=20200306" "user_details=0590199" "quantity=10859" "buy_sell=B" "currency=GBP" "link="</t>
  </si>
  <si>
    <t>04/03/20 08:07:18 8992 (10.152.26.30) : Read: "record_type=QUR" "reply_reason=0" "agency_time=2020-03-04 08:07:18.627" "bid_price=0.05487" "bid_size=100000" "buy_sell=B" "control_ref=2adbe13e-5def-11ea-9a60-005056a25061" "counterparty=277" "currency=GBP" "device=Aitken" "epic=SXX" "isin=GB00B0DG3H29" "link=095" "market_maker=095" "offer_price=0" "offer_size=0" "professional=N" "ps_bid_price=0.05487" "ps_offer_price=0" "quantity=10859" "rsp=NETHGB21" "sent_time=2020-03-04 08:07:18.627" "serial_number=406146712" "settlement_date=20200306" "system=Equity" "t+=2" "time=29238" "user=tdw" "user_details=0590199"</t>
  </si>
  <si>
    <t>04/03/20 08:07:18 8992: Quo reply :                       ICV        GB00B0DG3H29                                                    095 10859       S20200306  2     191       5.487              30 LSB     B0DG3H2 SXX.L                         SXX   GB00B0DG3H29    GBXGB   SXX.L   0590199                    095</t>
  </si>
  <si>
    <t>04/03/20 08:07:21 11888 (10.152.26.32) : Got quo request:                      ICV        JE00B5TT1872                                                        5000        S20200331 19                                     LSA     B5TT187 CEY.L                         CEY   JE00B5TT1872    GBXJE   CEY.L   0426920                    GBP</t>
  </si>
  <si>
    <t>04/03/20 08:07:21 11888 (10.152.26.32) : Sending....: 0264"record_type=QU" "user=tdw" "counterparty=277" "device=Aitken" "system=Equity" "time=29241" "quantity=5000" "buy_sell=B" "isin=JE00B5TT1872" "epic=CEY" "t+=19" "settlement_date=20200331" "user_details=0426920" "quantity=5000" "buy_sell=B" "currency=GBP" "link="</t>
  </si>
  <si>
    <t>04/03/20 08:07:21 11888 (10.152.26.32) : Read: "record_type=QUR" "reply_reason=0" "agency_time=2020-03-04 08:07:22.189" "bid_price=1.40943" "bid_size=7500" "buy_sell=B" "control_ref=2cf7c26c-5def-11ea-a6a4-005056a25061" "counterparty=277" "currency=GBP" "device=Aitken" "epic=CEY" "isin=JE00B5TT1872" "link=801" "market_maker=801" "offer_price=0" "offer_size=0" "professional=N" "ps_bid_price=1.40943" "ps_offer_price=0" "quantity=5000" "rsp=WNTSGB2LBIC" "sent_time=2020-03-04 08:07:22.189" "serial_number=1991919583" "settlement_date=20200331" "system=Equity" "t+=19" "time=29241" "user=tdw" "user_details=0426920" "quotation_amount=1"</t>
  </si>
  <si>
    <t>04/03/20 08:07:21 11888: Quo reply :                       ICV        JE00B5TT1872                                                    801 5000        S20200331 19     192       140.943            30 LSA     B5TT187 CEY.L                         CEY   JE00B5TT1872    GBXJE   CEY.L   0426920                    801</t>
  </si>
  <si>
    <t>04/03/20 08:07:23 12728 (10.152.26.31) : Got quo request:                      ICV        GB0009589168                                                        12066       B20200306  2                                     LSE     0958916 SYM.L                         SYM   GB0009589168    GBXGB   SYM.L   0627928                    GBP</t>
  </si>
  <si>
    <t>04/03/20 08:07:23 12728 (10.152.26.31) : Sending....: 0265"record_type=QU" "user=tdw" "counterparty=277" "device=Aitken" "system=Equity" "time=29243" "quantity=12066" "buy_sell=S" "isin=GB0009589168" "epic=SYM" "t+=2" "settlement_date=20200306" "user_details=0627928" "quantity=12066" "buy_sell=S" "currency=GBP" "link="</t>
  </si>
  <si>
    <t>04/03/20 08:07:23 12728 (10.152.26.31) : Read: "record_type=QUR" "reply_reason=0" "agency_time=2020-03-04 08:07:23.467" "bid_price=0" "bid_size=0" "buy_sell=S" "control_ref=2dbdb486-5def-11ea-980e-005056a25061" "counterparty=277" "currency=GBP" "device=Aitken" "epic=SYM" "isin=GB0009589168" "link=801" "market_maker=801" "offer_price=0.24" "offer_size=15000" "professional=N" "ps_bid_price=0" "ps_offer_price=0.24" "quantity=12066" "rsp=WNTSGB2LBIC" "sent_time=2020-03-04 08:07:23.467" "serial_number=1540408995" "settlement_date=20200306" "system=Equity" "t+=2" "time=29243" "user=tdw" "user_details=0627928" "quotation_amount=1"</t>
  </si>
  <si>
    <t>04/03/20 08:07:23 12728: Quo reply :                       ICV        GB0009589168                                                    801 12066       B20200306  2     193       24                 30 LSE     0958916 SYM.L                         SYM   GB0009589168    GBXGB   SYM.L   0627928                    801</t>
  </si>
  <si>
    <t>04/03/20 08:07:23 5992 (10.152.26.30) : Got quo request:                      ICV        GB0008847096                                                        80000       B20200401 20                                     LSD     0884709 TSCO.L                        TSCO  GB0008847096    GBXGB   TSCO.L  6150399                    GBP</t>
  </si>
  <si>
    <t>04/03/20 08:07:23 5992 (10.152.26.30) : Sending....: 0267"record_type=QU" "user=tdw" "counterparty=277" "device=Aitken" "system=Equity" "time=29243" "quantity=80000" "buy_sell=S" "isin=GB0008847096" "epic=TSCO" "t+=20" "settlement_date=20200401" "user_details=6150399" "quantity=80000" "buy_sell=S" "currency=GBP" "link="</t>
  </si>
  <si>
    <t>04/03/20 08:07:23 5992 (10.152.26.30) : Read: "record_type=QUR" "reply_reason=0" "agency_time=2020-03-04 08:07:23.597" "bid_price=0" "bid_size=0" "buy_sell=S" "control_ref=2dd0afc8-5def-11ea-b618-005056a25061" "counterparty=277" "currency=GBP" "device=Aitken" "epic=TSCO" "isin=GB0008847096" "link=801" "market_maker=801" "offer_price=2.36342" "offer_size=80000" "professional=N" "ps_bid_price=0" "ps_offer_price=2.36342" "quantity=80000" "rsp=WNTSGB2LBIC" "sent_time=2020-03-04 08:07:23.597" "serial_number=1187085192" "settlement_date=20200401" "system=Equity" "t+=20" "time=29243" "user=tdw" "user_details=6150399" "quotation_amount=1"</t>
  </si>
  <si>
    <t>04/03/20 08:07:23 5992: Quo reply :                       ICV        GB0008847096                                                    801 80000       B20200401 20     194       236.342            30 LSD     0884709 TSCO.L                        TSCO  GB0008847096    GBXGB   TSCO.L  6150399                    801</t>
  </si>
  <si>
    <t>04/03/20 08:07:24 12900(10.152.26.30) : Got exe request:                      ICV        GB0009589168                                                    24                 12066       BABGBXA 193                            Y                                                     0627928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GB     SYM.L   00</t>
  </si>
  <si>
    <t>04/03/20 08:07:24 12900 (10.152.26.30) : Sending....: 0300"record_type=DE" "user=tdw" "counterparty=277" "device=Aitken" "system=Equity" "time=29244" "isin=GB0009589168" "epic=SYM" "serial_number=1540408995" "buy_sell=S" "quantity=12066" "t+=2" "currency=GBP" "booking_c/party=" "settlement_date=20200306" "user_details=0627928" "market_maker=801" "link="</t>
  </si>
  <si>
    <t>04/03/20 08:07:24 12900 (10.152.26.30) : Read: "record_type=DER" "reply_reason=0" "agency_time=2020-03-04 08:07:25.077" "bargain_ref=1824416650" "buy_sell=S" "control_ref=1824416650" "counterparty=277" "currency=GBP" "deal_time=08:07:25" "device=Aitken" "epic=SYM" "execution_venue=AIMX" "isin=GB0009589168" "market_maker=801" "price=0.24" "professional=N" "quantity=12066." "sent_time=2020-03-04 08:07:24.966" "serial_number=1824416650" "settlement_date=20200306" "system=Equity" "t+=2" "time=29244" "user=tdw" "user_details=0627928" "quotation_amount=1"</t>
  </si>
  <si>
    <t>04/03/20 08:07:24 12900: Exe reply :                       ICV        GB0009589168                                                    24                 12066       BABGBXA 193                            Y                                                     0627928                                                                                                                                                                                                                                                                       1824416650    20200306     182441665020200304080724   24                    12066               801 GB     SYM.L   02</t>
  </si>
  <si>
    <t>04/03/20 08:07:27 11996 (10.152.26.32) : Got quo request:                      ICV        FR0010397232                                                        3000        B20200306  2                                     LSC     BF16YK9 NCYT.L                        NCYT  FR0010397232    GBXGB   NCYT.L  9089478                    GBP</t>
  </si>
  <si>
    <t>04/03/20 08:07:27 11996 (10.152.26.32) : Sending....: 0264"record_type=QU" "user=tdw" "counterparty=277" "device=Aitken" "system=Equity" "time=29247" "quantity=3000" "buy_sell=S" "isin=FR0010397232" "epic=NCYT" "t+=2" "settlement_date=20200306" "user_details=9089478" "quantity=3000" "buy_sell=S" "currency=GBP" "link="</t>
  </si>
  <si>
    <t>04/03/20 08:07:27 11996 (10.152.26.32) : Read: "record_type=QUR" "reply_reason=0" "agency_time=2020-03-04 08:07:27.609" "bid_price=0" "bid_size=0" "buy_sell=S" "control_ref=302e3cd6-5def-11ea-a926-005056a25061" "counterparty=277" "currency=GBP" "device=Aitken" "epic=NCYT" "isin=FR0010397232" "link=791" "market_maker=791" "offer_price=1.095" "offer_size=27500" "professional=N" "ps_bid_price=0" "ps_offer_price=1.095" "quantity=3000" "rsp=BEGODEHH" "sent_time=2020-03-04 08:07:27.609" "serial_number=1333049829" "settlement_date=20200306" "system=Equity" "t+=2" "time=29247" "user=tdw" "user_details=9089478"</t>
  </si>
  <si>
    <t>04/03/20 08:07:27 11996: Quo reply :                       ICV        FR0010397232                                                    791 3000        B20200306  2     195       109.5              30 LSC     BF16YK9 NCYT.L                        NCYT  FR0010397232    GBXGB   NCYT.L  9089478                    791</t>
  </si>
  <si>
    <t>04/03/20 08:07:27 4124 (10.152.26.31) : Got quo request:                      ICV        IE00B4QNK008                                                        500         B20200306  2                                     LSE     B4QNK00 SUK2.L                        SUK2  IE00B4QNK008    GBXIE   SUK2.L  9303104                    GBP</t>
  </si>
  <si>
    <t>04/03/20 08:07:27 4124 (10.152.26.31) : Sending....: 0262"record_type=QU" "user=tdw" "counterparty=277" "device=Aitken" "system=Equity" "time=29247" "quantity=500" "buy_sell=S" "isin=IE00B4QNK008" "epic=SUK2" "t+=2" "settlement_date=20200306" "user_details=9303104" "quantity=500" "buy_sell=S" "currency=GBP" "link="</t>
  </si>
  <si>
    <t>04/03/20 08:07:27 4124 (10.152.26.31) : Read: "record_type=QUR" "reply_reason=0" "agency_time=2020-03-04 08:07:28.150" "bid_price=0" "bid_size=0" "buy_sell=S" "control_ref=308695f2-5def-11ea-b575-005056a25061" "counterparty=277" "currency=GBP" "device=Aitken" "epic=SUK2.L" "isin=IE00B4QNK008" "link=871" "market_maker=871" "offer_price=8.035739" "offer_size=12500" "professional=N" "ps_bid_price=0" "ps_offer_price=8.035739" "quantity=500" "rsp=PLHCGB3LBIC" "sent_time=2020-03-04 08:07:28.150" "serial_number=629224364" "settlement_date=20200306" "system=Equity" "t+=2" "time=29247" "user=tdw" "user_details=9303104"</t>
  </si>
  <si>
    <t>04/03/20 08:07:27 4124: Quo reply :                       ICV        IE00B4QNK008                                                    871 500         B20200306  2     196       803.5739           30 LSE     B4QNK00 SUK2.L                        SUK2  IE00B4QNK008    GBXIE   SUK2.L  9303104                    871</t>
  </si>
  <si>
    <t>04/03/20 08:07:28 9580 (10.152.26.30) : Got quo request:                      ICV        GB00B580MF54                                                        50000       S20200306  2                                     LSB     B580MF5 HUR.L                         HUR   GB00B580MF54    GBXGB   HUR.L   0909675                    GBP</t>
  </si>
  <si>
    <t>04/03/20 08:07:28 9580 (10.152.26.30) : Sending....: 0265"record_type=QU" "user=tdw" "counterparty=277" "device=Aitken" "system=Equity" "time=29248" "quantity=50000" "buy_sell=B" "isin=GB00B580MF54" "epic=HUR" "t+=2" "settlement_date=20200306" "user_details=0909675" "quantity=50000" "buy_sell=B" "currency=GBP" "link="</t>
  </si>
  <si>
    <t>04/03/20 08:07:28 9580 (10.152.26.30) : Read: "record_type=QUR" "reply_reason=0" "agency_time=2020-03-04 08:07:28.913" "bid_price=0.149001" "bid_size=100000" "buy_sell=B" "control_ref=30fdafe8-5def-11ea-a6ce-005056a25061" "counterparty=277" "currency=GBP" "device=Aitken" "epic=HUR.L" "isin=GB00B580MF54" "link=871" "market_maker=871" "offer_price=0" "offer_size=0" "professional=N" "ps_bid_price=0.149001" "ps_offer_price=0" "quantity=50000" "rsp=PLHCGB3LBIC" "sent_time=2020-03-04 08:07:28.913" "serial_number=1096871746" "settlement_date=20200306" "system=Equity" "t+=2" "time=29248" "user=tdw" "user_details=0909675"</t>
  </si>
  <si>
    <t>04/03/20 08:07:28 9580: Quo reply :                       ICV        GB00B580MF54                                                    871 50000       S20200306  2     197       14.9001            30 LSB     B580MF5 HUR.L                         HUR   GB00B580MF54    GBXGB   HUR.L   0909675                    871</t>
  </si>
  <si>
    <t>04/03/20 08:07:32 11108(10.152.26.32) : Got exe request:                      ICV        IE00B4QNK008                                                    803.573900         500         BABGBXA 196                            Y                                                     9303104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871 IE     SUK2.L  00</t>
  </si>
  <si>
    <t>04/03/20 08:07:32 11108 (10.152.26.32) : Sending....: 0298"record_type=DE" "user=tdw" "counterparty=277" "device=Aitken" "system=Equity" "time=29252" "isin=IE00B4QNK008" "epic=SUK2" "serial_number=629224364" "buy_sell=S" "quantity=500" "t+=2" "currency=GBP" "booking_c/party=" "settlement_date=20200306" "user_details=9303104" "market_maker=871" "link="</t>
  </si>
  <si>
    <t>04/03/20 08:07:32 11108 (10.152.26.32) : Read: "record_type=DER" "reply_reason=0" "agency_time=2020-03-04 08:07:33.021" "bargain_ref=080728G0646386-1" "buy_sell=S" "control_ref=080728G0646386" "counterparty=277" "currency=GBP" "deal_time=08:07:33" "device=Aitken" "epic=SUK2.L" "execution_venue=XLON" "isin=IE00B4QNK008" "market_maker=871" "price=8.035739" "professional=N" "quantity=500" "sent_time=2020-03-04 08:07:33.004" "serial_number=080728G0646386-1" "settlement_date=20200306" "system=Equity" "t+=2" "time=29252" "user=tdw" "user_details=9303104"</t>
  </si>
  <si>
    <t>04/03/20 08:07:32 11108: Exe reply :                       ICV        IE00B4QNK008                                                    803.573900         500         BABGBXA 196                            Y                                                     9303104                                                                                                                                                                                                                                                                       080728G064638620200306     080728G06420200304080732   803.5739              500                 871 IE     SUK2.L  02</t>
  </si>
  <si>
    <t>04/03/20 08:07:32 8992 (10.152.26.30) : Got quo request:                      ICV        GB00B8YZTJ80                                                        10000       S20200306  2                                     LSC     B8YZTJ8 VRS.L                         VRS   GB00B8YZTJ80    GBXGB   VRS.L   0849528                    GBP</t>
  </si>
  <si>
    <t>04/03/20 08:07:32 8992 (10.152.26.30) : Sending....: 0265"record_type=QU" "user=tdw" "counterparty=277" "device=Aitken" "system=Equity" "time=29252" "quantity=10000" "buy_sell=B" "isin=GB00B8YZTJ80" "epic=VRS" "t+=2" "settlement_date=20200306" "user_details=0849528" "quantity=10000" "buy_sell=B" "currency=GBP" "link="</t>
  </si>
  <si>
    <t>04/03/20 08:07:32 8992 (10.152.26.30) : Read: "record_type=QUR" "reply_reason=99" "reply_message=No valid quote available" "agency_time=2020-03-04 08:07:33.272" "buy_sell=B" "counterparty=277" "currency=GBP" "device=Aitken" "epic=VRS" "isin=GB00B8YZTJ80" "link=000" "professional=N" "quantity=10000" "system=Equity" "t+=2" "time=20200304-08:07:33" "user=tdw" "user_details=0849528"</t>
  </si>
  <si>
    <t>04/03/20 08:07:32 8992: Quo reject : 10099 : No valid quote available</t>
  </si>
  <si>
    <t>04/03/20 08:07:32 6048 (10.152.26.32) : Got quo request:                      ICV        GB00B8YZTJ80                                                        17078       B20200306  2                                     LSC     B8YZTJ8 VRS.L                         VRS   GB00B8YZTJ80    GBXGB   VRS.L   4705518                    GBP</t>
  </si>
  <si>
    <t>04/03/20 08:07:32 6048 (10.152.26.32) : Sending....: 0265"record_type=QU" "user=tdw" "counterparty=277" "device=Aitken" "system=Equity" "time=29252" "quantity=17078" "buy_sell=S" "isin=GB00B8YZTJ80" "epic=VRS" "t+=2" "settlement_date=20200306" "user_details=4705518" "quantity=17078" "buy_sell=S" "currency=GBP" "link="</t>
  </si>
  <si>
    <t>04/03/20 08:07:32 6048 (10.152.26.32) : Read: "record_type=QUR" "reply_reason=0" "agency_time=2020-03-04 08:07:33.320" "bid_price=0" "bid_size=0" "buy_sell=S" "control_ref=339e82ea-5def-11ea-ab92-005056a25061" "counterparty=277" "currency=GBP" "device=Aitken" "epic=VRS" "isin=GB00B8YZTJ80" "link=589" "market_maker=589" "offer_price=0.44113" "offer_size=31250" "professional=N" "ps_bid_price=0" "ps_offer_price=0.44113" "quantity=17078" "rsp=SHOCGB21" "sent_time=2020-03-04 08:07:33.320" "serial_number=2056368112" "settlement_date=20200306" "system=Equity" "t+=2" "time=29252" "user=tdw" "user_details=4705518"</t>
  </si>
  <si>
    <t>04/03/20 08:07:32 6048: Quo reply :                       ICV        GB00B8YZTJ80                                                    589 17078       B20200306  2     198       44.113             30 LSC     B8YZTJ8 VRS.L                         VRS   GB00B8YZTJ80    GBXGB   VRS.L   4705518                    589</t>
  </si>
  <si>
    <t>04/03/20 08:07:35 10288 (10.152.26.31) : Got quo request:                      ICV        GB0006834344                                                        100000      B20200401 20                                     LSB     0683434 INTU.L                        INTU  GB0006834344    GBXGB   INTU.L  0575591                    GBP</t>
  </si>
  <si>
    <t>04/03/20 08:07:35 10288 (10.152.26.31) : Sending....: 0269"record_type=QU" "user=tdw" "counterparty=277" "device=Aitken" "system=Equity" "time=29255" "quantity=100000" "buy_sell=S" "isin=GB0006834344" "epic=INTU" "t+=20" "settlement_date=20200401" "user_details=0575591" "quantity=100000" "buy_sell=S" "currency=GBP" "link="</t>
  </si>
  <si>
    <t>04/03/20 08:07:35 10288 (10.152.26.31) : Read: "record_type=QUR" "reply_reason=99" "reply_message=No valid quote available" "agency_time=2020-03-04 08:07:35.612" "buy_sell=S" "counterparty=277" "currency=GBP" "device=Aitken" "epic=INTU" "isin=GB0006834344" "link=000" "professional=N" "quantity=100000" "system=Equity" "t+=20" "time=20200304-08:07:35" "user=tdw" "user_details=0575591"</t>
  </si>
  <si>
    <t>04/03/20 08:07:35 10288: Quo reject : 10099 : No valid quote available</t>
  </si>
  <si>
    <t>04/03/20 08:07:37 11888 (10.152.26.32) : Got quo request:                      ICV        ES0177542018                                                        1800        B20200306  2                                     LSD     B5M6XQ7 IAG.L                         IAG   ES0177542018    GBXGB   IAG.L   8167486                    GBP</t>
  </si>
  <si>
    <t>04/03/20 08:07:37 11888 (10.152.26.32) : Sending....: 0263"record_type=QU" "user=tdw" "counterparty=277" "device=Aitken" "system=Equity" "time=29257" "quantity=1800" "buy_sell=S" "isin=ES0177542018" "epic=IAG" "t+=2" "settlement_date=20200306" "user_details=8167486" "quantity=1800" "buy_sell=S" "currency=GBP" "link="</t>
  </si>
  <si>
    <t>04/03/20 08:07:37 11888 (10.152.26.32) : Read: "record_type=QUR" "reply_reason=0" "agency_time=2020-03-04 08:07:37.425" "bid_price=0" "bid_size=0" "buy_sell=S" "control_ref=360e63b0-5def-11ea-9df6-005056a25061" "counterparty=277" "currency=GBP" "device=Aitken" "epic=IAG" "isin=ES0177542018" "link=801" "market_maker=801" "offer_price=4.59338" "offer_size=5000" "professional=N" "ps_bid_price=0" "ps_offer_price=4.59338" "quantity=1800" "rsp=WNTSGB2LBIC" "sent_time=2020-03-04 08:07:37.425" "serial_number=1021023661" "settlement_date=20200306" "system=Equity" "t+=2" "time=29257" "user=tdw" "user_details=8167486" "quotation_amount=1"</t>
  </si>
  <si>
    <t>04/03/20 08:07:37 11888: Quo reply :                       ICV        ES0177542018                                                    801 1800        B20200306  2     199       459.338            30 LSD     B5M6XQ7 IAG.L                         IAG   ES0177542018    GBXGB   IAG.L   8167486                    801</t>
  </si>
  <si>
    <t>04/03/20 08:07:39 5992 (10.152.26.30) : Got quo request:                      ICV        GG00B4L84979                                                        1980        S20200306  2                                     LSB     B4L8497 BUR.L                         BUR   GG00B4L84979    GBXGG   BUR.L   1052673                    GBP</t>
  </si>
  <si>
    <t>04/03/20 08:07:39 5992 (10.152.26.30) : Sending....: 0263"record_type=QU" "user=tdw" "counterparty=277" "device=Aitken" "system=Equity" "time=29259" "quantity=1980" "buy_sell=B" "isin=GG00B4L84979" "epic=BUR" "t+=2" "settlement_date=20200306" "user_details=1052673" "quantity=1980" "buy_sell=B" "currency=GBP" "link="</t>
  </si>
  <si>
    <t>04/03/20 08:07:39 5992 (10.152.26.30) : Read: "record_type=QUR" "reply_reason=0" "agency_time=2020-03-04 08:07:39.667" "bid_price=5.054645" "bid_size=4725" "buy_sell=B" "control_ref=37657884-5def-11ea-9b89-005056a25061" "counterparty=277" "currency=GBP" "device=Aitken" "epic=BUR.L" "isin=GG00B4L84979" "link=871" "market_maker=871" "offer_price=0" "offer_size=0" "professional=N" "ps_bid_price=5.054645" "ps_offer_price=0" "quantity=1980" "rsp=PLHCGB3LBIC" "sent_time=2020-03-04 08:07:39.667" "serial_number=2023453992" "settlement_date=20200306" "system=Equity" "t+=2" "time=29259" "user=tdw" "user_details=1052673"</t>
  </si>
  <si>
    <t>04/03/20 08:07:39 5992: Quo reply :                       ICV        GG00B4L84979                                                    871 1980        S20200306  2     200       505.4645           30 LSB     B4L8497 BUR.L                         BUR   GG00B4L84979    GBXGG   BUR.L   1052673                    871</t>
  </si>
  <si>
    <t>04/03/20 08:07:40 9236 (10.152.26.31) : Got quo request:                      ICV        JE00B5TT1872                                                        5000        S20200331 19                                     LSA     B5TT187 CEY.L                         CEY   JE00B5TT1872    GBXJE   CEY.L   0426920                    GBP</t>
  </si>
  <si>
    <t>04/03/20 08:07:40 9236 (10.152.26.31) : Sending....: 0264"record_type=QU" "user=tdw" "counterparty=277" "device=Aitken" "system=Equity" "time=29260" "quantity=5000" "buy_sell=B" "isin=JE00B5TT1872" "epic=CEY" "t+=19" "settlement_date=20200331" "user_details=0426920" "quantity=5000" "buy_sell=B" "currency=GBP" "link="</t>
  </si>
  <si>
    <t>04/03/20 08:07:40 9236 (10.152.26.31) : Read: "record_type=QUR" "reply_reason=0" "agency_time=2020-03-04 08:07:40.435" "bid_price=1.40943" "bid_size=7500" "buy_sell=B" "control_ref=37da4fba-5def-11ea-b727-005056a25061" "counterparty=277" "currency=GBP" "device=Aitken" "epic=CEY" "isin=JE00B5TT1872" "link=801" "market_maker=801" "offer_price=0" "offer_size=0" "professional=N" "ps_bid_price=1.40943" "ps_offer_price=0" "quantity=5000" "rsp=WNTSGB2LBIC" "sent_time=2020-03-04 08:07:40.435" "serial_number=1500495483" "settlement_date=20200331" "system=Equity" "t+=19" "time=29260" "user=tdw" "user_details=0426920" "quotation_amount=1"</t>
  </si>
  <si>
    <t>04/03/20 08:07:40 9236: Quo reply :                       ICV        JE00B5TT1872                                                    801 5000        S20200331 19     201       140.943            30 LSA     B5TT187 CEY.L                         CEY   JE00B5TT1872    GBXJE   CEY.L   0426920                    801</t>
  </si>
  <si>
    <t>04/03/20 08:07:42 11996(10.152.26.32) : Got exe request:                      ICV        GB00B8YZTJ80                                                    44.113000          17078       BABGBXA 198                            Y                                                     4705518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589 GB     VRS.L   00</t>
  </si>
  <si>
    <t>04/03/20 08:07:42 11996 (10.152.26.32) : Sending....: 0300"record_type=DE" "user=tdw" "counterparty=277" "device=Aitken" "system=Equity" "time=29262" "isin=GB00B8YZTJ80" "epic=VRS" "serial_number=2056368112" "buy_sell=S" "quantity=17078" "t+=2" "currency=GBP" "booking_c/party=" "settlement_date=20200306" "user_details=4705518" "market_maker=589" "link="</t>
  </si>
  <si>
    <t>04/03/20 08:07:42 11996 (10.152.26.32) : Read: "record_type=DER" "reply_reason=0" "agency_time=2020-03-04 08:07:42.761" "bargain_ref=0919423843LOA2-1" "buy_sell=S" "control_ref=0066412649LOA1" "counterparty=277" "currency=GBP" "deal_time=08:07:42" "device=Aitken" "epic=VRS" "execution_venue=AIMX" "isin=GB00B8YZTJ80" "market_maker=589" "price=0.44113" "professional=N" "quantity=17078" "sent_time=2020-03-04 08:07:42.662" "serial_number=0919423843LOA2-1" "settlement_date=20200306" "system=Equity" "t+=2" "time=29262" "user=tdw" "user_details=4705518"</t>
  </si>
  <si>
    <t>04/03/20 08:07:42 11996: Exe reply :                       ICV        GB00B8YZTJ80                                                    44.113000          17078       BABGBXA 198                            Y                                                     4705518                                                                                                                                                                                                                                                                       0919423843LOA220200306     091942384320200304080742   44.113                17078               589 GB     VRS.L   02</t>
  </si>
  <si>
    <t>04/03/20 08:07:43 11108 (10.152.26.32) : Got quo request:                      ICV        GB0008854563                                                        250000      B20200306  2                                     LSE     0885456 TYM.L                         TYM   GB0008854563    GBXGB   TYM.L   0212147                    GBP</t>
  </si>
  <si>
    <t>04/03/20 08:07:43 11108 (10.152.26.32) : Sending....: 0267"record_type=QU" "user=tdw" "counterparty=277" "device=Aitken" "system=Equity" "time=29263" "quantity=250000" "buy_sell=S" "isin=GB0008854563" "epic=TYM" "t+=2" "settlement_date=20200306" "user_details=0212147" "quantity=250000" "buy_sell=S" "currency=GBP" "link="</t>
  </si>
  <si>
    <t>04/03/20 08:07:43 11108 (10.152.26.32) : Read: "record_type=QUR" "reply_reason=0" "agency_time=2020-03-04 08:07:43.857" "bid_price=0" "bid_size=0" "buy_sell=S" "control_ref=39e40c10-5def-11ea-8539-005056a25061" "counterparty=277" "currency=GBP" "device=Aitken" "epic=TYM.L" "isin=GB0008854563" "link=871" "market_maker=871" "offer_price=0.004699" "offer_size=1500000" "professional=N" "ps_bid_price=0" "ps_offer_price=0.004699" "quantity=250000" "rsp=PLHCGB3LBIC" "sent_time=2020-03-04 08:07:43.857" "serial_number=295943450" "settlement_date=20200306" "system=Equity" "t+=2" "time=29263" "user=tdw" "user_details=0212147"</t>
  </si>
  <si>
    <t>04/03/20 08:07:43 11108: Quo reply :                       ICV        GB0008854563                                                    871 250000      B20200306  2     202       0.4699             30 LSE     0885456 TYM.L                         TYM   GB0008854563    GBXGB   TYM.L   0212147                    871</t>
  </si>
  <si>
    <t>04/03/20 08:07:43 12900 (10.152.26.30)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</si>
  <si>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08:07:43 12900 (10.152.26.30) : Sending....: 0264"record_type=QU" "user=tdw" "counterparty=277" "device=Aitken" "system=Equity" "time=29263" "quantity=5000" "buy_sell=S" "isin=JE00B5TT1872" "epic=CEY" "t+=20" "settlement_date=20200401" "user_details=0426920" "quantity=5000" "buy_sell=S" "currency=GBP" "link="</t>
  </si>
  <si>
    <t>04/03/20 08:07:43 12900 (10.152.26.30) : Read: "record_type=QUR" "reply_reason=0" "agency_time=2020-03-04 08:07:44.255" "bid_price=0" "bid_size=0" "buy_sell=S" "control_ref=3a220740-5def-11ea-930f-005056a25061" "counterparty=277" "currency=GBP" "device=Aitken" "epic=CEY" "isin=JE00B5TT1872" "link=589" "market_maker=589" "offer_price=1.423652" "offer_size=5000" "professional=N" "ps_bid_price=0" "ps_offer_price=1.423652" "quantity=5000" "rsp=SHOCGB21" "sent_time=2020-03-04 08:07:44.255" "serial_number=2053418973" "settlement_date=20200401" "system=Equity" "t+=20" "time=29263" "user=tdw" "user_details=0426920"</t>
  </si>
  <si>
    <t>04/03/20 08:07:43 12900: Quo reply :                       ICV        JE00B5TT1872                                                    589 5000        B20200401 20     203       142.3652           30 LSA     B5TT187 CEY.L                         CEY   JE00B5TT1872    GBXJE   CEY.L   0426920                    589</t>
  </si>
  <si>
    <t>04/03/20 08:07:43 12728 (10.152.26.31) : Got quo request:                      ICV        AU000000RMP0                                                        119611      B20200401 20                                     LSB     B6R2S40 RMP.L                         RMP   AU000000RMP0    GBXAU   RMP.L   0244120                    GBP</t>
  </si>
  <si>
    <t>04/03/20 08:07:43 12728 (10.152.26.31) : Sending....: 0268"record_type=QU" "user=tdw" "counterparty=277" "device=Aitken" "system=Equity" "time=29263" "quantity=119611" "buy_sell=S" "isin=AU000000RMP0" "epic=RMP" "t+=20" "settlement_date=20200401" "user_details=0244120" "quantity=119611" "buy_sell=S" "currency=GBP" "link="</t>
  </si>
  <si>
    <t>04/03/20 08:07:43 12728 (10.152.26.31) : Read: "record_type=QUR" "reply_reason=0" "agency_time=2020-03-04 08:07:44.339" "bid_price=0" "bid_size=0" "buy_sell=S" "control_ref=3a2a3866-5def-11ea-b03b-005056a25061" "counterparty=277" "currency=GBP" "device=Aitken" "epic=RMP" "isin=AU000000RMP0" "link=589" "market_maker=589" "offer_price=0.00595" "offer_size=125000" "professional=N" "ps_bid_price=0" "ps_offer_price=0.00595" "quantity=119611" "rsp=SHOCGB21" "sent_time=2020-03-04 08:07:44.339" "serial_number=1765542056" "settlement_date=20200401" "system=Equity" "t+=20" "time=29263" "user=tdw" "user_details=0244120"</t>
  </si>
  <si>
    <t>04/03/20 08:07:43 12728: Quo reply :                       ICV        AU000000RMP0                                                    589 119611      B20200401 20     204       0.595              30 LSB     B6R2S40 RMP.L                         RMP   AU000000RMP0    GBXAU   RMP.L   0244120                    589</t>
  </si>
  <si>
    <t>04/03/20 08:07:47 6048 (10.152.26.32) : Got quo request:                      ICV        GB0032360173                                                        5000        S20200327 17                                     LSB     3236017 HGM.L                         HGM   GB0032360173    GBXGB   HGM.L   0426920                    GBP</t>
  </si>
  <si>
    <t>04/03/20 08:07:47 6048 (10.152.26.32) : Sending....: 0264"record_type=QU" "user=tdw" "counterparty=277" "device=Aitken" "system=Equity" "time=29267" "quantity=5000" "buy_sell=B" "isin=GB0032360173" "epic=HGM" "t+=17" "settlement_date=20200327" "user_details=0426920" "quantity=5000" "buy_sell=B" "currency=GBP" "link="</t>
  </si>
  <si>
    <t>04/03/20 08:07:47 6048 (10.152.26.32) : Read: "record_type=QUR" "reply_reason=0" "agency_time=2020-03-04 08:07:48.251" "bid_price=2.169916" "bid_size=5000" "buy_sell=B" "control_ref=3c83331a-5def-11ea-b9b8-005056a25061" "counterparty=277" "currency=GBP" "device=Aitken" "epic=HGM" "isin=GB0032360173" "link=589" "market_maker=589" "offer_price=0" "offer_size=0" "professional=N" "ps_bid_price=2.169916" "ps_offer_price=0" "quantity=5000" "rsp=SHOCGB21" "sent_time=2020-03-04 08:07:48.251" "serial_number=610665892" "settlement_date=20200327" "system=Equity" "t+=17" "time=29267" "user=tdw" "user_details=0426920"</t>
  </si>
  <si>
    <t>04/03/20 08:07:47 6048: Quo reply :                       ICV        GB0032360173                                                    589 5000        S20200327 17     205       216.9916           30 LSB     3236017 HGM.L                         HGM   GB0032360173    GBXGB   HGM.L   0426920                    589</t>
  </si>
  <si>
    <t>04/03/20 08:07:49 9580(10.152.26.30) : Got exe request:                      ICV        AU000000RMP0                                                    0.595000           119611      BABGBXA 204                            Y                                                     0244120                                                                                                                                                                                                                                                                                     20200401                                                                          589 AU     RMP.L   00</t>
  </si>
  <si>
    <t>04/03/20 08:07:49 9580 (10.152.26.30) : Sending....: 0302"record_type=DE" "user=tdw" "counterparty=277" "device=Aitken" "system=Equity" "time=29269" "isin=AU000000RMP0" "epic=RMP" "serial_number=1765542056" "buy_sell=S" "quantity=119611" "t+=20" "currency=GBP" "booking_c/party=" "settlement_date=20200401" "user_details=0244120" "market_maker=589" "link="</t>
  </si>
  <si>
    <t>04/03/20 08:07:49 9580 (10.152.26.30) : Read: "record_type=DER" "reply_reason=0" "agency_time=2020-03-04 08:07:50.261" "bargain_ref=0919424211LOA2-1" "buy_sell=S" "control_ref=0066412658LOA1" "counterparty=277" "currency=GBP" "deal_time=08:07:50" "device=Aitken" "epic=RMP" "execution_venue=AIMX" "isin=AU000000RMP0" "market_maker=589" "price=0.00595" "professional=N" "quantity=119611" "sent_time=2020-03-04 08:07:49.795" "serial_number=0919424211LOA2-1" "settlement_date=20200401" "system=Equity" "t+=20" "time=29269" "user=tdw" "user_details=0244120"</t>
  </si>
  <si>
    <t>04/03/20 08:07:49 9580: Exe reply :                       ICV        AU000000RMP0                                                    0.595000           119611      BABGBXA 204                            Y                                                     0244120                                                                                                                                                                                                                                                                       0919424211LOA220200401     091942421120200304080749   0.595                 119611              589 AU     RMP.L   02</t>
  </si>
  <si>
    <t>04/03/20 08:07:49 4124 (10.152.26.31) : Got quo request:                      ICV        GB00B18S7B29                                                        16743       S20200306  2                                     LSB     B18S7B2 AFC.L                         AFC   GB00B18S7B29    GBXGB   AFC.L   0629167                    GBP</t>
  </si>
  <si>
    <t>04/03/20 08:07:49 4124 (10.152.26.31) : Sending....: 0265"record_type=QU" "user=tdw" "counterparty=277" "device=Aitken" "system=Equity" "time=29269" "quantity=16743" "buy_sell=B" "isin=GB00B18S7B29" "epic=AFC" "t+=2" "settlement_date=20200306" "user_details=0629167" "quantity=16743" "buy_sell=B" "currency=GBP" "link="</t>
  </si>
  <si>
    <t>04/03/20 08:07:49 4124 (10.152.26.31) : Read: "record_type=QUR" "reply_reason=0" "agency_time=2020-03-04 08:07:50.325" "bid_price=0.248" "bid_size=40661" "buy_sell=B" "control_ref=3dbde5b8-5def-11ea-87cc-005056a25061" "counterparty=277" "currency=GBP" "device=Aitken" "epic=AFC" "isin=GB00B18S7B29" "link=801" "market_maker=801" "offer_price=0" "offer_size=0" "professional=N" "ps_bid_price=0.248" "ps_offer_price=0" "quantity=16743" "rsp=WNTSGB2LBIC" "sent_time=2020-03-04 08:07:50.325" "serial_number=27465680" "settlement_date=20200306" "system=Equity" "t+=2" "time=29269" "user=tdw" "user_details=0629167" "quotation_amount=1"</t>
  </si>
  <si>
    <t>04/03/20 08:07:49 4124: Quo reply :                       ICV        GB00B18S7B29                                                    801 16743       S20200306  2     206       24.8               30 LSB     B18S7B2 AFC.L                         AFC   GB00B18S7B29    GBXGB   AFC.L   0629167                    801</t>
  </si>
  <si>
    <t>04/03/20 08:07:50 8992 (10.152.26.30) : Got quo request:                      ICV        JE00B5TT1872                                                        5000        S20200331 19                                     LSA     B5TT187 CEY.L                         CEY   JE00B5TT1872    GBXJE   CEY.L   0426920                    GBP</t>
  </si>
  <si>
    <t>04/03/20 08:07:50 8992 (10.152.26.30) : Sending....: 0264"record_type=QU" "user=tdw" "counterparty=277" "device=Aitken" "system=Equity" "time=29270" "quantity=5000" "buy_sell=B" "isin=JE00B5TT1872" "epic=CEY" "t+=19" "settlement_date=20200331" "user_details=0426920" "quantity=5000" "buy_sell=B" "currency=GBP" "link="</t>
  </si>
  <si>
    <t>04/03/20 08:07:50 8992 (10.152.26.30) : Read: "record_type=QUR" "reply_reason=0" "agency_time=2020-03-04 08:07:51.276" "bid_price=1.40943" "bid_size=7500" "buy_sell=B" "control_ref=3e4cf370-5def-11ea-bda2-005056a25061" "counterparty=277" "currency=GBP" "device=Aitken" "epic=CEY" "isin=JE00B5TT1872" "link=801" "market_maker=801" "offer_price=0" "offer_size=0" "professional=N" "ps_bid_price=1.40943" "ps_offer_price=0" "quantity=5000" "rsp=WNTSGB2LBIC" "sent_time=2020-03-04 08:07:51.276" "serial_number=1593213098" "settlement_date=20200331" "system=Equity" "t+=19" "time=29270" "user=tdw" "user_details=0426920" "quotation_amount=1"</t>
  </si>
  <si>
    <t>04/03/20 08:07:50 8992: Quo reply :                       ICV        JE00B5TT1872                                                    801 5000        S20200331 19     207       140.943            30 LSA     B5TT187 CEY.L                         CEY   JE00B5TT1872    GBXJE   CEY.L   0426920                    801</t>
  </si>
  <si>
    <t>04/03/20 08:07:52 11888 (10.152.26.32) : Got quo request:                      ICV        JE00B4T3BW64                                                        7000        B20200306  2                                     LSF     B4T3BW6 GLEN.L                        GLEN  JE00B4T3BW64    GBXJE   GLEN.L  1009147                    GBP</t>
  </si>
  <si>
    <t>04/03/20 08:07:52 11888 (10.152.26.32) : Sending....: 0264"record_type=QU" "user=tdw" "counterparty=277" "device=Aitken" "system=Equity" "time=29272" "quantity=7000" "buy_sell=S" "isin=JE00B4T3BW64" "epic=GLEN" "t+=2" "settlement_date=20200306" "user_details=1009147" "quantity=7000" "buy_sell=S" "currency=GBP" "link="</t>
  </si>
  <si>
    <t>04/03/20 08:07:52 11888 (10.152.26.32) : Read: "record_type=QUR" "reply_reason=0" "agency_time=2020-03-04 08:07:53.346" "bid_price=0" "bid_size=0" "buy_sell=S" "control_ref=3f8a8874-5def-11ea-803f-005056a25061" "counterparty=277" "currency=GBP" "device=Aitken" "epic=GLEN.L" "isin=JE00B4T3BW64" "link=871" "market_maker=871" "offer_price=1.935636" "offer_size=13000" "professional=N" "ps_bid_price=0" "ps_offer_price=1.935636" "quantity=7000" "rsp=PLHCGB3LBIC" "sent_time=2020-03-04 08:07:53.346" "serial_number=1047199633" "settlement_date=20200306" "system=Equity" "t+=2" "time=29272" "user=tdw" "user_details=1009147"</t>
  </si>
  <si>
    <t>04/03/20 08:07:52 11888: Quo reply :                       ICV        JE00B4T3BW64                                                    871 7000        B20200306  2     208       193.5636           30 LSF     B4T3BW6 GLEN.L                        GLEN  JE00B4T3BW64    GBXJE   GLEN.L  1009147                    871</t>
  </si>
  <si>
    <t>04/03/20 08:07:55 10288 (10.152.26.31) : Got quo request:                      ICV        GG00B4TM3943                                                        2340        B20200306  2                                     LSC     B4TM394 BMN.L                         BMN   GG00B4TM3943    GBXGG   BMN.L   0573935                    GBP</t>
  </si>
  <si>
    <t>04/03/20 08:07:55 10288 (10.152.26.31) : Sending....: 0263"record_type=QU" "user=tdw" "counterparty=277" "device=Aitken" "system=Equity" "time=29275" "quantity=2340" "buy_sell=S" "isin=GG00B4TM3943" "epic=BMN" "t+=2" "settlement_date=20200306" "user_details=0573935" "quantity=2340" "buy_sell=S" "currency=GBP" "link="</t>
  </si>
  <si>
    <t>04/03/20 08:07:55 10288 (10.152.26.31) : Read: "record_type=QUR" "reply_reason=0" "agency_time=2020-03-04 08:07:56.085" "bid_price=0" "bid_size=0" "buy_sell=S" "control_ref=412e6c04-5def-11ea-8f01-005056a25061" "counterparty=277" "currency=GBP" "device=Aitken" "epic=BMN" "isin=GG00B4TM3943" "link=801" "market_maker=801" "offer_price=0.1875" "offer_size=150000" "professional=N" "ps_bid_price=0" "ps_offer_price=0.1875" "quantity=2340" "rsp=WNTSGB2LBIC" "sent_time=2020-03-04 08:07:56.085" "serial_number=846997096" "settlement_date=20200306" "system=Equity" "t+=2" "time=29275" "user=tdw" "user_details=0573935" "quotation_amount=1"</t>
  </si>
  <si>
    <t>04/03/20 08:07:55 10288: Quo reply :                       ICV        GG00B4TM3943                                                    801 2340        B20200306  2     209       18.75              30 LSC     B4TM394 BMN.L                         BMN   GG00B4TM3943    GBXGG   BMN.L   0573935                    801</t>
  </si>
  <si>
    <t>04/03/20 08:07:57 5992 (10.152.26.30) : Got quo request:                      ICV        GB0008847096                                                        80000       B20200401 20                                     LSD     0884709 TSCO.L                        TSCO  GB0008847096    GBXGB   TSCO.L  6150399                    GBP</t>
  </si>
  <si>
    <t>04/03/20 08:07:57 5992 (10.152.26.30) : Sending....: 0267"record_type=QU" "user=tdw" "counterparty=277" "device=Aitken" "system=Equity" "time=29277" "quantity=80000" "buy_sell=S" "isin=GB0008847096" "epic=TSCO" "t+=20" "settlement_date=20200401" "user_details=6150399" "quantity=80000" "buy_sell=S" "currency=GBP" "link="</t>
  </si>
  <si>
    <t>04/03/20 08:07:57 5992 (10.152.26.30) : Read: "record_type=QUR" "reply_reason=0" "agency_time=2020-03-04 08:07:57.514" "bid_price=0" "bid_size=0" "buy_sell=S" "control_ref=4209e7ac-5def-11ea-a65c-005056a25061" "counterparty=277" "currency=GBP" "device=Aitken" "epic=TSCO" "isin=GB0008847096" "link=801" "market_maker=801" "offer_price=2.36369" "offer_size=80000" "professional=N" "ps_bid_price=0" "ps_offer_price=2.36369" "quantity=80000" "rsp=WNTSGB2LBIC" "sent_time=2020-03-04 08:07:57.514" "serial_number=1116004334" "settlement_date=20200401" "system=Equity" "t+=20" "time=29277" "user=tdw" "user_details=6150399" "quotation_amount=1"</t>
  </si>
  <si>
    <t>04/03/20 08:07:57 5992: Quo reply :                       ICV        GB0008847096                                                    801 80000       B20200401 20     210       236.369            30 LSD     0884709 TSCO.L                        TSCO  GB0008847096    GBXGB   TSCO.L  6150399                    801</t>
  </si>
  <si>
    <t>04/03/20 08:07:57 11996 (10.152.26.32) : Got quo request:                      ICV        GB0006834344                                                        50000       B20200401 20                                     LSB     0683434 INTU.L                        INTU  GB0006834344    GBXGB   INTU.L  0575591                    GBP</t>
  </si>
  <si>
    <t>04/03/20 08:07:57 11996 (10.152.26.32) : Sending....: 0267"record_type=QU" "user=tdw" "counterparty=277" "device=Aitken" "system=Equity" "time=29277" "quantity=50000" "buy_sell=S" "isin=GB0006834344" "epic=INTU" "t+=20" "settlement_date=20200401" "user_details=0575591" "quantity=50000" "buy_sell=S" "currency=GBP" "link="</t>
  </si>
  <si>
    <t>04/03/20 08:07:57 11996 (10.152.26.32) : Read: "record_type=QUR" "reply_reason=99" "reply_message=No valid quote available" "agency_time=2020-03-04 08:07:58.153" "buy_sell=S" "counterparty=277" "currency=GBP" "device=Aitken" "epic=INTU" "isin=GB0006834344" "link=000" "professional=N" "quantity=50000" "system=Equity" "t+=20" "time=20200304-08:07:58" "user=tdw" "user_details=0575591"</t>
  </si>
  <si>
    <t>04/03/20 08:07:57 11996: Quo reject : 10099 : No valid quote available</t>
  </si>
  <si>
    <t>04/03/20 08:08:00 9236 (10.152.26.31) : Got quo request:                      ICV        JE00B5TT1872                                                        5000        S20200331 19                                     LSA     B5TT187 CEY.L                         CEY   JE00B5TT1872    GBXJE   CEY.L   0426920                    GBP</t>
  </si>
  <si>
    <t>04/03/20 08:08:00 9236 (10.152.26.31) : Sending....: 0264"record_type=QU" "user=tdw" "counterparty=277" "device=Aitken" "system=Equity" "time=29280" "quantity=5000" "buy_sell=B" "isin=JE00B5TT1872" "epic=CEY" "t+=19" "settlement_date=20200331" "user_details=0426920" "quantity=5000" "buy_sell=B" "currency=GBP" "link="</t>
  </si>
  <si>
    <t>04/03/20 08:08:00 9236 (10.152.26.31) : Read: "record_type=QUR" "reply_reason=0" "agency_time=2020-03-04 08:08:00.780" "bid_price=1.40943" "bid_size=7500" "buy_sell=B" "control_ref=43fadd0a-5def-11ea-acb5-005056a25061" "counterparty=277" "currency=GBP" "device=Aitken" "epic=CEY" "isin=JE00B5TT1872" "link=801" "market_maker=801" "offer_price=0" "offer_size=0" "professional=N" "ps_bid_price=1.40943" "ps_offer_price=0" "quantity=5000" "rsp=WNTSGB2LBIC" "sent_time=2020-03-04 08:08:00.780" "serial_number=147018381" "settlement_date=20200331" "system=Equity" "t+=19" "time=29280" "user=tdw" "user_details=0426920" "quotation_amount=1"</t>
  </si>
  <si>
    <t>04/03/20 08:08:00 9236: Quo reply :                       ICV        JE00B5TT1872                                                    801 5000        S20200331 19     211       140.943            30 LSA     B5TT187 CEY.L                         CEY   JE00B5TT1872    GBXJE   CEY.L   0426920                    801</t>
  </si>
  <si>
    <t>04/03/20 08:08:01 12900 (10.152.26.30) : Got quo request:                      ICV        GB00B13GSS58                                                        7500        B20200306  2                                     LSC     B13GSS5 PHD.L                         PHD   GB00B13GSS58    GBXGB   PHD.L   2222471                    GBP</t>
  </si>
  <si>
    <t>04/03/20 08:08:01 12900 (10.152.26.30) : Sending....: 0263"record_type=QU" "user=tdw" "counterparty=277" "device=Aitken" "system=Equity" "time=29281" "quantity=7500" "buy_sell=S" "isin=GB00B13GSS58" "epic=PHD" "t+=2" "settlement_date=20200306" "user_details=2222471" "quantity=7500" "buy_sell=S" "currency=GBP" "link="</t>
  </si>
  <si>
    <t>04/03/20 08:08:01 12900 (10.152.26.30) : Read: "record_type=QUR" "reply_reason=0" "agency_time=2020-03-04 08:08:02.222" "bid_price=0" "bid_size=0" "buy_sell=S" "control_ref=44d2a974-5def-11ea-8a31-005056a25061" "counterparty=277" "currency=GBP" "device=Aitken" "epic=PHD" "isin=GB00B13GSS58" "link=046" "market_maker=046" "offer_price=0.35" "offer_size=55000" "professional=N" "ps_bid_price=0" "ps_offer_price=0.35" "quantity=7500" "rsp=SNGRGB21" "sent_time=2020-03-04 08:08:02.222" "serial_number=1063587012" "settlement_date=20200306" "system=Equity" "t+=2" "time=29281" "user=tdw" "user_details=2222471"</t>
  </si>
  <si>
    <t>04/03/20 08:08:01 12900: Quo reply :                       ICV        GB00B13GSS58                                                    046 7500        B20200306  2     212       35                 30 LSC     B13GSS5 PHD.L                         PHD   GB00B13GSS58    GBXGB   PHD.L   2222471                    046</t>
  </si>
  <si>
    <t>04/03/20 08:08:04 12728 (10.152.26.31) : Got quo request:                      ICV        GB0005991111                                                        1782        S20200306  2                                     LSC     0599111 MPAC.L                        MPAC  GB0005991111    GBXGB   MPAC.L  4716687                    GBP</t>
  </si>
  <si>
    <t>04/03/20 08:08:04 12728 (10.152.26.31) : Sending....: 0264"record_type=QU" "user=tdw" "counterparty=277" "device=Aitken" "system=Equity" "time=29284" "quantity=1782" "buy_sell=B" "isin=GB0005991111" "epic=MPAC" "t+=2" "settlement_date=20200306" "user_details=4716687" "quantity=1782" "buy_sell=B" "currency=GBP" "link="</t>
  </si>
  <si>
    <t>04/03/20 08:08:04 12728 (10.152.26.31) : Read: "record_type=QUR" "reply_reason=99" "reply_message=No valid quote available" "agency_time=2020-03-04 08:08:05.242" "buy_sell=B" "counterparty=277" "currency=GBP" "device=Aitken" "epic=MPAC" "isin=GB0005991111" "link=000" "professional=N" "quantity=1782" "system=Equity" "t+=2" "time=20200304-08:08:05" "user=tdw" "user_details=4716687"</t>
  </si>
  <si>
    <t>04/03/20 08:08:04 12728: Quo reject : 10099 : No valid quote available</t>
  </si>
  <si>
    <t>04/03/20 08:08:05 11108 (10.152.26.32) : Got quo request:                      ICV        JE00B5TT1872                                                        5000        S20200331 19                                     LSA     B5TT187 CEY.L                         CEY   JE00B5TT1872    GBXJE   CEY.L   0426920                    GBP</t>
  </si>
  <si>
    <t>04/03/20 08:08:05 11108 (10.152.26.32) : Sending....: 0264"record_type=QU" "user=tdw" "counterparty=277" "device=Aitken" "system=Equity" "time=29285" "quantity=5000" "buy_sell=B" "isin=JE00B5TT1872" "epic=CEY" "t+=19" "settlement_date=20200331" "user_details=0426920" "quantity=5000" "buy_sell=B" "currency=GBP" "link="</t>
  </si>
  <si>
    <t>04/03/20 08:08:05 11108 (10.152.26.32) : Read: "record_type=QUR" "reply_reason=0" "agency_time=2020-03-04 08:08:05.585" "bid_price=1.4099" "bid_size=7500" "buy_sell=B" "control_ref=46d40a06-5def-11ea-87ac-005056a25061" "counterparty=277" "currency=GBP" "device=Aitken" "epic=CEY" "isin=JE00B5TT1872" "link=801" "market_maker=801" "offer_price=0" "offer_size=0" "professional=N" "ps_bid_price=1.4099" "ps_offer_price=0" "quantity=5000" "rsp=WNTSGB2LBIC" "sent_time=2020-03-04 08:08:05.585" "serial_number=1683172034" "settlement_date=20200331" "system=Equity" "t+=19" "time=29285" "user=tdw" "user_details=0426920" "quotation_amount=1"</t>
  </si>
  <si>
    <t>04/03/20 08:08:05 11108: Quo reply :                       ICV        JE00B5TT1872                                                    801 5000        S20200331 19     213       140.99             30 LSA     B5TT187 CEY.L                         CEY   JE00B5TT1872    GBXJE   CEY.L   0426920                    801</t>
  </si>
  <si>
    <t>04/03/20 08:08:08 9580 (10.152.26.30) : Got quo request:                      ICV        GB0005991111                                                        3000        S20200306  2                                     LSC     0599111 MPAC.L                        MPAC  GB0005991111    GBXGB   MPAC.L  1034616                    GBP</t>
  </si>
  <si>
    <t>04/03/20 08:08:08 9580 (10.152.26.30) : Sending....: 0264"record_type=QU" "user=tdw" "counterparty=277" "device=Aitken" "system=Equity" "time=29288" "quantity=3000" "buy_sell=B" "isin=GB0005991111" "epic=MPAC" "t+=2" "settlement_date=20200306" "user_details=1034616" "quantity=3000" "buy_sell=B" "currency=GBP" "link="</t>
  </si>
  <si>
    <t>04/03/20 08:08:08 9580 (10.152.26.30) : Read: "record_type=QUR" "reply_reason=99" "reply_message=No valid quote available" "agency_time=2020-03-04 08:08:08.873" "buy_sell=B" "counterparty=277" "currency=GBP" "device=Aitken" "epic=MPAC" "isin=GB0005991111" "link=000" "professional=N" "quantity=3000" "system=Equity" "t+=2" "time=20200304-08:08:08" "user=tdw" "user_details=1034616"</t>
  </si>
  <si>
    <t>04/03/20 08:08:08 9580: Quo reject : 10099 : No valid quote available</t>
  </si>
  <si>
    <t>04/03/20 08:08:10 6048 (10.152.26.32) : Got quo request:                      ICV        JE00B4T3BW64                                                        26137       B20200311  5                                     LSF     B4T3BW6 GLEN.L                        GLEN  JE00B4T3BW64    GBXJE   GLEN.L  6103593                    GBP</t>
  </si>
  <si>
    <t>04/03/20 08:08:10 6048 (10.152.26.32) : Sending....: 0266"record_type=QU" "user=tdw" "counterparty=277" "device=Aitken" "system=Equity" "time=29290" "quantity=26137" "buy_sell=S" "isin=JE00B4T3BW64" "epic=GLEN" "t+=5" "settlement_date=20200311" "user_details=6103593" "quantity=26137" "buy_sell=S" "currency=GBP" "link="</t>
  </si>
  <si>
    <t>04/03/20 08:08:10 6048 (10.152.26.32) : Read: "record_type=QUR" "reply_reason=0" "agency_time=2020-03-04 08:08:10.864" "bid_price=0" "bid_size=0" "buy_sell=S" "control_ref=49fdc870-5def-11ea-92c7-005056a25061" "counterparty=277" "currency=GBP" "device=Aitken" "epic=GLEN" "isin=JE00B4T3BW64" "link=331" "market_maker=331" "offer_price=1.9362" "offer_size=100000" "professional=N" "ps_bid_price=0" "ps_offer_price=1.9362" "quantity=26137" "rsp=IHCSGB21002" "sent_time=2020-03-04 08:08:10.864" "serial_number=1187844925" "settlement_date=20200311" "system=Equity" "t+=5" "time=29290" "user=tdw" "user_details=6103593"</t>
  </si>
  <si>
    <t>04/03/20 08:08:10 6048: Quo reply :                       ICV        JE00B4T3BW64                                                    331 26137       B20200311  5     214       193.62             30 LSF     B4T3BW6 GLEN.L                        GLEN  JE00B4T3BW64    GBXJE   GLEN.L  6103593                    331</t>
  </si>
  <si>
    <t>04/03/20 08:08:10 4124 (10.152.26.31) : Got quo request:                      ICV        IE00B4QNK008                                                        1936        B20200306  2                                     LSE     B4QNK00 SUK2.L                        SUK2  IE00B4QNK008    GBXIE   SUK2.L  0916694                    USD</t>
  </si>
  <si>
    <t>04/03/20 08:08:10 4124 (10.152.26.31) : Sending....: 0264"record_type=QU" "user=tdw" "counterparty=277" "device=Aitken" "system=Equity" "time=29290" "quantity=1936" "buy_sell=S" "isin=IE00B4QNK008" "epic=SUK2" "t+=2" "settlement_date=20200306" "user_details=0916694" "quantity=1936" "buy_sell=S" "currency=GBP" "link="</t>
  </si>
  <si>
    <t>04/03/20 08:08:10 4124 (10.152.26.31) : Read: "record_type=QUR" "reply_reason=0" "agency_time=2020-03-04 08:08:11.283" "bid_price=0" "bid_size=0" "buy_sell=S" "control_ref=4a3bc6e8-5def-11ea-ac32-005056a25061" "counterparty=277" "currency=GBP" "device=Aitken" "epic=SUK2.L" "isin=IE00B4QNK008" "link=871" "market_maker=871" "offer_price=8.011639" "offer_size=12500" "professional=N" "ps_bid_price=0" "ps_offer_price=8.011639" "quantity=1936" "rsp=PLHCGB3LBIC" "sent_time=2020-03-04 08:08:11.283" "serial_number=741276755" "settlement_date=20200306" "system=Equity" "t+=2" "time=29290" "user=tdw" "user_details=0916694"</t>
  </si>
  <si>
    <t>04/03/20 08:08:10 4124: Quo reply :                       ICV        IE00B4QNK008                                                    871 1936        B20200306  2     215       801.1639           30 LSE     B4QNK00 SUK2.L                        SUK2  IE00B4QNK008    GBXIE   SUK2.L  0916694                    871</t>
  </si>
  <si>
    <t>04/03/20 08:08:13 8992 (10.152.26.30) : Got quo request:                      ICV        FR0010397232                                                        754         S20200306  2                                     LSC     BF16YK9 NCYT.L                        NCYT  FR0010397232    GBXGB   NCYT.L  0412918                    GBP</t>
  </si>
  <si>
    <t>04/03/20 08:08:13 8992 (10.152.26.30) : Sending....: 0262"record_type=QU" "user=tdw" "counterparty=277" "device=Aitken" "system=Equity" "time=29293" "quantity=754" "buy_sell=B" "isin=FR0010397232" "epic=NCYT" "t+=2" "settlement_date=20200306" "user_details=0412918" "quantity=754" "buy_sell=B" "currency=GBP" "link="</t>
  </si>
  <si>
    <t>04/03/20 08:08:13 8992 (10.152.26.30) : Read: "record_type=QUR" "reply_reason=0" "agency_time=2020-03-04 08:08:13.801" "bid_price=1.065" "bid_size=125000" "buy_sell=B" "control_ref=4bbe2b0a-5def-11ea-960a-005056a25061" "counterparty=277" "currency=GBP" "device=Aitken" "epic=NCYT" "isin=FR0010397232" "link=635" "market_maker=635" "offer_price=0" "offer_size=0" "professional=N" "ps_bid_price=1.065" "ps_offer_price=0" "quantity=754" "rsp=CFEQGB21EPE" "sent_time=2020-03-04 08:08:13.801" "serial_number=831665303" "settlement_date=20200306" "system=Equity" "t+=2" "time=29293" "user=tdw" "user_details=0412918"</t>
  </si>
  <si>
    <t>04/03/20 08:08:13 8992: Quo reply :                       ICV        FR0010397232                                                    635 754         S20200306  2     216       106.5              30 LSC     BF16YK9 NCYT.L                        NCYT  FR0010397232    GBXGB   NCYT.L  0412918                    635</t>
  </si>
  <si>
    <t>04/03/20 08:08:15 11888 (10.152.26.32) : Got quo request:                      ICV        GB0008706128                                                        7000        B20200306  2                                     LSF     0870612 LLOY.L                        LLOY  GB0008706128    GBXGB   LLOY.L  4730512                    GBP</t>
  </si>
  <si>
    <t>04/03/20 08:08:15 11888 (10.152.26.32) : Sending....: 0264"record_type=QU" "user=tdw" "counterparty=277" "device=Aitken" "system=Equity" "time=29295" "quantity=7000" "buy_sell=S" "isin=GB0008706128" "epic=LLOY" "t+=2" "settlement_date=20200306" "user_details=4730512" "quantity=7000" "buy_sell=S" "currency=GBP" "link="</t>
  </si>
  <si>
    <t>04/03/20 08:08:15 11888 (10.152.26.32) : Read: "record_type=QUR" "reply_reason=0" "agency_time=2020-03-04 08:08:15.557" "bid_price=0" "bid_size=0" "buy_sell=S" "control_ref=4cc934cc-5def-11ea-aa4e-005056a25061" "counterparty=277" "currency=GBP" "device=Aitken" "epic=LLOY" "isin=GB0008706128" "link=801" "market_maker=801" "offer_price=0.47953" "offer_size=8000" "professional=N" "ps_bid_price=0" "ps_offer_price=0.47953" "quantity=7000" "rsp=WNTSGB2LBIC" "sent_time=2020-03-04 08:08:15.557" "serial_number=91411024" "settlement_date=20200306" "system=Equity" "t+=2" "time=29295" "user=tdw" "user_details=4730512" "quotation_amount=1"</t>
  </si>
  <si>
    <t>04/03/20 08:08:15 11888: Quo reply :                       ICV        GB0008706128                                                    801 7000        B20200306  2     217       47.953             30 LSF     0870612 LLOY.L                        LLOY  GB0008706128    GBXGB   LLOY.L  4730512                    801</t>
  </si>
  <si>
    <t>04/03/20 08:08:18 10288 (10.152.26.31) : Got quo request:                      ICV        GB00BNLPYF73                                                        5033        S20200306  2                                     LSB     BNLPYF7 SPI.L                         SPI   GB00BNLPYF73    GBXGB   SPI.L   4681827                    GBP</t>
  </si>
  <si>
    <t>04/03/20 08:08:18 10288 (10.152.26.31) : Sending....: 0263"record_type=QU" "user=tdw" "counterparty=277" "device=Aitken" "system=Equity" "time=29298" "quantity=5033" "buy_sell=B" "isin=GB00BNLPYF73" "epic=SPI" "t+=2" "settlement_date=20200306" "user_details=4681827" "quantity=5033" "buy_sell=B" "currency=GBP" "link="</t>
  </si>
  <si>
    <t>04/03/20 08:08:18 10288 (10.152.26.31) : Read: "record_type=QUR" "reply_reason=0" "agency_time=2020-03-04 08:08:19.363" "bid_price=1.1075" "bid_size=10000" "buy_sell=B" "control_ref=4ece5aa4-5def-11ea-92f0-005056a25061" "counterparty=277" "currency=GBP" "device=Aitken" "epic=SPI.L" "isin=GB00BNLPYF73" "link=871" "market_maker=871" "offer_price=0" "offer_size=0" "professional=N" "ps_bid_price=1.1075" "ps_offer_price=0" "quantity=5033" "rsp=PLHCGB3LBIC" "sent_time=2020-03-04 08:08:19.363" "serial_number=1455242473" "settlement_date=20200306" "system=Equity" "t+=2" "time=29298" "user=tdw" "user_details=4681827"</t>
  </si>
  <si>
    <t>04/03/20 08:08:18 10288: Quo reply :                       ICV        GB00BNLPYF73                                                    871 5033        S20200306  2     218       110.75             30 LSB     BNLPYF7 SPI.L                         SPI   GB00BNLPYF73    GBXGB   SPI.L   4681827                    871</t>
  </si>
  <si>
    <t>04/03/20 08:08:22 5992 (10.152.26.30) : Got quo request:                      ICV        JE00B5TT1872                                                        5000        S20200331 19                                     LSA     B5TT187 CEY.L                         CEY   JE00B5TT1872    GBXJE   CEY.L   0426920                    GBP</t>
  </si>
  <si>
    <t>04/03/20 08:08:22 5992 (10.152.26.30) : Sending....: 0264"record_type=QU" "user=tdw" "counterparty=277" "device=Aitken" "system=Equity" "time=29302" "quantity=5000" "buy_sell=B" "isin=JE00B5TT1872" "epic=CEY" "t+=19" "settlement_date=20200331" "user_details=0426920" "quantity=5000" "buy_sell=B" "currency=GBP" "link="</t>
  </si>
  <si>
    <t>04/03/20 08:08:22 5992 (10.152.26.30) : Read: "record_type=QUR" "reply_reason=0" "agency_time=2020-03-04 08:08:22.796" "bid_price=1.40938" "bid_size=7500" "buy_sell=B" "control_ref=511b8444-5def-11ea-96a8-005056a25061" "counterparty=277" "currency=GBP" "device=Aitken" "epic=CEY" "isin=JE00B5TT1872" "link=801" "market_maker=801" "offer_price=0" "offer_size=0" "professional=N" "ps_bid_price=1.40938" "ps_offer_price=0" "quantity=5000" "rsp=WNTSGB2LBIC" "sent_time=2020-03-04 08:08:22.796" "serial_number=376968296" "settlement_date=20200331" "system=Equity" "t+=19" "time=29302" "user=tdw" "user_details=0426920" "quotation_amount=1"</t>
  </si>
  <si>
    <t>04/03/20 08:08:22 5992: Quo reply :                       ICV        JE00B5TT1872                                                    801 5000        S20200331 19     219       140.938            30 LSA     B5TT187 CEY.L                         CEY   JE00B5TT1872    GBXJE   CEY.L   0426920                    801</t>
  </si>
  <si>
    <t>04/03/20 08:08:23 9236 (10.152.26.31) : Got quo request:                      ICV        GB00B15XDH89                                                        6603        S20200306  2                                     LSC     B15XDH8 GGP.L                         GGP   GB00B15XDH89    GBXGB   GGP.L   4620926                    GBP</t>
  </si>
  <si>
    <t>04/03/20 08:08:23 9236 (10.152.26.31) : Sending....: 0263"record_type=QU" "user=tdw" "counterparty=277" "device=Aitken" "system=Equity" "time=29303" "quantity=6603" "buy_sell=B" "isin=GB00B15XDH89" "epic=GGP" "t+=2" "settlement_date=20200306" "user_details=4620926" "quantity=6603" "buy_sell=B" "currency=GBP" "link="</t>
  </si>
  <si>
    <t>04/03/20 08:08:23 9236 (10.152.26.31) : Read: "record_type=QUR" "reply_reason=0" "agency_time=2020-03-04 08:08:23.695" "bid_price=0.0478" "bid_size=1000000" "buy_sell=B" "control_ref=51a3627e-5def-11ea-9a50-005056a25061" "counterparty=277" "currency=GBP" "device=Aitken" "epic=GGP.L" "isin=GB00B15XDH89" "link=871" "market_maker=871" "offer_price=0" "offer_size=0" "professional=N" "ps_bid_price=0.0478" "ps_offer_price=0" "quantity=6603" "rsp=PLHCGB3LBIC" "sent_time=2020-03-04 08:08:23.695" "serial_number=795634641" "settlement_date=20200306" "system=Equity" "t+=2" "time=29303" "user=tdw" "user_details=4620926"</t>
  </si>
  <si>
    <t>04/03/20 08:08:23 9236: Quo reply :                       ICV        GB00B15XDH89                                                    871 6603        S20200306  2     220       4.78               30 LSC     B15XDH8 GGP.L                         GGP   GB00B15XDH89    GBXGB   GGP.L   4620926                    871</t>
  </si>
  <si>
    <t>04/03/20 08:08:25 11996 (10.152.26.32) : Got quo request:                      ICV        GB0005991111                                                        1782        S20200306  2                                     LSC     0599111 MPAC.L                        MPAC  GB0005991111    GBXGB   MPAC.L  4716687                    GBP</t>
  </si>
  <si>
    <t>04/03/20 08:08:25 11996 (10.152.26.32) : Sending....: 0264"record_type=QU" "user=tdw" "counterparty=277" "device=Aitken" "system=Equity" "time=29305" "quantity=1782" "buy_sell=B" "isin=GB0005991111" "epic=MPAC" "t+=2" "settlement_date=20200306" "user_details=4716687" "quantity=1782" "buy_sell=B" "currency=GBP" "link="</t>
  </si>
  <si>
    <t>04/03/20 08:08:25 11996 (10.152.26.32) : Read: "record_type=QUR" "reply_reason=99" "reply_message=No valid quote available" "agency_time=2020-03-04 08:08:26.107" "buy_sell=B" "counterparty=277" "currency=GBP" "device=Aitken" "epic=MPAC" "isin=GB0005991111" "link=000" "professional=N" "quantity=1782" "system=Equity" "t+=2" "time=20200304-08:08:25" "user=tdw" "user_details=4716687"</t>
  </si>
  <si>
    <t>04/03/20 08:08:25 11996: Quo reject : 10099 : No valid quote available</t>
  </si>
  <si>
    <t>04/03/20 08:08:28 12728 (10.152.26.31) : Got quo request:                      ICV        GB00B0HZPV38                                                        2500        B20200401 20                                     LSA     B0HZPV3 KAZ.L                         KAZ   GB00B0HZPV38    GBXGB   KAZ.L   0880300                    GBP</t>
  </si>
  <si>
    <t>04/03/20 08:08:28 12728 (10.152.26.31) : Sending....: 0264"record_type=QU" "user=tdw" "counterparty=277" "device=Aitken" "system=Equity" "time=29308" "quantity=2500" "buy_sell=S" "isin=GB00B0HZPV38" "epic=KAZ" "t+=20" "settlement_date=20200401" "user_details=0880300" "quantity=2500" "buy_sell=S" "currency=GBP" "link="</t>
  </si>
  <si>
    <t>04/03/20 08:08:28 12728 (10.152.26.31) : Read: "record_type=QUR" "reply_reason=0" "agency_time=2020-03-04 08:08:28.809" "bid_price=0" "bid_size=0" "buy_sell=S" "control_ref=54b0b700-5def-11ea-8dd1-005056a25061" "counterparty=277" "currency=GBP" "device=Aitken" "epic=KAZ" "isin=GB00B0HZPV38" "link=331" "market_maker=331" "offer_price=4.253" "offer_size=10000" "professional=N" "ps_bid_price=0" "ps_offer_price=4.253" "quantity=2500" "rsp=IHCSGB21002" "sent_time=2020-03-04 08:08:28.809" "serial_number=675931042" "settlement_date=20200401" "system=Equity" "t+=20" "time=29308" "user=tdw" "user_details=0880300"</t>
  </si>
  <si>
    <t>04/03/20 08:08:28 12728: Quo reply :                       ICV        GB00B0HZPV38                                                    331 2500        B20200401 20     221       425.3              30 LSA     B0HZPV3 KAZ.L                         KAZ   GB00B0HZPV38    GBXGB   KAZ.L   0880300                    331</t>
  </si>
  <si>
    <t>04/03/20 08:08:29 12900 (10.152.26.30) : Got quo request:                      ICV        GB00B580MF54                                                        6683        S20200306  2                                     LSB     B580MF5 HUR.L                         HUR   GB00B580MF54    GBXGB   HUR.L   0933214                    GBP</t>
  </si>
  <si>
    <t>04/03/20 08:08:29 12900 (10.152.26.30) : Sending....: 0263"record_type=QU" "user=tdw" "counterparty=277" "device=Aitken" "system=Equity" "time=29309" "quantity=6683" "buy_sell=B" "isin=GB00B580MF54" "epic=HUR" "t+=2" "settlement_date=20200306" "user_details=0933214" "quantity=6683" "buy_sell=B" "currency=GBP" "link="</t>
  </si>
  <si>
    <t>04/03/20 08:08:29 12900 (10.152.26.30) : Read: "record_type=QUR" "reply_reason=0" "agency_time=2020-03-04 08:08:29.651" "bid_price=0.15025" "bid_size=15000" "buy_sell=B" "control_ref=552f14a6-5def-11ea-bfb9-005056a25061" "counterparty=277" "currency=GBP" "device=Aitken" "epic=HUR" "isin=GB00B580MF54" "link=801" "market_maker=801" "offer_price=0" "offer_size=0" "professional=N" "ps_bid_price=0.15025" "ps_offer_price=0" "quantity=6683" "rsp=WNTSGB2LBIC" "sent_time=2020-03-04 08:08:29.651" "serial_number=1962817876" "settlement_date=20200306" "system=Equity" "t+=2" "time=29309" "user=tdw" "user_details=0933214" "quotation_amount=1"</t>
  </si>
  <si>
    <t>04/03/20 08:08:29 12900: Quo reply :                       ICV        GB00B580MF54                                                    801 6683        S20200306  2     222       15.025             30 LSB     B580MF5 HUR.L                         HUR   GB00B580MF54    GBXGB   HUR.L   0933214                    801</t>
  </si>
  <si>
    <t>04/03/20 08:08:31 11108 (10.152.26.32) : Got quo request:                      ICV        GB00B18S7B29                                                        39920       B20200306  2                                     LSB     B18S7B2 AFC.L                         AFC   GB00B18S7B29    GBXGB   AFC.L   2228115                    GBP</t>
  </si>
  <si>
    <t>04/03/20 08:08:31 11108 (10.152.26.32) : Sending....: 0265"record_type=QU" "user=tdw" "counterparty=277" "device=Aitken" "system=Equity" "time=29311" "quantity=39920" "buy_sell=S" "isin=GB00B18S7B29" "epic=AFC" "t+=2" "settlement_date=20200306" "user_details=2228115" "quantity=39920" "buy_sell=S" "currency=GBP" "link="</t>
  </si>
  <si>
    <t>04/03/20 08:08:31 11108 (10.152.26.32) : Read: "record_type=QUR" "reply_reason=0" "agency_time=2020-03-04 08:08:32.143" "bid_price=0" "bid_size=0" "buy_sell=S" "control_ref=56ad631e-5def-11ea-8e2f-005056a25061" "counterparty=277" "currency=GBP" "device=Aitken" "epic=AFC" "isin=GB00B18S7B29" "link=635" "market_maker=635" "offer_price=0.2524" "offer_size=187500" "professional=N" "ps_bid_price=0" "ps_offer_price=0.2524" "quantity=39920" "rsp=CFEQGB21EPE" "sent_time=2020-03-04 08:08:32.143" "serial_number=1612908956" "settlement_date=20200306" "system=Equity" "t+=2" "time=29311" "user=tdw" "user_details=2228115"</t>
  </si>
  <si>
    <t>04/03/20 08:08:31 11108: Quo reply :                       ICV        GB00B18S7B29                                                    635 39920       B20200306  2     223       25.24              30 LSB     B18S7B2 AFC.L                         AFC   GB00B18S7B29    GBXGB   AFC.L   2228115                    635</t>
  </si>
  <si>
    <t>04/03/20 08:08:34 4124 (10.152.26.31) : Got quo request:                      ICV        GB00B0DG3H29                                                        130305      S20200306  2                                     LSB     B0DG3H2 SXX.L                         SXX   GB00B0DG3H29    GBXGB   SXX.L   5251327                    GBP</t>
  </si>
  <si>
    <t>04/03/20 08:08:34 4124 (10.152.26.31) : Sending....: 0267"record_type=QU" "user=tdw" "counterparty=277" "device=Aitken" "system=Equity" "time=29314" "quantity=130305" "buy_sell=B" "isin=GB00B0DG3H29" "epic=SXX" "t+=2" "settlement_date=20200306" "user_details=5251327" "quantity=130305" "buy_sell=B" "currency=GBP" "link="</t>
  </si>
  <si>
    <t>04/03/20 08:08:34 4124 (10.152.26.31) : Read: "record_type=QUR" "reply_reason=0" "agency_time=2020-03-04 08:08:35.039" "bid_price=0.054811" "bid_size=500000" "buy_sell=B" "control_ref=586540d2-5def-11ea-b18e-005056a25061" "counterparty=277" "currency=GBP" "device=Aitken" "epic=SXX.L" "isin=GB00B0DG3H29" "link=871" "market_maker=871" "offer_price=0" "offer_size=0" "professional=N" "ps_bid_price=0.054811" "ps_offer_price=0" "quantity=130305" "rsp=PLHCGB3LBIC" "sent_time=2020-03-04 08:08:35.039" "serial_number=1062322258" "settlement_date=20200306" "system=Equity" "t+=2" "time=29314" "user=tdw" "user_details=5251327"</t>
  </si>
  <si>
    <t>04/03/20 08:08:34 4124: Quo reply :                       ICV        GB00B0DG3H29                                                    871 130305      S20200306  2     224       5.4811             30 LSB     B0DG3H2 SXX.L                         SXX   GB00B0DG3H29    GBXGB   SXX.L   5251327                    871</t>
  </si>
  <si>
    <t>04/03/20 08:08:38 6048 (10.152.26.32) : Got quo request:                      ICV        GB0008706128                                                        123250      B20200306  2                                     LSF     0870612 LLOY.L                        LLOY  GB0008706128    GBXGB   LLOY.L  5200352                    GBP</t>
  </si>
  <si>
    <t>04/03/20 08:08:38 6048 (10.152.26.32) : Sending....: 0268"record_type=QU" "user=tdw" "counterparty=277" "device=Aitken" "system=Equity" "time=29318" "quantity=123250" "buy_sell=S" "isin=GB0008706128" "epic=LLOY" "t+=2" "settlement_date=20200306" "user_details=5200352" "quantity=123250" "buy_sell=S" "currency=GBP" "link="</t>
  </si>
  <si>
    <t>04/03/20 08:08:38 6048 (10.152.26.32) : Read: "record_type=QUR" "reply_reason=0" "agency_time=2020-03-04 08:08:38.626" "bid_price=0" "bid_size=0" "buy_sell=S" "control_ref=5a807bfc-5def-11ea-ae64-005056a25061" "counterparty=277" "currency=GBP" "device=Aitken" "epic=LLOY" "isin=GB0008706128" "link=393" "market_maker=393" "offer_price=0.4795" "offer_size=1000000" "professional=N" "ps_bid_price=0" "ps_offer_price=0.4795" "quantity=123250" "rsp=JEFFGB2X" "sent_time=2020-03-04 08:08:38.626" "serial_number=1368919307" "settlement_date=20200306" "system=Equity" "t+=2" "time=29318" "user=tdw" "user_details=5200352"</t>
  </si>
  <si>
    <t>04/03/20 08:08:38 6048: Quo reply :                       ICV        GB0008706128                                                    393 123250      B20200306  2     225       47.95              30 LSF     0870612 LLOY.L                        LLOY  GB0008706128    GBXGB   LLOY.L  5200352                    393</t>
  </si>
  <si>
    <t>04/03/20 08:08:38 9580 (10.152.26.30) : Got quo request:                      ICV        GB00B0DG3H29                                                        130305      S20200306  2                                     LSB     B0DG3H2 SXX.L                         SXX   GB00B0DG3H29    GBXGB   SXX.L   5251327                    GBP</t>
  </si>
  <si>
    <t>04/03/20 08:08:38 9580 (10.152.26.30) : Sending....: 0267"record_type=QU" "user=tdw" "counterparty=277" "device=Aitken" "system=Equity" "time=29318" "quantity=130305" "buy_sell=B" "isin=GB00B0DG3H29" "epic=SXX" "t+=2" "settlement_date=20200306" "user_details=5251327" "quantity=130305" "buy_sell=B" "currency=GBP" "link="</t>
  </si>
  <si>
    <t>04/03/20 08:08:38 9580 (10.152.26.30) : Read: "record_type=QUR" "reply_reason=0" "agency_time=2020-03-04 08:08:39.089" "bid_price=0.054811" "bid_size=500000" "buy_sell=B" "control_ref=5accc8d6-5def-11ea-be15-005056a25061" "counterparty=277" "currency=GBP" "device=Aitken" "epic=SXX.L" "isin=GB00B0DG3H29" "link=871" "market_maker=871" "offer_price=0" "offer_size=0" "professional=N" "ps_bid_price=0.054811" "ps_offer_price=0" "quantity=130305" "rsp=PLHCGB3LBIC" "sent_time=2020-03-04 08:08:39.089" "serial_number=484696644" "settlement_date=20200306" "system=Equity" "t+=2" "time=29318" "user=tdw" "user_details=5251327"</t>
  </si>
  <si>
    <t>04/03/20 08:08:38 9580: Quo reply :                       ICV        GB00B0DG3H29                                                    871 130305      S20200306  2     226       5.4811             30 LSB     B0DG3H2 SXX.L                         SXX   GB00B0DG3H29    GBXGB   SXX.L   5251327                    871</t>
  </si>
  <si>
    <t>04/03/20 08:08:39 10288 (10.152.26.31) : Got quo request:                      ICV        GB0008854563                                                        250000      S20200331 19                                     LSE     0885456 TYM.L                         TYM   GB0008854563    GBXGB   TYM.L   0212147                    GBP</t>
  </si>
  <si>
    <t>04/03/20 08:08:39 10288 (10.152.26.31) : Sending....: 0268"record_type=QU" "user=tdw" "counterparty=277" "device=Aitken" "system=Equity" "time=29319" "quantity=250000" "buy_sell=B" "isin=GB0008854563" "epic=TYM" "t+=19" "settlement_date=20200331" "user_details=0212147" "quantity=250000" "buy_sell=B" "currency=GBP" "link="</t>
  </si>
  <si>
    <t>04/03/20 08:08:39 10288 (10.152.26.31) : Read: "record_type=QUR" "reply_reason=0" "agency_time=2020-03-04 08:08:39.458" "bid_price=0.004702" "bid_size=4500000" "buy_sell=B" "control_ref=5b0ac3a2-5def-11ea-9c29-005056a25061" "counterparty=277" "currency=GBP" "device=Aitken" "epic=TYM" "isin=GB0008854563" "link=801" "market_maker=801" "offer_price=0" "offer_size=0" "professional=N" "ps_bid_price=0.004702" "ps_offer_price=0" "quantity=250000" "rsp=WNTSGB2LBIC" "sent_time=2020-03-04 08:08:39.458" "serial_number=258587430" "settlement_date=20200331" "system=Equity" "t+=19" "time=29319" "user=tdw" "user_details=0212147" "quotation_amount=1"</t>
  </si>
  <si>
    <t>04/03/20 08:08:39 10288: Quo reply :                       ICV        GB0008854563                                                    801 250000      S20200331 19     227       0.4702             30 LSE     0885456 TYM.L                         TYM   GB0008854563    GBXGB   TYM.L   0212147                    801</t>
  </si>
  <si>
    <t>04/03/20 08:08:43 9236 (10.152.26.31) : Got quo request:                      ICV        GB00B0130H42                                                        2912        S20200306  2                                     LSB     B0130H4 ITM.L                         ITM   GB00B0130H42    GBXGB   ITM.L   0968220                    GBP</t>
  </si>
  <si>
    <t>04/03/20 08:08:43 9236 (10.152.26.31) : Sending....: 0263"record_type=QU" "user=tdw" "counterparty=277" "device=Aitken" "system=Equity" "time=29323" "quantity=2912" "buy_sell=B" "isin=GB00B0130H42" "epic=ITM" "t+=2" "settlement_date=20200306" "user_details=0968220" "quantity=2912" "buy_sell=B" "currency=GBP" "link="</t>
  </si>
  <si>
    <t>04/03/20 08:08:43 9236 (10.152.26.31) : Read: "record_type=QUR" "reply_reason=0" "agency_time=2020-03-04 08:08:43.938" "bid_price=1.4874" "bid_size=15000" "buy_sell=B" "control_ref=5db38f30-5def-11ea-ad38-005056a25061" "counterparty=277" "currency=GBP" "device=Aitken" "epic=ITM" "isin=GB00B0130H42" "link=801" "market_maker=801" "offer_price=0" "offer_size=0" "professional=N" "ps_bid_price=1.4874" "ps_offer_price=0" "quantity=2912" "rsp=WNTSGB2LBIC" "sent_time=2020-03-04 08:08:43.938" "serial_number=1092556762" "settlement_date=20200306" "system=Equity" "t+=2" "time=29323" "user=tdw" "user_details=0968220" "quotation_amount=1"</t>
  </si>
  <si>
    <t>04/03/20 08:08:43 9236: Quo reply :                       ICV        GB00B0130H42                                                    801 2912        S20200306  2     228       148.74             30 LSB     B0130H4 ITM.L                         ITM   GB00B0130H42    GBXGB   ITM.L   0968220                    801</t>
  </si>
  <si>
    <t>04/03/20 08:08:46 11888 (10.152.26.32) : Got quo request:                      ICV        GB0002374006                                                        1000        S20200306  2                                     LSD     0237400 DGE.L                         DGE   GB0002374006    GBXGB   DGE.L   5248490                    GBP</t>
  </si>
  <si>
    <t>04/03/20 08:08:46 11888 (10.152.26.32) : Sending....: 0263"record_type=QU" "user=tdw" "counterparty=277" "device=Aitken" "system=Equity" "time=29326" "quantity=1000" "buy_sell=B" "isin=GB0002374006" "epic=DGE" "t+=2" "settlement_date=20200306" "user_details=5248490" "quantity=1000" "buy_sell=B" "currency=GBP" "link="</t>
  </si>
  <si>
    <t>04/03/20 08:08:46 11888 (10.152.26.32) : Read: "record_type=QUR" "reply_reason=0" "agency_time=2020-03-04 08:08:46.519" "bid_price=28.165" "bid_size=1000" "buy_sell=B" "control_ref=5f3eed7c-5def-11ea-b7c2-005056a25061" "counterparty=277" "currency=GBP" "device=Aitken" "epic=DGE" "isin=GB0002374006" "link=006" "market_maker=006" "offer_price=0" "offer_size=0" "professional=N" "ps_bid_price=28.165" "ps_offer_price=0" "quantity=1000" "rsp=STNOGB21" "sent_time=2020-03-04 08:08:46.519" "serial_number=2076998990" "settlement_date=20200306" "system=Equity" "t+=2" "time=29326" "user=tdw" "user_details=5248490"</t>
  </si>
  <si>
    <t>04/03/20 08:08:46 11888: Quo reply :                       ICV        GB0002374006                                                    006 1000        S20200306  2     229       2816.5             30 LSD     0237400 DGE.L                         DGE   GB0002374006    GBXGB   DGE.L   5248490                    006</t>
  </si>
  <si>
    <t>04/03/20 08:08:47 8992 (10.152.26.30) : Got quo request:                      ICV        GB00B0130H42                                                        2912        S20200306  2                                     LSB     B0130H4 ITM.L                         ITM   GB00B0130H42    GBXGB   ITM.L   0968220                    GBP</t>
  </si>
  <si>
    <t>04/03/20 08:08:47 8992 (10.152.26.30) : Sending....: 0263"record_type=QU" "user=tdw" "counterparty=277" "device=Aitken" "system=Equity" "time=29327" "quantity=2912" "buy_sell=B" "isin=GB00B0130H42" "epic=ITM" "t+=2" "settlement_date=20200306" "user_details=0968220" "quantity=2912" "buy_sell=B" "currency=GBP" "link="</t>
  </si>
  <si>
    <t>04/03/20 08:08:47 8992 (10.152.26.30) : Read: "record_type=QUR" "reply_reason=0" "agency_time=2020-03-04 08:08:47.626" "bid_price=1.4874" "bid_size=15000" "buy_sell=B" "control_ref=5fddb3da-5def-11ea-a4f1-005056a25061" "counterparty=277" "currency=GBP" "device=Aitken" "epic=ITM" "isin=GB00B0130H42" "link=801" "market_maker=801" "offer_price=0" "offer_size=0" "professional=N" "ps_bid_price=1.4874" "ps_offer_price=0" "quantity=2912" "rsp=WNTSGB2LBIC" "sent_time=2020-03-04 08:08:47.626" "serial_number=1246684541" "settlement_date=20200306" "system=Equity" "t+=2" "time=29327" "user=tdw" "user_details=0968220" "quotation_amount=1"</t>
  </si>
  <si>
    <t>04/03/20 08:08:47 8992: Quo reply :                       ICV        GB00B0130H42                                                    801 2912        S20200306  2     230       148.74             30 LSB     B0130H4 ITM.L                         ITM   GB00B0130H42    GBXGB   ITM.L   0968220                    801</t>
  </si>
  <si>
    <t>04/03/20 08:08:49 11996 (10.152.26.32) : Got quo request:                      ICV        JE00B5TT1872                                                        5000        B20200306  2                                     LSA     B5TT187 CEY.L                         CEY   JE00B5TT1872    GBXJE   CEY.L   0543779                    GBP</t>
  </si>
  <si>
    <t>04/03/20 08:08:49 11996 (10.152.26.32) : Sending....: 0263"record_type=QU" "user=tdw" "counterparty=277" "device=Aitken" "system=Equity" "time=29329" "quantity=5000" "buy_sell=S" "isin=JE00B5TT1872" "epic=CEY" "t+=2" "settlement_date=20200306" "user_details=0543779" "quantity=5000" "buy_sell=S" "currency=GBP" "link="</t>
  </si>
  <si>
    <t>04/03/20 08:08:49 11996 (10.152.26.32) : Read: "record_type=QUR" "reply_reason=0" "agency_time=2020-03-04 08:08:50.258" "bid_price=0" "bid_size=0" "buy_sell=S" "control_ref=61781d48-5def-11ea-9520-005056a25061" "counterparty=277" "currency=GBP" "device=Aitken" "epic=CEY" "isin=JE00B5TT1872" "link=801" "market_maker=801" "offer_price=1.41423" "offer_size=7500" "professional=N" "ps_bid_price=0" "ps_offer_price=1.41423" "quantity=5000" "rsp=WNTSGB2LBIC" "sent_time=2020-03-04 08:08:50.258" "serial_number=1658298494" "settlement_date=20200306" "system=Equity" "t+=2" "time=29329" "user=tdw" "user_details=0543779" "quotation_amount=1"</t>
  </si>
  <si>
    <t>04/03/20 08:08:49 11996: Quo reply :                       ICV        JE00B5TT1872                                                    801 5000        B20200306  2     231       141.423            30 LSA     B5TT187 CEY.L                         CEY   JE00B5TT1872    GBXJE   CEY.L   0543779                    801</t>
  </si>
  <si>
    <t>04/03/20 08:08:49 11108(10.152.26.32) : Got exe request:                      ICV        GB0008854563                                                    0.470200           250000      SABGBXA 227                            Y                                                     0212147                                                                                                                                                                                                                                                                                     20200331                                                                          801 GB     TYM.L   00</t>
  </si>
  <si>
    <t>04/03/20 08:08:49 11108 (10.152.26.32) : Sending....: 0301"record_type=DE" "user=tdw" "counterparty=277" "device=Aitken" "system=Equity" "time=29329" "isin=GB0008854563" "epic=TYM" "serial_number=258587430" "buy_sell=B" "quantity=250000" "t+=19" "currency=GBP" "booking_c/party=" "settlement_date=20200331" "user_details=0212147" "market_maker=801" "link="</t>
  </si>
  <si>
    <t>04/03/20 08:08:49 11108 (10.152.26.32) : Read: "record_type=DER" "reply_reason=0" "agency_time=2020-03-04 08:08:50.340" "bargain_ref=1824419696" "buy_sell=B" "control_ref=1824419696" "counterparty=277" "currency=GBP" "deal_time=08:08:50" "device=Aitken" "epic=TYM" "execution_venue=AIMX" "isin=GB0008854563" "market_maker=801" "price=0.004702" "professional=N" "quantity=250000." "sent_time=2020-03-04 08:08:50.314" "serial_number=1824419696" "settlement_date=20200331" "system=Equity" "t+=19" "time=29329" "user=tdw" "user_details=0212147" "quotation_amount=1"</t>
  </si>
  <si>
    <t>04/03/20 08:08:49 11108: Exe reply :                       ICV        GB0008854563                                                    0.470200           250000      SABGBXA 227                            Y                                                     0212147                                                                                                                                                                                                                                                                       1824419696    20200331     182441969620200304080849   0.4702                250000              801 GB     TYM.L   02</t>
  </si>
  <si>
    <t>04/03/20 08:08:54 12728 (10.152.26.31) : Got quo request:                      ICV        GB00B580MF54                                                        50000       S20200306  2                                     LSB     B580MF5 HUR.L                         HUR   GB00B580MF54    GBXGB   HUR.L   0909675                    GBP</t>
  </si>
  <si>
    <t>04/03/20 08:08:54 12728 (10.152.26.31) : Sending....: 0265"record_type=QU" "user=tdw" "counterparty=277" "device=Aitken" "system=Equity" "time=29334" "quantity=50000" "buy_sell=B" "isin=GB00B580MF54" "epic=HUR" "t+=2" "settlement_date=20200306" "user_details=0909675" "quantity=50000" "buy_sell=B" "currency=GBP" "link="</t>
  </si>
  <si>
    <t>04/03/20 08:08:54 12728 (10.152.26.31) : Read: "record_type=QUR" "reply_reason=0" "agency_time=2020-03-04 08:08:54.589" "bid_price=0.15012" "bid_size=50000" "buy_sell=B" "control_ref=640ce548-5def-11ea-82cd-005056a25061" "counterparty=277" "currency=GBP" "device=Aitken" "epic=HUR" "isin=GB00B580MF54" "link=589" "market_maker=589" "offer_price=0" "offer_size=0" "professional=N" "ps_bid_price=0.15012" "ps_offer_price=0" "quantity=50000" "rsp=SHOCGB21" "sent_time=2020-03-04 08:08:54.589" "serial_number=2089188122" "settlement_date=20200306" "system=Equity" "t+=2" "time=29334" "user=tdw" "user_details=0909675"</t>
  </si>
  <si>
    <t>04/03/20 08:08:54 12728: Quo reply :                       ICV        GB00B580MF54                                                    589 50000       S20200306  2     232       15.012             30 LSB     B580MF5 HUR.L                         HUR   GB00B580MF54    GBXGB   HUR.L   0909675                    589</t>
  </si>
  <si>
    <t>04/03/20 08:08:54 5992 (10.152.26.30) : Got quo request:                      ICV        GB00B0DG3H29                                                        235676      B20200306  2                                     LSB     B0DG3H2 SXX.L                         SXX   GB00B0DG3H29    GBXGB   SXX.L   0830001                    GBP</t>
  </si>
  <si>
    <t>04/03/20 08:08:54 5992 (10.152.26.30) : Sending....: 0267"record_type=QU" "user=tdw" "counterparty=277" "device=Aitken" "system=Equity" "time=29334" "quantity=235676" "buy_sell=S" "isin=GB00B0DG3H29" "epic=SXX" "t+=2" "settlement_date=20200306" "user_details=0830001" "quantity=235676" "buy_sell=S" "currency=GBP" "link="</t>
  </si>
  <si>
    <t>04/03/20 08:08:54 5992 (10.152.26.30) : Read: "record_type=QUR" "reply_reason=0" "agency_time=2020-03-04 08:08:54.967" "bid_price=0" "bid_size=0" "buy_sell=S" "control_ref=644868ca-5def-11ea-9c4a-005056a25061" "counterparty=277" "currency=GBP" "device=Aitken" "epic=SXX.L" "isin=GB00B0DG3H29" "link=871" "market_maker=871" "offer_price=0.054848" "offer_size=1000000" "professional=N" "ps_bid_price=0" "ps_offer_price=0.054848" "quantity=235676" "rsp=PLHCGB3LBIC" "sent_time=2020-03-04 08:08:54.967" "serial_number=1670098992" "settlement_date=20200306" "system=Equity" "t+=2" "time=29334" "user=tdw" "user_details=0830001"</t>
  </si>
  <si>
    <t>04/03/20 08:08:54 5992: Quo reply :                       ICV        GB00B0DG3H29                                                    871 235676      B20200306  2     233       5.4848             30 LSB     B0DG3H2 SXX.L                         SXX   GB00B0DG3H29    GBXGB   SXX.L   0830001                    871</t>
  </si>
  <si>
    <t>04/03/20 08:08:54 12900(10.152.26.30) : Got exe request:                      ICV        JE00B5TT1872                                                    141.423000         5000        BABGBXA 231                            Y                                                     0543779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JE     CEY.L   00</t>
  </si>
  <si>
    <t>04/03/20 08:08:54 12900 (10.152.26.30) : Sending....: 0299"record_type=DE" "user=tdw" "counterparty=277" "device=Aitken" "system=Equity" "time=29334" "isin=JE00B5TT1872" "epic=CEY" "serial_number=1658298494" "buy_sell=S" "quantity=5000" "t+=2" "currency=GBP" "booking_c/party=" "settlement_date=20200306" "user_details=0543779" "market_maker=801" "link="</t>
  </si>
  <si>
    <t>04/03/20 08:08:54 12900 (10.152.26.30) : Read: "record_type=DER" "reply_reason=0" "agency_time=2020-03-04 08:08:55.292" "bargain_ref=1824420085" "buy_sell=S" "control_ref=1824420085" "counterparty=277" "currency=GBP" "deal_time=08:08:55" "device=Aitken" "epic=CEY" "execution_venue=XLON" "isin=JE00B5TT1872" "market_maker=801" "price=1.41423" "professional=N" "quantity=5000." "sent_time=2020-03-04 08:08:55.269" "serial_number=1824420085" "settlement_date=20200306" "system=Equity" "t+=2" "time=29334" "user=tdw" "user_details=0543779" "quotation_amount=1"</t>
  </si>
  <si>
    <t>04/03/20 08:08:54 12900: Exe reply :                       ICV        JE00B5TT1872                                                    141.423000         5000        BABGBXA 231                            Y                                                     0543779                                                                                                                                                                                                                                                                       1824420085    20200306     182442008520200304080854   141.423               5000                801 JE     CEY.L   02</t>
  </si>
  <si>
    <t>04/03/20 08:08:58 11108 (10.152.26.32) : Got quo request:                      ICV        GB0004270301                                                        1500        B20200306  2                                     LSA     0427030 HILS.L                        HILS  GB0004270301    GBXGB   HILS.L  4616791                    GBP</t>
  </si>
  <si>
    <t>04/03/20 08:08:58 11108 (10.152.26.32) : Sending....: 0264"record_type=QU" "user=tdw" "counterparty=277" "device=Aitken" "system=Equity" "time=29338" "quantity=1500" "buy_sell=S" "isin=GB0004270301" "epic=HILS" "t+=2" "settlement_date=20200306" "user_details=4616791" "quantity=1500" "buy_sell=S" "currency=GBP" "link="</t>
  </si>
  <si>
    <t>04/03/20 08:08:58 11108 (10.152.26.32) : Read: "record_type=QUR" "reply_reason=0" "agency_time=2020-03-04 08:08:58.680" "bid_price=0" "bid_size=0" "buy_sell=S" "control_ref=667e22b0-5def-11ea-880e-005056a25061" "counterparty=277" "currency=GBP" "device=Aitken" "epic=HILS" "isin=GB0004270301" "link=801" "market_maker=801" "offer_price=14.1403" "offer_size=1500" "professional=N" "ps_bid_price=0" "ps_offer_price=14.1403" "quantity=1500" "rsp=WNTSGB2LBIC" "sent_time=2020-03-04 08:08:58.680" "serial_number=1263495504" "settlement_date=20200306" "system=Equity" "t+=2" "time=29338" "user=tdw" "user_details=4616791" "quotation_amount=1"</t>
  </si>
  <si>
    <t>04/03/20 08:08:58 11108: Quo reply :                       ICV        GB0004270301                                                    801 1500        B20200306  2     234       1414.03            30 LSA     0427030 HILS.L                        HILS  GB0004270301    GBXGB   HILS.L  4616791                    801</t>
  </si>
  <si>
    <t>04/03/20 08:09:00 9580 (10.152.26.30) : Got quo request:                      ICV        GB00B11DNM70                                                        107337      B20200306  2                                     LSE     B11DNM7 HZM.L                         HZM   GB00B11DNM70    GBXIE   HZM.L   0921621                    GBP</t>
  </si>
  <si>
    <t>04/03/20 08:09:00 9580 (10.152.26.30) : Sending....: 0267"record_type=QU" "user=tdw" "counterparty=277" "device=Aitken" "system=Equity" "time=29340" "quantity=107337" "buy_sell=S" "isin=GB00B11DNM70" "epic=HZM" "t+=2" "settlement_date=20200306" "user_details=0921621" "quantity=107337" "buy_sell=S" "currency=GBP" "link="</t>
  </si>
  <si>
    <t>04/03/20 08:09:00 9580 (10.152.26.30) : Read: "record_type=QUR" "reply_reason=0" "agency_time=2020-03-04 08:09:00.991" "bid_price=0" "bid_size=0" "buy_sell=S" "control_ref=67dd29f8-5def-11ea-98bc-005056a25061" "counterparty=277" "currency=GBP" "device=Aitken" "epic=HZM" "isin=GB00B11DNM70" "link=589" "market_maker=589" "offer_price=0.030375" "offer_size=312500" "professional=N" "ps_bid_price=0" "ps_offer_price=0.030375" "quantity=107337" "rsp=SHOCGB21" "sent_time=2020-03-04 08:09:00.991" "serial_number=2061304588" "settlement_date=20200306" "system=Equity" "t+=2" "time=29340" "user=tdw" "user_details=0921621"</t>
  </si>
  <si>
    <t>04/03/20 08:09:00 9580: Quo reply :                       ICV        GB00B11DNM70                                                    589 107337      B20200306  2     235       3.0375             30 LSE     B11DNM7 HZM.L                         HZM   GB00B11DNM70    GBXIE   HZM.L   0921621                    589</t>
  </si>
  <si>
    <t>04/03/20 08:09:02 6048(10.152.26.32) : Got exe request:                      ICV        GB00B580MF54                                                    15.012000          50000       SABGBXA 232                            Y                                                     0909675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589 GB     HUR.L   00</t>
  </si>
  <si>
    <t>04/03/20 08:09:02 6048 (10.152.26.32) : Sending....: 0300"record_type=DE" "user=tdw" "counterparty=277" "device=Aitken" "system=Equity" "time=29342" "isin=GB00B580MF54" "epic=HUR" "serial_number=2089188122" "buy_sell=B" "quantity=50000" "t+=2" "currency=GBP" "booking_c/party=" "settlement_date=20200306" "user_details=0909675" "market_maker=589" "link="</t>
  </si>
  <si>
    <t>04/03/20 08:09:03 6048 (10.152.26.32) : Read: "record_type=DER" "reply_reason=0" "agency_time=2020-03-04 08:09:03.778" "bargain_ref=0919426418LOA2-1" "buy_sell=B" "control_ref=0066412739LOA1" "counterparty=277" "currency=GBP" "deal_time=08:09:03" "device=Aitken" "epic=HUR" "execution_venue=AIMX" "isin=GB00B580MF54" "market_maker=589" "price=0.15012" "professional=N" "quantity=50000" "sent_time=2020-03-04 08:09:03.250" "serial_number=0919426418LOA2-1" "settlement_date=20200306" "system=Equity" "t+=2" "time=29342" "user=tdw" "user_details=0909675"</t>
  </si>
  <si>
    <t>04/03/20 08:09:03 6048: Exe reply :                       ICV        GB00B580MF54                                                    15.012000          50000       SABGBXA 232                            Y                                                     0909675                                                                                                                                                                                                                                                                       0919426418LOA220200306     091942641820200304080902   15.012                50000               589 GB     HUR.L   02</t>
  </si>
  <si>
    <t>04/03/20 08:09:04 4124 (10.152.26.31) : Got quo request:                      ICV        GB00B0DG3H29                                                        167855      S20200306  2                                     LSB     B0DG3H2 SXX.L                         SXX   GB00B0DG3H29    GBXGB   SXX.L   0507407                    GBP</t>
  </si>
  <si>
    <t>04/03/20 08:09:04 4124 (10.152.26.31) : Sending....: 0267"record_type=QU" "user=tdw" "counterparty=277" "device=Aitken" "system=Equity" "time=29344" "quantity=167855" "buy_sell=B" "isin=GB00B0DG3H29" "epic=SXX" "t+=2" "settlement_date=20200306" "user_details=0507407" "quantity=167855" "buy_sell=B" "currency=GBP" "link="</t>
  </si>
  <si>
    <t>04/03/20 08:09:04 4124 (10.152.26.31) : Read: "record_type=QUR" "reply_reason=0" "agency_time=2020-03-04 08:09:04.897" "bid_price=0.054811" "bid_size=500000" "buy_sell=B" "control_ref=6a2988d2-5def-11ea-96e9-005056a25061" "counterparty=277" "currency=GBP" "device=Aitken" "epic=SXX.L" "isin=GB00B0DG3H29" "link=871" "market_maker=871" "offer_price=0" "offer_size=0" "professional=N" "ps_bid_price=0.054811" "ps_offer_price=0" "quantity=167855" "rsp=PLHCGB3LBIC" "sent_time=2020-03-04 08:09:04.897" "serial_number=683359497" "settlement_date=20200306" "system=Equity" "t+=2" "time=29344" "user=tdw" "user_details=0507407"</t>
  </si>
  <si>
    <t>04/03/20 08:09:04 4124: Quo reply :                       ICV        GB00B0DG3H29                                                    871 167855      S20200306  2     236       5.4811             30 LSB     B0DG3H2 SXX.L                         SXX   GB00B0DG3H29    GBXGB   SXX.L   0507407                    871</t>
  </si>
  <si>
    <t>04/03/20 08:09:05 11888 (10.152.26.32) : Got quo request:                      ICV        GB0001500809                                                        7000        B20200306  2                                     LSA     0150080 TLW.L                         TLW   GB0001500809    GBXGB   TLW.L   9039741                    GBP</t>
  </si>
  <si>
    <t>04/03/20 08:09:05 11888 (10.152.26.32) : Sending....: 0263"record_type=QU" "user=tdw" "counterparty=277" "device=Aitken" "system=Equity" "time=29345" "quantity=7000" "buy_sell=S" "isin=GB0001500809" "epic=TLW" "t+=2" "settlement_date=20200306" "user_details=9039741" "quantity=7000" "buy_sell=S" "currency=GBP" "link="</t>
  </si>
  <si>
    <t>04/03/20 08:09:05 11888 (10.152.26.32) : Read: "record_type=QUR" "reply_reason=0" "agency_time=2020-03-04 08:09:06.340" "bid_price=0" "bid_size=0" "buy_sell=S" "control_ref=6b0efb2e-5def-11ea-8e4a-005056a25061" "counterparty=277" "currency=GBP" "device=Aitken" "epic=TLW" "isin=GB0001500809" "link=801" "market_maker=801" "offer_price=0.32836" "offer_size=7500" "professional=N" "ps_bid_price=0" "ps_offer_price=0.32836" "quantity=7000" "rsp=WNTSGB2LBIC" "sent_time=2020-03-04 08:09:06.340" "serial_number=1266929975" "settlement_date=20200306" "system=Equity" "t+=2" "time=29345" "user=tdw" "user_details=9039741" "quotation_amount=1"</t>
  </si>
  <si>
    <t>04/03/20 08:09:05 11888: Quo reply :                       ICV        GB0001500809                                                    801 7000        B20200306  2     237       32.836             30 LSA     0150080 TLW.L                         TLW   GB0001500809    GBXGB   TLW.L   9039741                    801</t>
  </si>
  <si>
    <t>04/03/20 08:09:07 8992 (10.152.26.30) : Got quo request:                      ICV        GB0008706128                                                        7000        B20200306  2                                     LSF     0870612 LLOY.L                        LLOY  GB0008706128    GBXGB   LLOY.L  4730512                    GBP</t>
  </si>
  <si>
    <t>04/03/20 08:09:07 8992 (10.152.26.30) : Sending....: 0264"record_type=QU" "user=tdw" "counterparty=277" "device=Aitken" "system=Equity" "time=29347" "quantity=7000" "buy_sell=S" "isin=GB0008706128" "epic=LLOY" "t+=2" "settlement_date=20200306" "user_details=4730512" "quantity=7000" "buy_sell=S" "currency=GBP" "link="</t>
  </si>
  <si>
    <t>04/03/20 08:09:07 8992 (10.152.26.30) : Read: "record_type=QUR" "reply_reason=0" "agency_time=2020-03-04 08:09:07.832" "bid_price=0" "bid_size=0" "buy_sell=S" "control_ref=6bf2ad42-5def-11ea-a3c0-005056a25061" "counterparty=277" "currency=GBP" "device=Aitken" "epic=LLOY" "isin=GB0008706128" "link=801" "market_maker=801" "offer_price=0.4797" "offer_size=8000" "professional=N" "ps_bid_price=0" "ps_offer_price=0.4797" "quantity=7000" "rsp=WNTSGB2LBIC" "sent_time=2020-03-04 08:09:07.832" "serial_number=199804567" "settlement_date=20200306" "system=Equity" "t+=2" "time=29347" "user=tdw" "user_details=4730512" "quotation_amount=1"</t>
  </si>
  <si>
    <t>04/03/20 08:09:07 8992: Quo reply :                       ICV        GB0008706128                                                    801 7000        B20200306  2     238       47.97              30 LSF     0870612 LLOY.L                        LLOY  GB0008706128    GBXGB   LLOY.L  4730512                    801</t>
  </si>
  <si>
    <t>04/03/20 08:09:08 10288 (10.152.26.31) : Got quo request:                      ICV        GB0002875804                                                        9414        B20200306  2                                     LSD     0287580 BATS.L                        BATS  GB0002875804    GBXGB   BATS.L  0772788                    GBP</t>
  </si>
  <si>
    <t>04/03/20 08:09:08 10288 (10.152.26.31) : Sending....: 0264"record_type=QU" "user=tdw" "counterparty=277" "device=Aitken" "system=Equity" "time=29348" "quantity=9414" "buy_sell=S" "isin=GB0002875804" "epic=BATS" "t+=2" "settlement_date=20200306" "user_details=0772788" "quantity=9414" "buy_sell=S" "currency=GBP" "link="</t>
  </si>
  <si>
    <t>04/03/20 08:09:08 10288 (10.152.26.31) : Read: "record_type=QUR" "reply_reason=0" "agency_time=2020-03-04 08:09:08.769" "bid_price=0" "bid_size=0" "buy_sell=S" "control_ref=6c81c036-5def-11ea-97c2-005056a25061" "counterparty=277" "currency=GBP" "device=Aitken" "epic=BATS" "isin=GB0002875804" "link=801" "market_maker=801" "offer_price=31.09436" "offer_size=9414" "professional=N" "ps_bid_price=0" "ps_offer_price=31.09436" "quantity=9414" "rsp=WNTSGB2LBIC" "sent_time=2020-03-04 08:09:08.769" "serial_number=1715461199" "settlement_date=20200306" "system=Equity" "t+=2" "time=29348" "user=tdw" "user_details=0772788" "quotation_amount=1"</t>
  </si>
  <si>
    <t>04/03/20 08:09:08 10288: Quo reply :                       ICV        GB0002875804                                                    801 9414        B20200306  2     239       3109.436           30 LSD     0287580 BATS.L                        BATS  GB0002875804    GBXGB   BATS.L  0772788                    801</t>
  </si>
  <si>
    <t>04/03/20 08:09:09 9236(10.152.26.31) : Got exe request:                      ICV        GB00B0DG3H29                                                    5.481100           167855      SABGBXA 236                            Y                                                     0507407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871 GB     SXX.L   00</t>
  </si>
  <si>
    <t>04/03/20 08:09:09 9236 (10.152.26.31) : Sending....: 0300"record_type=DE" "user=tdw" "counterparty=277" "device=Aitken" "system=Equity" "time=29349" "isin=GB00B0DG3H29" "epic=SXX" "serial_number=683359497" "buy_sell=B" "quantity=167855" "t+=2" "currency=GBP" "booking_c/party=" "settlement_date=20200306" "user_details=0507407" "market_maker=871" "link="</t>
  </si>
  <si>
    <t>04/03/20 08:09:09 9236 (10.152.26.31) : Read: "record_type=DER" "reply_reason=0" "agency_time=2020-03-04 08:09:09.771" "bargain_ref=080904G06471bf-1" "buy_sell=B" "control_ref=080904G06471bf" "counterparty=277" "currency=GBP" "deal_time=08:09:09" "device=Aitken" "epic=SXX.L" "execution_venue=XLON" "isin=GB00B0DG3H29" "market_maker=871" "price=0.054811" "professional=N" "quantity=167855" "sent_time=2020-03-04 08:09:09.759" "serial_number=080904G06471bf-1" "settlement_date=20200306" "system=Equity" "t+=2" "time=29349" "user=tdw" "user_details=0507407"</t>
  </si>
  <si>
    <t>04/03/20 08:09:09 9236: Exe reply :                       ICV        GB00B0DG3H29                                                    5.481100           167855      SABGBXA 236                            Y                                                     0507407                                                                                                                                                                                                                                                                       080904G06471bf20200306     080904G06420200304080909   5.4811                167855              871 GB     SXX.L   02</t>
  </si>
  <si>
    <t>04/03/20 08:09:12 11996 (10.152.26.32) : Got quo request:                      ICV        GB00BD8QVC95                                                        16382       S20200306  2                                     LSC     BD8QVC9 ESL.L                         ESL   GB00BD8QVC95    GBXGB   ESL.L   4658933                    GBP</t>
  </si>
  <si>
    <t>04/03/20 08:09:12 11996 (10.152.26.32) : Sending....: 0265"record_type=QU" "user=tdw" "counterparty=277" "device=Aitken" "system=Equity" "time=29352" "quantity=16382" "buy_sell=B" "isin=GB00BD8QVC95" "epic=ESL" "t+=2" "settlement_date=20200306" "user_details=4658933" "quantity=16382" "buy_sell=B" "currency=GBP" "link="</t>
  </si>
  <si>
    <t>04/03/20 08:09:12 11996 (10.152.26.32) : Read: "record_type=QUR" "reply_reason=99" "reply_message=No valid quote available" "agency_time=2020-03-04 08:09:12.540" "buy_sell=B" "counterparty=277" "currency=GBP" "device=Aitken" "epic=ESL" "isin=GB00BD8QVC95" "link=000" "professional=N" "quantity=16382" "system=Equity" "t+=2" "time=20200304-08:09:12" "user=tdw" "user_details=4658933"</t>
  </si>
  <si>
    <t>04/03/20 08:09:12 11996: Quo reject : 10099 : No valid quote available</t>
  </si>
  <si>
    <t>04/03/20 08:09:12 5992 (10.152.26.30)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</si>
  <si>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08:09:12 5992 (10.152.26.30) : Sending....: 0264"record_type=QU" "user=tdw" "counterparty=277" "device=Aitken" "system=Equity" "time=29352" "quantity=5000" "buy_sell=S" "isin=JE00B5TT1872" "epic=CEY" "t+=20" "settlement_date=20200401" "user_details=0426920" "quantity=5000" "buy_sell=S" "currency=GBP" "link="</t>
  </si>
  <si>
    <t>04/03/20 08:09:12 5992 (10.152.26.30) : Read: "record_type=QUR" "reply_reason=0" "agency_time=2020-03-04 08:09:13.323" "bid_price=0" "bid_size=0" "buy_sell=S" "control_ref=6f367b64-5def-11ea-bf9d-005056a25061" "counterparty=277" "currency=GBP" "device=Aitken" "epic=CEY" "isin=JE00B5TT1872" "link=331" "market_maker=331" "offer_price=1.4195" "offer_size=50000" "professional=N" "ps_bid_price=0" "ps_offer_price=1.4195" "quantity=5000" "rsp=IHCSGB21002" "sent_time=2020-03-04 08:09:13.323" "serial_number=1558216850" "settlement_date=20200401" "system=Equity" "t+=20" "time=29352" "user=tdw" "user_details=0426920"</t>
  </si>
  <si>
    <t>04/03/20 08:09:12 5992: Quo reply :                       ICV        JE00B5TT1872                                                    331 5000        B20200401 20     240       141.95             30 LSA     B5TT187 CEY.L                         CEY   JE00B5TT1872    GBXJE   CEY.L   0426920                    331</t>
  </si>
  <si>
    <t>04/03/20 08:09:16 12728 (10.152.26.31) : Got quo request:                      ICV        GB0009589168                                                        5960        S20200306  2                                     LSE     0958916 SYM.L                         SYM   GB0009589168    GBXGB   SYM.L   4713996                    GBP</t>
  </si>
  <si>
    <t>04/03/20 08:09:16 12728 (10.152.26.31) : Sending....: 0263"record_type=QU" "user=tdw" "counterparty=277" "device=Aitken" "system=Equity" "time=29356" "quantity=5960" "buy_sell=B" "isin=GB0009589168" "epic=SYM" "t+=2" "settlement_date=20200306" "user_details=4713996" "quantity=5960" "buy_sell=B" "currency=GBP" "link="</t>
  </si>
  <si>
    <t>04/03/20 08:09:16 12728 (10.152.26.31) : Read: "record_type=QUR" "reply_reason=0" "agency_time=2020-03-04 08:09:16.989" "bid_price=0.245501" "bid_size=25000" "buy_sell=B" "control_ref=715dc960-5def-11ea-b925-005056a25061" "counterparty=277" "currency=GBP" "device=Aitken" "epic=SYM.L" "isin=GB0009589168" "link=871" "market_maker=871" "offer_price=0" "offer_size=0" "professional=N" "ps_bid_price=0.245501" "ps_offer_price=0" "quantity=5960" "rsp=PLHCGB3LBIC" "sent_time=2020-03-04 08:09:16.989" "serial_number=341835002" "settlement_date=20200306" "system=Equity" "t+=2" "time=29356" "user=tdw" "user_details=4713996"</t>
  </si>
  <si>
    <t>04/03/20 08:09:16 12728: Quo reply :                       ICV        GB0009589168                                                    871 5960        S20200306  2     241       24.5501            30 LSE     0958916 SYM.L                         SYM   GB0009589168    GBXGB   SYM.L   4713996                    871</t>
  </si>
  <si>
    <t>04/03/20 08:09:18 11108 (10.152.26.32) : Got quo request:                      ICV        JE00B4T3BW64                                                        5000        S20200306  2                                     LSF     B4T3BW6 GLEN.L                        GLEN  JE00B4T3BW64    GBXJE   GLEN.L  0478625                    GBP</t>
  </si>
  <si>
    <t>04/03/20 08:09:18 11108 (10.152.26.32) : Sending....: 0264"record_type=QU" "user=tdw" "counterparty=277" "device=Aitken" "system=Equity" "time=29358" "quantity=5000" "buy_sell=B" "isin=JE00B4T3BW64" "epic=GLEN" "t+=2" "settlement_date=20200306" "user_details=0478625" "quantity=5000" "buy_sell=B" "currency=GBP" "link="</t>
  </si>
  <si>
    <t>04/03/20 08:09:18 11108 (10.152.26.32) : Read: "record_type=QUR" "reply_reason=0" "agency_time=2020-03-04 08:09:18.706" "bid_price=1.9318" "bid_size=10000" "buy_sell=B" "control_ref=726d4452-5def-11ea-9dc8-005056a25061" "counterparty=277" "currency=GBP" "device=Aitken" "epic=GLEN" "isin=JE00B4T3BW64" "link=331" "market_maker=331" "offer_price=0" "offer_size=0" "professional=N" "ps_bid_price=1.9318" "ps_offer_price=0" "quantity=5000" "rsp=IHCSGB21002" "sent_time=2020-03-04 08:09:18.706" "serial_number=1459931467" "settlement_date=20200306" "system=Equity" "t+=2" "time=29358" "user=tdw" "user_details=0478625"</t>
  </si>
  <si>
    <t>04/03/20 08:09:18 11108: Quo reply :                       ICV        JE00B4T3BW64                                                    331 5000        S20200306  2     242       193.18             30 LSF     B4T3BW6 GLEN.L                        GLEN  JE00B4T3BW64    GBXJE   GLEN.L  0478625                    331</t>
  </si>
  <si>
    <t>04/03/20 08:09:19 12900 (10.152.26.30) : Got quo request:                      ICV        GB00B15XDH89                                                        99876       S20200306  2                                     LSC     B15XDH8 GGP.L                         GGP   GB00B15XDH89    GBXGB   GGP.L   4662348                    GBP</t>
  </si>
  <si>
    <t>04/03/20 08:09:19 12900 (10.152.26.30) : Sending....: 0265"record_type=QU" "user=tdw" "counterparty=277" "device=Aitken" "system=Equity" "time=29359" "quantity=99876" "buy_sell=B" "isin=GB00B15XDH89" "epic=GGP" "t+=2" "settlement_date=20200306" "user_details=4662348" "quantity=99876" "buy_sell=B" "currency=GBP" "link="</t>
  </si>
  <si>
    <t>04/03/20 08:09:19 12900 (10.152.26.30) : Read: "record_type=QUR" "reply_reason=0" "agency_time=2020-03-04 08:09:19.953" "bid_price=0.04677" "bid_size=1250000" "buy_sell=B" "control_ref=732c548c-5def-11ea-8bf9-005056a25061" "counterparty=277" "currency=GBP" "device=Aitken" "epic=GGP" "isin=GB00B15XDH89" "link=589" "market_maker=589" "offer_price=0" "offer_size=0" "professional=N" "ps_bid_price=0.04677" "ps_offer_price=0" "quantity=99876" "rsp=SHOCGB21" "sent_time=2020-03-04 08:09:19.953" "serial_number=2017222966" "settlement_date=20200306" "system=Equity" "t+=2" "time=29359" "user=tdw" "user_details=4662348"</t>
  </si>
  <si>
    <t>04/03/20 08:09:19 12900: Quo reply :                       ICV        GB00B15XDH89                                                    589 99876       S20200306  2     243       4.677              30 LSC     B15XDH8 GGP.L                         GGP   GB00B15XDH89    GBXGB   GGP.L   4662348                    589</t>
  </si>
  <si>
    <t>04/03/20 08:09:24 9580 (10.152.26.30) : Got quo request:                      ICV        IE00B7VB3908                                                        436         S20200306  2                                     LSE     B7VB390 3UKS.L                        3UKS  IE00B7VB3908    GBXIE   3UKS.L  4636097                    GBP</t>
  </si>
  <si>
    <t>04/03/20 08:09:24 9580 (10.152.26.30) : Sending....: 0262"record_type=QU" "user=tdw" "counterparty=277" "device=Aitken" "system=Equity" "time=29364" "quantity=436" "buy_sell=B" "isin=IE00B7VB3908" "epic=3UKS" "t+=2" "settlement_date=20200306" "user_details=4636097" "quantity=436" "buy_sell=B" "currency=GBP" "link="</t>
  </si>
  <si>
    <t>04/03/20 08:09:25 9580 (10.152.26.30) : Read: "record_type=QUR" "reply_reason=0" "agency_time=2020-03-04 08:09:25.370" "bid_price=13.25105" "bid_size=11250" "buy_sell=B" "control_ref=76671632-5def-11ea-b7f6-005056a25061" "counterparty=277" "currency=GBP" "device=Aitken" "epic=3UKS" "isin=IE00B7VB3908" "link=801" "market_maker=801" "offer_price=0" "offer_size=0" "professional=N" "ps_bid_price=13.25105" "ps_offer_price=0" "quantity=436" "rsp=WNTSGB2LBIC" "sent_time=2020-03-04 08:09:25.370" "serial_number=707362479" "settlement_date=20200306" "system=Equity" "t+=2" "time=29364" "user=tdw" "user_details=4636097" "quotation_amount=1"</t>
  </si>
  <si>
    <t>04/03/20 08:09:25 9580: Quo reply :                       ICV        IE00B7VB3908                                                    801 436         S20200306  2     244       1325.105           30 LSE     B7VB390 3UKS.L                        3UKS  IE00B7VB3908    GBXIE   3UKS.L  4636097                    801</t>
  </si>
  <si>
    <t>04/03/20 08:09:25 4124 (10.152.26.31) : Got quo request:                      ICV        GB0008854563                                                        322783      S20200306  2                                     LSE     0885456 TYM.L                         TYM   GB0008854563    GBXGB   TYM.L   4700276                    GBP</t>
  </si>
  <si>
    <t>04/03/20 08:09:25 4124 (10.152.26.31) : Sending....: 0267"record_type=QU" "user=tdw" "counterparty=277" "device=Aitken" "system=Equity" "time=29365" "quantity=322783" "buy_sell=B" "isin=GB0008854563" "epic=TYM" "t+=2" "settlement_date=20200306" "user_details=4700276" "quantity=322783" "buy_sell=B" "currency=GBP" "link="</t>
  </si>
  <si>
    <t>04/03/20 08:09:25 4124 (10.152.26.31) : Read: "record_type=QUR" "reply_reason=99" "reply_message=No valid quote available" "agency_time=2020-03-04 08:09:25.757" "buy_sell=B" "counterparty=277" "currency=GBP" "device=Aitken" "epic=TYM" "isin=GB0008854563" "link=000" "professional=N" "quantity=322783" "system=Equity" "t+=2" "time=20200304-08:09:25" "user=tdw" "user_details=4700276"</t>
  </si>
  <si>
    <t>04/03/20 08:09:25 4124: Quo reject : 10099 : No valid quote available</t>
  </si>
  <si>
    <t>04/03/20 08:09:26 10288(10.152.26.31) : Got exe request:                      ICV        JE00B4T3BW64                                                    193.180000         5000        SABGBXA 242                            Y                                                     0478625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331 JE     GLEN.L  00</t>
  </si>
  <si>
    <t>04/03/20 08:09:26 10288 (10.152.26.31) : Sending....: 0300"record_type=DE" "user=tdw" "counterparty=277" "device=Aitken" "system=Equity" "time=29366" "isin=JE00B4T3BW64" "epic=GLEN" "serial_number=1459931467" "buy_sell=B" "quantity=5000" "t+=2" "currency=GBP" "booking_c/party=" "settlement_date=20200306" "user_details=0478625" "market_maker=331" "link="</t>
  </si>
  <si>
    <t>04/03/20 08:09:26 10288 (10.152.26.31) : Read: "record_type=DER" "reply_reason=0" "agency_time=2020-03-04 08:09:27.107" "bargain_ref=0371467695LOA1-1" "buy_sell=B" "control_ref=0066412772LOA1" "counterparty=277" "currency=GBP" "deal_time=08:09:27" "device=Aitken" "epic=GLEN" "execution_venue=XLON" "isin=JE00B4T3BW64" "market_maker=331" "price=1.9318" "professional=N" "quantity=5000" "sent_time=2020-03-04 08:09:26.845" "serial_number=0371467695LOA1-1" "settlement_date=20200306" "system=Equity" "t+=2" "time=29366" "user=tdw" "user_details=0478625"</t>
  </si>
  <si>
    <t>04/03/20 08:09:26 10288: Exe reply :                       ICV        JE00B4T3BW64                                                    193.180000         5000        SABGBXA 242                            Y                                                     0478625                                                                                                                                                                                                                                                                       0371467695LOA120200306     037146769520200304080926   193.18                5000                331 JE     GLEN.L  02</t>
  </si>
  <si>
    <t>04/03/20 08:09:26 6048 (10.152.26.32) : Got quo request:                      ICV        GB0031348658                                                        500         B20200306  2                                     LSF     3134865 BARC.L                        BARC  GB0031348658    GBXGB   BARC.L  4716953                    GBP</t>
  </si>
  <si>
    <t>04/03/20 08:09:26 6048 (10.152.26.32) : Sending....: 0262"record_type=QU" "user=tdw" "counterparty=277" "device=Aitken" "system=Equity" "time=29366" "quantity=500" "buy_sell=S" "isin=GB0031348658" "epic=BARC" "t+=2" "settlement_date=20200306" "user_details=4716953" "quantity=500" "buy_sell=S" "currency=GBP" "link="</t>
  </si>
  <si>
    <t>04/03/20 08:09:26 6048 (10.152.26.32) : Read: "record_type=QUR" "reply_reason=0" "agency_time=2020-03-04 08:09:27.165" "bid_price=0" "bid_size=0" "buy_sell=S" "control_ref=77775f3c-5def-11ea-8076-005056a25061" "counterparty=277" "currency=GBP" "device=Aitken" "epic=BARC" "isin=GB0031348658" "link=801" "market_maker=801" "offer_price=1.3905" "offer_size=4000" "professional=N" "ps_bid_price=0" "ps_offer_price=1.3905" "quantity=500" "rsp=WNTSGB2LBIC" "sent_time=2020-03-04 08:09:27.165" "serial_number=1495128182" "settlement_date=20200306" "system=Equity" "t+=2" "time=29366" "user=tdw" "user_details=4716953" "quotation_amount=1"</t>
  </si>
  <si>
    <t>04/03/20 08:09:26 6048: Quo reply :                       ICV        GB0031348658                                                    801 500         B20200306  2     245       139.05             30 LSF     3134865 BARC.L                        BARC  GB0031348658    GBXGB   BARC.L  4716953                    801</t>
  </si>
  <si>
    <t>04/03/20 08:09:31 11888 (10.152.26.32) : Got quo request:                      ICV        GB0008706128                                                        4000        S20200306  2                                     LSF     0870612 LLOY.L                        LLOY  GB0008706128    GBXGB   LLOY.L  2406870                    GBP</t>
  </si>
  <si>
    <t>04/03/20 08:09:31 11888 (10.152.26.32) : Sending....: 0264"record_type=QU" "user=tdw" "counterparty=277" "device=Aitken" "system=Equity" "time=29371" "quantity=4000" "buy_sell=B" "isin=GB0008706128" "epic=LLOY" "t+=2" "settlement_date=20200306" "user_details=2406870" "quantity=4000" "buy_sell=B" "currency=GBP" "link="</t>
  </si>
  <si>
    <t>04/03/20 08:09:31 11888 (10.152.26.32) : Read: "record_type=QUR" "reply_reason=0" "agency_time=2020-03-04 08:09:31.895" "bid_price=0.48065" "bid_size=8000" "buy_sell=B" "control_ref=7a4a2050-5def-11ea-912e-005056a25061" "counterparty=277" "currency=GBP" "device=Aitken" "epic=LLOY" "isin=GB0008706128" "link=801" "market_maker=801" "offer_price=0" "offer_size=0" "professional=N" "ps_bid_price=0.48065" "ps_offer_price=0" "quantity=4000" "rsp=WNTSGB2LBIC" "sent_time=2020-03-04 08:09:31.895" "serial_number=2093972781" "settlement_date=20200306" "system=Equity" "t+=2" "time=29371" "user=tdw" "user_details=2406870" "quotation_amount=1"</t>
  </si>
  <si>
    <t>04/03/20 08:09:31 11888: Quo reply :                       ICV        GB0008706128                                                    801 4000        S20200306  2     246       48.065             30 LSF     0870612 LLOY.L                        LLOY  GB0008706128    GBXGB   LLOY.L  2406870                    801</t>
  </si>
  <si>
    <t>04/03/20 08:09:31 9236 (10.152.26.31) : Got quo request:                      ICV        GB00BBG9VN75                                                        200         B20200306  2                                     LSD     BBG9VN7 AVV.L                         AVV   GB00BBG9VN75    GBXGB   AVV.L   1057002                    GBP</t>
  </si>
  <si>
    <t>04/03/20 08:09:31 9236 (10.152.26.31) : Sending....: 0261"record_type=QU" "user=tdw" "counterparty=277" "device=Aitken" "system=Equity" "time=29371" "quantity=200" "buy_sell=S" "isin=GB00BBG9VN75" "epic=AVV" "t+=2" "settlement_date=20200306" "user_details=1057002" "quantity=200" "buy_sell=S" "currency=GBP" "link="</t>
  </si>
  <si>
    <t>04/03/20 08:09:31 9236 (10.152.26.31) : Read: "record_type=QUR" "reply_reason=0" "agency_time=2020-03-04 08:09:31.964" "bid_price=0" "bid_size=0" "buy_sell=S" "control_ref=7a51e2a4-5def-11ea-834d-005056a25061" "counterparty=277" "currency=GBP" "device=Aitken" "epic=AVV.L" "isin=GB00BBG9VN75" "link=871" "market_maker=871" "offer_price=45.0638" "offer_size=550" "professional=N" "ps_bid_price=0" "ps_offer_price=45.0638" "quantity=200" "rsp=PLHCGB3LBIC" "sent_time=2020-03-04 08:09:31.964" "serial_number=365923804" "settlement_date=20200306" "system=Equity" "t+=2" "time=29371" "user=tdw" "user_details=1057002"</t>
  </si>
  <si>
    <t>04/03/20 08:09:31 9236: Quo reply :                       ICV        GB00BBG9VN75                                                    871 200         B20200306  2     247       4506.38            30 LSD     BBG9VN7 AVV.L                         AVV   GB00BBG9VN75    GBXGB   AVV.L   1057002                    871</t>
  </si>
  <si>
    <t>04/03/20 08:09:35 8992 (10.152.26.30)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</si>
  <si>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08:09:35 8992 (10.152.26.30) : Sending....: 0264"record_type=QU" "user=tdw" "counterparty=277" "device=Aitken" "system=Equity" "time=29375" "quantity=5000" "buy_sell=S" "isin=JE00B5TT1872" "epic=CEY" "t+=20" "settlement_date=20200401" "user_details=0426920" "quantity=5000" "buy_sell=S" "currency=GBP" "link="</t>
  </si>
  <si>
    <t>04/03/20 08:09:35 8992 (10.152.26.30) : Read: "record_type=QUR" "reply_reason=0" "agency_time=2020-03-04 08:09:35.945" "bid_price=0" "bid_size=0" "buy_sell=S" "control_ref=7cb54928-5def-11ea-b2c1-005056a25061" "counterparty=277" "currency=GBP" "device=Aitken" "epic=CEY" "isin=JE00B5TT1872" "link=331" "market_maker=331" "offer_price=1.4185" "offer_size=50000" "professional=N" "ps_bid_price=0" "ps_offer_price=1.4185" "quantity=5000" "rsp=IHCSGB21002" "sent_time=2020-03-04 08:09:35.945" "serial_number=2120948084" "settlement_date=20200401" "system=Equity" "t+=20" "time=29375" "user=tdw" "user_details=0426920"</t>
  </si>
  <si>
    <t>04/03/20 08:09:35 8992: Quo reply :                       ICV        JE00B5TT1872                                                    331 5000        B20200401 20     248       141.85             30 LSA     B5TT187 CEY.L                         CEY   JE00B5TT1872    GBXJE   CEY.L   0426920                    331</t>
  </si>
  <si>
    <t>04/03/20 08:09:36 11996 (10.152.26.32) : Got quo request:                      ICV        GB00B13GSS58                                                        2500        S20200306  2                                     LSC     B13GSS5 PHD.L                         PHD   GB00B13GSS58    GBXGB   PHD.L   2223855                    GBP</t>
  </si>
  <si>
    <t>04/03/20 08:09:36 11996 (10.152.26.32) : Sending....: 0263"record_type=QU" "user=tdw" "counterparty=277" "device=Aitken" "system=Equity" "time=29376" "quantity=2500" "buy_sell=B" "isin=GB00B13GSS58" "epic=PHD" "t+=2" "settlement_date=20200306" "user_details=2223855" "quantity=2500" "buy_sell=B" "currency=GBP" "link="</t>
  </si>
  <si>
    <t>04/03/20 08:09:36 11996 (10.152.26.32) : Read: "record_type=QUR" "reply_reason=0" "agency_time=2020-03-04 08:09:36.600" "bid_price=0.3302" "bid_size=37500" "buy_sell=B" "control_ref=7d17085c-5def-11ea-ba7f-005056a25061" "counterparty=277" "currency=GBP" "device=Aitken" "epic=PHD" "isin=GB00B13GSS58" "link=801" "market_maker=801" "offer_price=0" "offer_size=0" "professional=N" "ps_bid_price=0.3302" "ps_offer_price=0" "quantity=2500" "rsp=WNTSGB2LBIC" "sent_time=2020-03-04 08:09:36.600" "serial_number=172639711" "settlement_date=20200306" "system=Equity" "t+=2" "time=29376" "user=tdw" "user_details=2223855" "quotation_amount=1"</t>
  </si>
  <si>
    <t>04/03/20 08:09:36 11996: Quo reply :                       ICV        GB00B13GSS58                                                    801 2500        S20200306  2     249       33.02              30 LSC     B13GSS5 PHD.L                         PHD   GB00B13GSS58    GBXGB   PHD.L   2223855                    801</t>
  </si>
  <si>
    <t>04/03/20 08:09:37 12728 (10.152.26.31) : Got quo request:                      ICV        GB00B8YZTJ80                                                        15000       S20200306  2                                     LSC     B8YZTJ8 VRS.L                         VRS   GB00B8YZTJ80    GBXGB   VRS.L   0768849                    GBP</t>
  </si>
  <si>
    <t>04/03/20 08:09:37 12728 (10.152.26.31) : Sending....: 0265"record_type=QU" "user=tdw" "counterparty=277" "device=Aitken" "system=Equity" "time=29377" "quantity=15000" "buy_sell=B" "isin=GB00B8YZTJ80" "epic=VRS" "t+=2" "settlement_date=20200306" "user_details=0768849" "quantity=15000" "buy_sell=B" "currency=GBP" "link="</t>
  </si>
  <si>
    <t>04/03/20 08:09:37 12728 (10.152.26.31) : Read: "record_type=QUR" "reply_reason=99" "reply_message=No valid quote available" "agency_time=2020-03-04 08:09:38.149" "buy_sell=B" "counterparty=277" "currency=GBP" "device=Aitken" "epic=VRS" "isin=GB00B8YZTJ80" "link=000" "professional=N" "quantity=15000" "system=Equity" "t+=2" "time=20200304-08:09:38" "user=tdw" "user_details=0768849"</t>
  </si>
  <si>
    <t>04/03/20 08:09:37 12728: Quo reject : 10099 : No valid quote available</t>
  </si>
  <si>
    <t>04/03/20 08:09:42 5992 (10.152.26.30) : Got quo request:                      ICV        GB0031348658                                                        1427        B20200306  2                                     LSF     3134865 BARC.L                        BARC  GB0031348658    GBXGB   BARC.L  2017042                    GBP</t>
  </si>
  <si>
    <t>04/03/20 08:09:42 5992 (10.152.26.30) : Sending....: 0264"record_type=QU" "user=tdw" "counterparty=277" "device=Aitken" "system=Equity" "time=29382" "quantity=1427" "buy_sell=S" "isin=GB0031348658" "epic=BARC" "t+=2" "settlement_date=20200306" "user_details=2017042" "quantity=1427" "buy_sell=S" "currency=GBP" "link="</t>
  </si>
  <si>
    <t>04/03/20 08:09:42 5992 (10.152.26.30) : Read: "record_type=QUR" "reply_reason=0" "agency_time=2020-03-04 08:09:43.007" "bid_price=0" "bid_size=0" "buy_sell=S" "control_ref=80ea6d8e-5def-11ea-b27f-005056a25061" "counterparty=277" "currency=GBP" "device=Aitken" "epic=BARC" "isin=GB0031348658" "link=801" "market_maker=801" "offer_price=1.3887" "offer_size=4000" "professional=N" "ps_bid_price=0" "ps_offer_price=1.3887" "quantity=1427" "rsp=WNTSGB2LBIC" "sent_time=2020-03-04 08:09:43.007" "serial_number=1629066820" "settlement_date=20200306" "system=Equity" "t+=2" "time=29382" "user=tdw" "user_details=2017042" "quotation_amount=1"</t>
  </si>
  <si>
    <t>04/03/20 08:09:42 5992: Quo reply :                       ICV        GB0031348658                                                    801 1427        B20200306  2     250       138.87             30 LSF     3134865 BARC.L                        BARC  GB0031348658    GBXGB   BARC.L  2017042                    801</t>
  </si>
  <si>
    <t>04/03/20 08:09:43 11108 (10.152.26.32) : Got quo request:                      ICV        GB00BD8QVC95                                                        44          B20200306  2                                     LSC     BD8QVC9 ESL.L                         ESL   GB00BD8QVC95    GBXGB   ESL.L   4613450                    GBP</t>
  </si>
  <si>
    <t>04/03/20 08:09:43 11108 (10.152.26.32) : Sending....: 0259"record_type=QU" "user=tdw" "counterparty=277" "device=Aitken" "system=Equity" "time=29383" "quantity=44" "buy_sell=S" "isin=GB00BD8QVC95" "epic=ESL" "t+=2" "settlement_date=20200306" "user_details=4613450" "quantity=44" "buy_sell=S" "currency=GBP" "link="</t>
  </si>
  <si>
    <t>04/03/20 08:09:43 11108 (10.152.26.32) : Read: "record_type=QUR" "reply_reason=0" "agency_time=2020-03-04 08:09:44.282" "bid_price=0" "bid_size=0" "buy_sell=S" "control_ref=81ac5d7c-5def-11ea-8f7c-005056a25061" "counterparty=277" "currency=GBP" "device=Aitken" "epic=ESL" "isin=GB00BD8QVC95" "link=589" "market_maker=589" "offer_price=0.11675" "offer_size=62500" "professional=N" "ps_bid_price=0" "ps_offer_price=0.11675" "quantity=44" "rsp=SHOCGB21" "sent_time=2020-03-04 08:09:44.282" "serial_number=1357226320" "settlement_date=20200306" "system=Equity" "t+=2" "time=29383" "user=tdw" "user_details=4613450"</t>
  </si>
  <si>
    <t>04/03/20 08:09:43 11108: Quo reply :                       ICV        GB00BD8QVC95                                                    589 44          B20200306  2     251       11.675             30 LSC     BD8QVC9 ESL.L                         ESL   GB00BD8QVC95    GBXGB   ESL.L   4613450                    589</t>
  </si>
  <si>
    <t>04/03/20 08:09:49 6048 (10.152.26.32) : Got quo request:                      ICV        IE00B873CW36                                                        377         B20200306  2                                     LSE     B873CW3 3ITS.L                        3ITS  IE00B873CW36    GBXIE   3ITS.L  0889864                    GBP</t>
  </si>
  <si>
    <t>04/03/20 08:09:49 6048 (10.152.26.32) : Sending....: 0262"record_type=QU" "user=tdw" "counterparty=277" "device=Aitken" "system=Equity" "time=29389" "quantity=377" "buy_sell=S" "isin=IE00B873CW36" "epic=3ITS" "t+=2" "settlement_date=20200306" "user_details=0889864" "quantity=377" "buy_sell=S" "currency=GBP" "link="</t>
  </si>
  <si>
    <t>04/03/20 08:09:49 6048 (10.152.26.32) : Read: "record_type=QUR" "reply_reason=0" "agency_time=2020-03-04 08:09:49.571" "bid_price=0" "bid_size=0" "buy_sell=S" "control_ref=84cff112-5def-11ea-90f6-005056a25061" "counterparty=277" "currency=GBP" "device=Aitken" "epic=3ITS" "isin=IE00B873CW36" "link=801" "market_maker=801" "offer_price=4.6394" "offer_size=4500" "professional=N" "ps_bid_price=0" "ps_offer_price=4.6394" "quantity=377" "rsp=WNTSGB2LBIC" "sent_time=2020-03-04 08:09:49.571" "serial_number=174208524" "settlement_date=20200306" "system=Equity" "t+=2" "time=29389" "user=tdw" "user_details=0889864" "quotation_amount=1"</t>
  </si>
  <si>
    <t>04/03/20 08:09:49 6048: Quo reply :                       ICV        IE00B873CW36                                                    801 377         B20200306  2     252       463.94             30 LSE     B873CW3 3ITS.L                        3ITS  IE00B873CW36    GBXIE   3ITS.L  0889864                    801</t>
  </si>
  <si>
    <t>04/03/20 08:09:49 4124 (10.152.26.31) : Got quo request:                      ICV        GB00B0DG3H29                                                        60000       S20200306  2                                     LSB     B0DG3H2 SXX.L                         SXX   GB00B0DG3H29    GBXGB   SXX.L   4729383                    GBP</t>
  </si>
  <si>
    <t>04/03/20 08:09:49 4124 (10.152.26.31) : Sending....: 0265"record_type=QU" "user=tdw" "counterparty=277" "device=Aitken" "system=Equity" "time=29389" "quantity=60000" "buy_sell=B" "isin=GB00B0DG3H29" "epic=SXX" "t+=2" "settlement_date=20200306" "user_details=4729383" "quantity=60000" "buy_sell=B" "currency=GBP" "link="</t>
  </si>
  <si>
    <t>04/03/20 08:09:49 4124 (10.152.26.31) : Read: "record_type=QUR" "reply_reason=0" "agency_time=2020-03-04 08:09:49.706" "bid_price=0.054811" "bid_size=150000" "buy_sell=B" "control_ref=84e7d5c0-5def-11ea-8659-005056a25061" "counterparty=277" "currency=GBP" "device=Aitken" "epic=SXX" "isin=GB00B0DG3H29" "link=801" "market_maker=801" "offer_price=0" "offer_size=0" "professional=N" "ps_bid_price=0.054811" "ps_offer_price=0" "quantity=60000" "rsp=WNTSGB2LBIC" "sent_time=2020-03-04 08:09:49.706" "serial_number=52541713" "settlement_date=20200306" "system=Equity" "t+=2" "time=29389" "user=tdw" "user_details=4729383" "quotation_amount=1"</t>
  </si>
  <si>
    <t>04/03/20 08:09:49 4124: Quo reply :                       ICV        GB00B0DG3H29                                                    801 60000       S20200306  2     253       5.4811             30 LSB     B0DG3H2 SXX.L                         SXX   GB00B0DG3H29    GBXGB   SXX.L   4729383                    801</t>
  </si>
  <si>
    <t>04/03/20 08:09:49 12900 (10.152.26.30) : Got quo request:                      ICV        GB00B0DG3H29                                                        77706       S20200309  3                                     LSB     B0DG3H2 SXX.L                         SXX   GB00B0DG3H29    GBXGB   SXX.L   0507407                    GBP</t>
  </si>
  <si>
    <t>04/03/20 08:09:49 12900 (10.152.26.30) : Sending....: 0265"record_type=QU" "user=tdw" "counterparty=277" "device=Aitken" "system=Equity" "time=29389" "quantity=77706" "buy_sell=B" "isin=GB00B0DG3H29" "epic=SXX" "t+=3" "settlement_date=20200309" "user_details=0507407" "quantity=77706" "buy_sell=B" "currency=GBP" "link="</t>
  </si>
  <si>
    <t>04/03/20 08:09:49 12900 (10.152.26.30) : Read: "record_type=QUR" "reply_reason=0" "agency_time=2020-03-04 08:09:49.852" "bid_price=0.054811" "bid_size=150000" "buy_sell=B" "control_ref=84fd4e5a-5def-11ea-9b70-005056a25061" "counterparty=277" "currency=GBP" "device=Aitken" "epic=SXX" "isin=GB00B0DG3H29" "link=801" "market_maker=801" "offer_price=0" "offer_size=0" "professional=N" "ps_bid_price=0.054811" "ps_offer_price=0" "quantity=77706" "rsp=WNTSGB2LBIC" "sent_time=2020-03-04 08:09:49.852" "serial_number=298907327" "settlement_date=20200309" "system=Equity" "t+=3" "time=29389" "user=tdw" "user_details=0507407" "quotation_amount=1"</t>
  </si>
  <si>
    <t>04/03/20 08:09:49 12900: Quo reply :                       ICV        GB00B0DG3H29                                                    801 77706       S20200309  3     254       5.4811             30 LSB     B0DG3H2 SXX.L                         SXX   GB00B0DG3H29    GBXGB   SXX.L   0507407                    801</t>
  </si>
  <si>
    <t>04/03/20 08:09:50 10288(10.152.26.31) : Got exe request:                      ICV        IE00B873CW36                                                    463.940000         377         BABGBXA 252                            Y                                                     0889864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IE     3ITS.L  00</t>
  </si>
  <si>
    <t>04/03/20 08:09:50 10288 (10.152.26.31) : Sending....: 0298"record_type=DE" "user=tdw" "counterparty=277" "device=Aitken" "system=Equity" "time=29390" "isin=IE00B873CW36" "epic=3ITS" "serial_number=174208524" "buy_sell=S" "quantity=377" "t+=2" "currency=GBP" "booking_c/party=" "settlement_date=20200306" "user_details=0889864" "market_maker=801" "link="</t>
  </si>
  <si>
    <t>04/03/20 08:09:50 10288 (10.152.26.31) : Read: "record_type=DER" "reply_reason=0" "agency_time=2020-03-04 08:09:50.993" "bargain_ref=1824422381" "buy_sell=S" "control_ref=1824422381" "counterparty=277" "currency=GBP" "deal_time=08:09:50" "device=Aitken" "epic=3ITS" "execution_venue=NEXN" "isin=IE00B873CW36" "market_maker=801" "price=4.6394" "professional=N" "quantity=377." "sent_time=2020-03-04 08:09:50.953" "serial_number=1824422381" "settlement_date=20200306" "system=Equity" "t+=2" "time=29390" "user=tdw" "user_details=0889864" "quotation_amount=1"</t>
  </si>
  <si>
    <t>04/03/20 08:09:50 10288: Exe reply :                       ICV        IE00B873CW36                                                    463.940000         377         BABGBXA 252                            Y                                                     0889864                                                                                                                                                                                                                                                                       1824422381    20200306     182442238120200304080950   463.94                377                 801 IE     3ITS.L  02</t>
  </si>
  <si>
    <t>04/03/20 08:09:53 11888 (10.152.26.32) : Got quo request:                      ICV        GB0002875804                                                        9412        B20200306  2                                     LSD     0287580 BATS.L                        BATS  GB0002875804    GBXGB   BATS.L  0772788                    GBP</t>
  </si>
  <si>
    <t>04/03/20 08:09:53 11888 (10.152.26.32) : Sending....: 0264"record_type=QU" "user=tdw" "counterparty=277" "device=Aitken" "system=Equity" "time=29393" "quantity=9412" "buy_sell=S" "isin=GB0002875804" "epic=BATS" "t+=2" "settlement_date=20200306" "user_details=0772788" "quantity=9412" "buy_sell=S" "currency=GBP" "link="</t>
  </si>
  <si>
    <t>04/03/20 08:09:53 11888 (10.152.26.32) : Read: "record_type=QUR" "reply_reason=0" "agency_time=2020-03-04 08:09:53.897" "bid_price=0" "bid_size=0" "buy_sell=S" "control_ref=8766a7ae-5def-11ea-baea-005056a25061" "counterparty=277" "currency=GBP" "device=Aitken" "epic=BATS" "isin=GB0002875804" "link=801" "market_maker=801" "offer_price=31.0029" "offer_size=9412" "professional=N" "ps_bid_price=0" "ps_offer_price=31.0029" "quantity=9412" "rsp=WNTSGB2LBIC" "sent_time=2020-03-04 08:09:53.897" "serial_number=365324649" "settlement_date=20200306" "system=Equity" "t+=2" "time=29393" "user=tdw" "user_details=0772788" "quotation_amount=1"</t>
  </si>
  <si>
    <t>04/03/20 08:09:53 11888: Quo reply :                       ICV        GB0002875804                                                    801 9412        B20200306  2     255       3100.29            30 LSD     0287580 BATS.L                        BATS  GB0002875804    GBXGB   BATS.L  0772788                    801</t>
  </si>
  <si>
    <t>04/03/20 08:09:55 9580 (10.152.26.30) : Got quo request:                      ICV        GB0007188757                                                        1029        B20200306  2                                     LSD     0718875 RIO.L                         RIO   GB0007188757    GBXGB   RIO.L   2253073                    GBP</t>
  </si>
  <si>
    <t>04/03/20 08:09:55 9580 (10.152.26.30) : Sending....: 0263"record_type=QU" "user=tdw" "counterparty=277" "device=Aitken" "system=Equity" "time=29395" "quantity=1029" "buy_sell=S" "isin=GB0007188757" "epic=RIO" "t+=2" "settlement_date=20200306" "user_details=2253073" "quantity=1029" "buy_sell=S" "currency=GBP" "link="</t>
  </si>
  <si>
    <t>04/03/20 08:09:55 9580 (10.152.26.30) : Read: "record_type=QUR" "reply_reason=0" "agency_time=2020-03-04 08:09:55.806" "bid_price=0" "bid_size=0" "buy_sell=S" "control_ref=8888bb0e-5def-11ea-8f5f-005056a25061" "counterparty=277" "currency=GBP" "device=Aitken" "epic=RIO" "isin=GB0007188757" "link=801" "market_maker=801" "offer_price=38.65881" "offer_size=1029" "professional=N" "ps_bid_price=0" "ps_offer_price=38.65881" "quantity=1029" "rsp=WNTSGB2LBIC" "sent_time=2020-03-04 08:09:55.806" "serial_number=1808177861" "settlement_date=20200306" "system=Equity" "t+=2" "time=29395" "user=tdw" "user_details=2253073" "quotation_amount=1"</t>
  </si>
  <si>
    <t>04/03/20 08:09:55 9580: Quo reply :                       ICV        GB0007188757                                                    801 1029        B20200306  2     256       3865.881           30 LSD     0718875 RIO.L                         RIO   GB0007188757    GBXGB   RIO.L   2253073                    801</t>
  </si>
  <si>
    <t>04/03/20 08:09:57 9236 (10.152.26.31)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</si>
  <si>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08:09:57 9236 (10.152.26.31) : Sending....: 0264"record_type=QU" "user=tdw" "counterparty=277" "device=Aitken" "system=Equity" "time=29397" "quantity=1500" "buy_sell=B" "isin=GB0031348658" "epic=BARC" "t+=2" "settlement_date=20200306" "user_details=5231771" "quantity=1500" "buy_sell=B" "currency=GBP" "link="</t>
  </si>
  <si>
    <t>04/03/20 08:09:57 9236 (10.152.26.31) : Read: "record_type=QUR" "reply_reason=0" "agency_time=2020-03-04 08:09:57.592" "bid_price=1.3872" "bid_size=4000" "buy_sell=B" "control_ref=899b3f94-5def-11ea-bf50-005056a25061" "counterparty=277" "currency=GBP" "device=Aitken" "epic=BARC" "isin=GB0031348658" "link=801" "market_maker=801" "offer_price=0" "offer_size=0" "professional=N" "ps_bid_price=1.3872" "ps_offer_price=0" "quantity=1500" "rsp=WNTSGB2LBIC" "sent_time=2020-03-04 08:09:57.592" "serial_number=481051289" "settlement_date=20200306" "system=Equity" "t+=2" "time=29397" "user=tdw" "user_details=5231771" "quotation_amount=1"</t>
  </si>
  <si>
    <t>04/03/20 08:09:57 9236: Quo reply :                       ICV        GB0031348658                                                    801 1500        S20200306  2     257       138.72             30 LSF     3134865 BARC.L                        BARC  GB0031348658    GBXGB   BARC.L  5231771                    801</t>
  </si>
  <si>
    <t>04/03/20 08:09:58 8992(10.152.26.30) : Got exe request:                      ICV        GB00B0DG3H29                                                    5.481100           77706       SABGBXA 254                            Y                                                     0507407                                                                                                                                                                                                                                                                                     20200309                                                                          801 GB     SXX.L   00</t>
  </si>
  <si>
    <t>04/03/20 08:09:58 8992 (10.152.26.30) : Sending....: 0299"record_type=DE" "user=tdw" "counterparty=277" "device=Aitken" "system=Equity" "time=29398" "isin=GB00B0DG3H29" "epic=SXX" "serial_number=298907327" "buy_sell=B" "quantity=77706" "t+=3" "currency=GBP" "booking_c/party=" "settlement_date=20200309" "user_details=0507407" "market_maker=801" "link="</t>
  </si>
  <si>
    <t>04/03/20 08:09:58 8992 (10.152.26.30) : Read: "record_type=DER" "reply_reason=999" "agency_time=2020-03-04 08:09:58.786" "bargain_ref=29398786-04/03/20-08:09:58" "buy_sell=B" "control_ref=29398786-04/03/20-08:09:58" "counterparty=277" "currency=GBP" "deal_time=08:09:58" "device=Aitken" "epic=SXX" "isin=GB00B0DG3H29" "market_maker=801" "price=0" "professional=N" "quantity=0" "sent_time=2020-03-04 08:09:58.754" "serial_number=29398786-04/03/20-08:09:58" "settlement_date=20200309" "system=Equity" "t+=3" "time=29398" "user=tdw" "user_details=0507407" "reply_message=205 - "</t>
  </si>
  <si>
    <t>04/03/20 08:09:58 8992: Exe rejected : 10999 : 205 -</t>
  </si>
  <si>
    <t>04/03/20 08:10:00 5992 (10.152.26.30)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</si>
  <si>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08:10:00 5992 (10.152.26.30) : Sending....: 0264"record_type=QU" "user=tdw" "counterparty=277" "device=Aitken" "system=Equity" "time=29400" "quantity=1500" "buy_sell=B" "isin=GB0031348658" "epic=BARC" "t+=2" "settlement_date=20200306" "user_details=5231771" "quantity=1500" "buy_sell=B" "currency=GBP" "link="</t>
  </si>
  <si>
    <t>04/03/20 08:10:00 5992 (10.152.26.30) : Read: "record_type=QUR" "reply_reason=0" "agency_time=2020-03-04 08:10:00.552" "bid_price=1.3872" "bid_size=4000" "buy_sell=B" "control_ref=8b5e8fac-5def-11ea-b865-005056a25061" "counterparty=277" "currency=GBP" "device=Aitken" "epic=BARC" "isin=GB0031348658" "link=801" "market_maker=801" "offer_price=0" "offer_size=0" "professional=N" "ps_bid_price=1.3872" "ps_offer_price=0" "quantity=1500" "rsp=WNTSGB2LBIC" "sent_time=2020-03-04 08:10:00.552" "serial_number=263718624" "settlement_date=20200306" "system=Equity" "t+=2" "time=29400" "user=tdw" "user_details=5231771" "quotation_amount=1"</t>
  </si>
  <si>
    <t>04/03/20 08:10:00 5992: Quo reply :                       ICV        GB0031348658                                                    801 1500        S20200306  2     258       138.72             30 LSF     3134865 BARC.L                        BARC  GB0031348658    GBXGB   BARC.L  5231771                    801</t>
  </si>
  <si>
    <t>04/03/20 08:10:02 11996 (10.152.26.32) : Got quo request:                      ICV        GB00BYQB9V88                                                        3564        B20200306  2                                     LSA     BYQB9V8 TIFS.L                        TIFS  GB00BYQB9V88    GBXGB   TIFS.L  1058005                    GBP</t>
  </si>
  <si>
    <t>04/03/20 08:10:02 11996 (10.152.26.32) : Sending....: 0264"record_type=QU" "user=tdw" "counterparty=277" "device=Aitken" "system=Equity" "time=29402" "quantity=3564" "buy_sell=S" "isin=GB00BYQB9V88" "epic=TIFS" "t+=2" "settlement_date=20200306" "user_details=1058005" "quantity=3564" "buy_sell=S" "currency=GBP" "link="</t>
  </si>
  <si>
    <t>04/03/20 08:10:03 11996 (10.152.26.32) : Read: "record_type=QUR" "reply_reason=0" "agency_time=2020-03-04 08:10:03.905" "bid_price=0" "bid_size=0" "buy_sell=S" "control_ref=8d10c0cc-5def-11ea-82b5-005056a25061" "counterparty=277" "currency=GBP" "device=Aitken" "epic=TIFS.L" "isin=GB00BYQB9V88" "link=871" "market_maker=871" "offer_price=1.939723" "offer_size=11250" "professional=N" "ps_bid_price=0" "ps_offer_price=1.939723" "quantity=3564" "rsp=PLHCGB3LBIC" "sent_time=2020-03-04 08:10:03.905" "serial_number=756595741" "settlement_date=20200306" "system=Equity" "t+=2" "time=29402" "user=tdw" "user_details=1058005"</t>
  </si>
  <si>
    <t>04/03/20 08:10:03 11996: Quo reply :                       ICV        GB00BYQB9V88                                                    871 3564        B20200306  2     259       193.9723           30 LSA     BYQB9V8 TIFS.L                        TIFS  GB00BYQB9V88    GBXGB   TIFS.L  1058005                    871</t>
  </si>
  <si>
    <t>04/03/20 08:10:03 12728 (10.152.26.31) : Got quo request:                      ICV        GB0008854563                                                        400000      S20200306  2                                     LSE     0885456 TYM.L                         TYM   GB0008854563    GBXGB   TYM.L   1063496                    GBP</t>
  </si>
  <si>
    <t>04/03/20 08:10:03 12728 (10.152.26.31) : Sending....: 0267"record_type=QU" "user=tdw" "counterparty=277" "device=Aitken" "system=Equity" "time=29403" "quantity=400000" "buy_sell=B" "isin=GB0008854563" "epic=TYM" "t+=2" "settlement_date=20200306" "user_details=1063496" "quantity=400000" "buy_sell=B" "currency=GBP" "link="</t>
  </si>
  <si>
    <t>04/03/20 08:10:03 12728 (10.152.26.31) : Read: "record_type=QUR" "reply_reason=0" "agency_time=2020-03-04 08:10:03.953" "bid_price=0.004561" "bid_size=5000000" "buy_sell=B" "control_ref=8d6643e4-5def-11ea-ae62-005056a25061" "counterparty=277" "currency=GBP" "device=Aitken" "epic=TYM.L" "isin=GB0008854563" "link=871" "market_maker=871" "offer_price=0" "offer_size=0" "professional=N" "ps_bid_price=0.004561" "ps_offer_price=0" "quantity=400000" "rsp=PLHCGB3LBIC" "sent_time=2020-03-04 08:10:03.953" "serial_number=1774749352" "settlement_date=20200306" "system=Equity" "t+=2" "time=29403" "user=tdw" "user_details=1063496"</t>
  </si>
  <si>
    <t>04/03/20 08:10:03 12728: Quo reply :                       ICV        GB0008854563                                                    871 400000      S20200306  2     260       0.4561             30 LSE     0885456 TYM.L                         TYM   GB0008854563    GBXGB   TYM.L   1063496                    871</t>
  </si>
  <si>
    <t>04/03/20 08:10:06 12900 (10.152.26.30) : Got quo request:                      ICV        GB00B0DG3H29                                                        100000      S20200306  2                                     LSB     B0DG3H2 SXX.L                         SXX   GB00B0DG3H29    GBXGB   SXX.L   1035199                    GBP</t>
  </si>
  <si>
    <t>04/03/20 08:10:06 12900 (10.152.26.30) : Sending....: 0267"record_type=QU" "user=tdw" "counterparty=277" "device=Aitken" "system=Equity" "time=29406" "quantity=100000" "buy_sell=B" "isin=GB00B0DG3H29" "epic=SXX" "t+=2" "settlement_date=20200306" "user_details=1035199" "quantity=100000" "buy_sell=B" "currency=GBP" "link="</t>
  </si>
  <si>
    <t>04/03/20 08:10:06 12900 (10.152.26.30) : Read: "record_type=QUR" "reply_reason=0" "agency_time=2020-03-04 08:10:06.822" "bid_price=0.054811" "bid_size=150000" "buy_sell=B" "control_ref=8f1b7466-5def-11ea-814a-005056a25061" "counterparty=277" "currency=GBP" "device=Aitken" "epic=SXX" "isin=GB00B0DG3H29" "link=801" "market_maker=801" "offer_price=0" "offer_size=0" "professional=N" "ps_bid_price=0.054811" "ps_offer_price=0" "quantity=100000" "rsp=WNTSGB2LBIC" "sent_time=2020-03-04 08:10:06.822" "serial_number=41858133" "settlement_date=20200306" "system=Equity" "t+=2" "time=29406" "user=tdw" "user_details=1035199" "quotation_amount=1"</t>
  </si>
  <si>
    <t>04/03/20 08:10:06 12900: Quo reply :                       ICV        GB00B0DG3H29                                                    801 100000      S20200306  2     261       5.4811             30 LSB     B0DG3H2 SXX.L                         SXX   GB00B0DG3H29    GBXGB   SXX.L   1035199                    801</t>
  </si>
  <si>
    <t>04/03/20 08:10:07 11108 (10.152.26.32) : Got quo request:                      ICV        GB00BDR05C01                                                        2400        B20200306  2                                     LSD     BDR05C0 NG..L                         NG.   GB00BDR05C01    GBXGB   NG..L   5232379                    GBP</t>
  </si>
  <si>
    <t>04/03/20 08:10:07 11108 (10.152.26.32) : Sending....: 0263"record_type=QU" "user=tdw" "counterparty=277" "device=Aitken" "system=Equity" "time=29407" "quantity=2400" "buy_sell=S" "isin=GB00BDR05C01" "epic=NG." "t+=2" "settlement_date=20200306" "user_details=5232379" "quantity=2400" "buy_sell=S" "currency=GBP" "link="</t>
  </si>
  <si>
    <t>04/03/20 08:10:07 11108 (10.152.26.32) : Read: "record_type=QUR" "reply_reason=0" "agency_time=2020-03-04 08:10:08.021" "bid_price=0" "bid_size=0" "buy_sell=S" "control_ref=8fd105d8-5def-11ea-8d04-005056a25061" "counterparty=277" "currency=GBP" "device=Aitken" "epic=NG..L" "isin=GB00BDR05C01" "link=871" "market_maker=871" "offer_price=10.07806" "offer_size=2400" "professional=N" "ps_bid_price=0" "ps_offer_price=10.07806" "quantity=2400" "rsp=PLHCGB3LBIC" "sent_time=2020-03-04 08:10:08.021" "serial_number=166351863" "settlement_date=20200306" "system=Equity" "t+=2" "time=29407" "user=tdw" "user_details=5232379"</t>
  </si>
  <si>
    <t>04/03/20 08:10:07 11108: Quo reply :                       ICV        GB00BDR05C01                                                    871 2400        B20200306  2     262       1007.806           30 LSD     BDR05C0 NG..L                         NG.   GB00BDR05C01    GBXGB   NG..L   5232379                    871</t>
  </si>
  <si>
    <t>04/03/20 08:10:09 4124(10.152.26.31) : Got exe request:                      ICV        GB0008854563                                                    0.456100           400000      SABGBXA 260                            Y                                                     1063496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871 GB     TYM.L   00</t>
  </si>
  <si>
    <t>04/03/20 08:10:09 4124 (10.152.26.31) : Sending....: 0301"record_type=DE" "user=tdw" "counterparty=277" "device=Aitken" "system=Equity" "time=29409" "isin=GB0008854563" "epic=TYM" "serial_number=1774749352" "buy_sell=B" "quantity=400000" "t+=2" "currency=GBP" "booking_c/party=" "settlement_date=20200306" "user_details=1063496" "market_maker=871" "link="</t>
  </si>
  <si>
    <t>04/03/20 08:10:09 4124 (10.152.26.31) : Read: "record_type=DER" "reply_reason=0" "agency_time=2020-03-04 08:10:10.134" "bargain_ref=081003G0647a56-1" "buy_sell=B" "control_ref=081003G0647a56" "counterparty=277" "currency=GBP" "deal_time=08:10:10" "device=Aitken" "epic=TYM.L" "execution_venue=AIMX" "isin=GB0008854563" "market_maker=871" "price=0.004561" "professional=N" "quantity=400000" "sent_time=2020-03-04 08:10:10.111" "serial_number=081003G0647a56-1" "settlement_date=20200306" "system=Equity" "t+=2" "time=29409" "user=tdw" "user_details=1063496"</t>
  </si>
  <si>
    <t>04/03/20 08:10:09 4124: Exe reply :                       ICV        GB0008854563                                                    0.456100           400000      SABGBXA 260                            Y                                                     1063496                                                                                                                                                                                                                                                                       081003G0647a5620200306     081003G06420200304081009   0.4561                400000              871 GB     TYM.L   02</t>
  </si>
  <si>
    <t>04/03/20 08:10:11 9580 (10.152.26.30)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</si>
  <si>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08:10:11 9580 (10.152.26.30) : Sending....: 0264"record_type=QU" "user=tdw" "counterparty=277" "device=Aitken" "system=Equity" "time=29411" "quantity=1500" "buy_sell=B" "isin=GB0031348658" "epic=BARC" "t+=2" "settlement_date=20200306" "user_details=5231771" "quantity=1500" "buy_sell=B" "currency=GBP" "link="</t>
  </si>
  <si>
    <t>04/03/20 08:10:11 9580 (10.152.26.30) : Read: "record_type=QUR" "reply_reason=0" "agency_time=2020-03-04 08:10:11.572" "bid_price=1.385" "bid_size=4000" "buy_sell=B" "control_ref=91f055e4-5def-11ea-9a43-005056a25061" "counterparty=277" "currency=GBP" "device=Aitken" "epic=BARC" "isin=GB0031348658" "link=801" "market_maker=801" "offer_price=0" "offer_size=0" "professional=N" "ps_bid_price=1.385" "ps_offer_price=0" "quantity=1500" "rsp=WNTSGB2LBIC" "sent_time=2020-03-04 08:10:11.572" "serial_number=2035327153" "settlement_date=20200306" "system=Equity" "t+=2" "time=29411" "user=tdw" "user_details=5231771" "quotation_amount=1"</t>
  </si>
  <si>
    <t>04/03/20 08:10:11 9580: Quo reply :                       ICV        GB0031348658                                                    801 1500        S20200306  2     263       138.5              30 LSF     3134865 BARC.L                        BARC  GB0031348658    GBXGB   BARC.L  5231771                    801</t>
  </si>
  <si>
    <t>04/03/20 08:10:12 10288 (10.152.26.31) : Got quo request:                      ICV        GB00B019KW72                                                        20000       B20200401 20                                     LSD     B019KW7 SBRY.L                        SBRY  GB00B019KW72    GBXGB   SBRY.L  9303189                    GBP</t>
  </si>
  <si>
    <t>04/03/20 08:10:12 10288 (10.152.26.31) : Sending....: 0267"record_type=QU" "user=tdw" "counterparty=277" "device=Aitken" "system=Equity" "time=29412" "quantity=20000" "buy_sell=S" "isin=GB00B019KW72" "epic=SBRY" "t+=20" "settlement_date=20200401" "user_details=9303189" "quantity=20000" "buy_sell=S" "currency=GBP" "link="</t>
  </si>
  <si>
    <t>04/03/20 08:10:12 10288 (10.152.26.31) : Read: "record_type=QUR" "reply_reason=0" "agency_time=2020-03-04 08:10:12.720" "bid_price=0" "bid_size=0" "buy_sell=S" "control_ref=929e92b2-5def-11ea-9099-005056a25061" "counterparty=277" "currency=GBP" "device=Aitken" "epic=SBRY" "isin=GB00B019KW72" "link=331" "market_maker=331" "offer_price=2.064" "offer_size=75000" "professional=N" "ps_bid_price=0" "ps_offer_price=2.064" "quantity=20000" "rsp=IHCSGB21002" "sent_time=2020-03-04 08:10:12.720" "serial_number=1069484567" "settlement_date=20200401" "system=Equity" "t+=20" "time=29412" "user=tdw" "user_details=9303189"</t>
  </si>
  <si>
    <t>04/03/20 08:10:12 10288: Quo reply :                       ICV        GB00B019KW72                                                    331 20000       B20200401 20     264       206.4              30 LSD     B019KW7 SBRY.L                        SBRY  GB00B019KW72    GBXGB   SBRY.L  9303189                    331</t>
  </si>
  <si>
    <t>04/03/20 08:10:14 6048 (10.152.26.32) : Got quo request:                      ICV        FR0010397232                                                        944         B20200306  2                                     LSC     BF16YK9 NCYT.L                        NCYT  FR0010397232    GBXGB   NCYT.L  2226401                    GBP</t>
  </si>
  <si>
    <t>04/03/20 08:10:14 6048 (10.152.26.32) : Sending....: 0262"record_type=QU" "user=tdw" "counterparty=277" "device=Aitken" "system=Equity" "time=29414" "quantity=944" "buy_sell=S" "isin=FR0010397232" "epic=NCYT" "t+=2" "settlement_date=20200306" "user_details=2226401" "quantity=944" "buy_sell=S" "currency=GBP" "link="</t>
  </si>
  <si>
    <t>04/03/20 08:10:15 6048 (10.152.26.32) : Read: "record_type=QUR" "reply_reason=0" "agency_time=2020-03-04 08:10:15.681" "bid_price=0" "bid_size=0" "buy_sell=S" "control_ref=942fc3d0-5def-11ea-9fb8-005056a25061" "counterparty=277" "currency=GBP" "device=Aitken" "epic=NCYT" "isin=FR0010397232" "link=006" "market_maker=006" "offer_price=1.0767" "offer_size=25000" "professional=N" "ps_bid_price=0" "ps_offer_price=1.0767" "quantity=944" "rsp=STNOGB21" "sent_time=2020-03-04 08:10:15.681" "serial_number=1711921944" "settlement_date=20200306" "system=Equity" "t+=2" "time=29414" "user=tdw" "user_details=2226401"</t>
  </si>
  <si>
    <t>04/03/20 08:10:15 6048: Quo reply :                       ICV        FR0010397232                                                    006 944         B20200306  2     265       107.67             30 LSC     BF16YK9 NCYT.L                        NCYT  FR0010397232    GBXGB   NCYT.L  2226401                    006</t>
  </si>
  <si>
    <t>04/03/20 08:10:15 8992 (10.152.26.30) : Got quo request:                      ICV        GB0002875804                                                        9414        B20200306  2                                     LSD     0287580 BATS.L                        BATS  GB0002875804    GBXGB   BATS.L  0772788                    GBP</t>
  </si>
  <si>
    <t>04/03/20 08:10:15 8992 (10.152.26.30) : Sending....: 0264"record_type=QU" "user=tdw" "counterparty=277" "device=Aitken" "system=Equity" "time=29415" "quantity=9414" "buy_sell=S" "isin=GB0002875804" "epic=BATS" "t+=2" "settlement_date=20200306" "user_details=0772788" "quantity=9414" "buy_sell=S" "currency=GBP" "link="</t>
  </si>
  <si>
    <t>04/03/20 08:10:15 8992 (10.152.26.30) : Read: "record_type=QUR" "reply_reason=0" "agency_time=2020-03-04 08:10:16.297" "bid_price=0" "bid_size=0" "buy_sell=S" "control_ref=94c18d60-5def-11ea-97f5-005056a25061" "counterparty=277" "currency=GBP" "device=Aitken" "epic=BATS" "isin=GB0002875804" "link=801" "market_maker=801" "offer_price=31.00212" "offer_size=9414" "professional=N" "ps_bid_price=0" "ps_offer_price=31.00212" "quantity=9414" "rsp=WNTSGB2LBIC" "sent_time=2020-03-04 08:10:16.297" "serial_number=1560453114" "settlement_date=20200306" "system=Equity" "t+=2" "time=29415" "user=tdw" "user_details=0772788" "quotation_amount=1"</t>
  </si>
  <si>
    <t>04/03/20 08:10:15 8992: Quo reply :                       ICV        GB0002875804                                                    801 9414        B20200306  2     266       3100.212           30 LSD     0287580 BATS.L                        BATS  GB0002875804    GBXGB   BATS.L  0772788                    801</t>
  </si>
  <si>
    <t>04/03/20 08:10:18 5992 (10.152.26.30) : Got quo request:                      ICV        GB0031348658                                                        1420        B20200306  2                                     LSF     3134865 BARC.L                        BARC  GB0031348658    GBXGB   BARC.L  2017042                    GBP</t>
  </si>
  <si>
    <t>04/03/20 08:10:18 5992 (10.152.26.30) : Sending....: 0264"record_type=QU" "user=tdw" "counterparty=277" "device=Aitken" "system=Equity" "time=29418" "quantity=1420" "buy_sell=S" "isin=GB0031348658" "epic=BARC" "t+=2" "settlement_date=20200306" "user_details=2017042" "quantity=1420" "buy_sell=S" "currency=GBP" "link="</t>
  </si>
  <si>
    <t>04/03/20 08:10:18 5992 (10.152.26.30) : Read: "record_type=QUR" "reply_reason=0" "agency_time=2020-03-04 08:10:19.040" "bid_price=0" "bid_size=0" "buy_sell=S" "control_ref=966383e4-5def-11ea-a5ad-005056a25061" "counterparty=277" "currency=GBP" "device=Aitken" "epic=BARC" "isin=GB0031348658" "link=801" "market_maker=801" "offer_price=1.3847" "offer_size=4000" "professional=N" "ps_bid_price=0" "ps_offer_price=1.3847" "quantity=1420" "rsp=WNTSGB2LBIC" "sent_time=2020-03-04 08:10:19.040" "serial_number=1155909095" "settlement_date=20200306" "system=Equity" "t+=2" "time=29418" "user=tdw" "user_details=2017042" "quotation_amount=1"</t>
  </si>
  <si>
    <t>04/03/20 08:10:18 5992: Quo reply :                       ICV        GB0031348658                                                    801 1420        B20200306  2     267       138.47             30 LSF     3134865 BARC.L                        BARC  GB0031348658    GBXGB   BARC.L  2017042                    801</t>
  </si>
  <si>
    <t>04/03/20 08:10:18 11888 (10.152.26.32)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</si>
  <si>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08:10:18 11888 (10.152.26.32) : Sending....: 0264"record_type=QU" "user=tdw" "counterparty=277" "device=Aitken" "system=Equity" "time=29418" "quantity=1500" "buy_sell=B" "isin=GB0031348658" "epic=BARC" "t+=2" "settlement_date=20200306" "user_details=5231771" "quantity=1500" "buy_sell=B" "currency=GBP" "link="</t>
  </si>
  <si>
    <t>04/03/20 08:10:19 11888 (10.152.26.32) : Read: "record_type=QUR" "reply_reason=0" "agency_time=2020-03-04 08:10:19.436" "bid_price=1.3847" "bid_size=4000" "buy_sell=B" "control_ref=969dda6c-5def-11ea-9ccd-005056a25061" "counterparty=277" "currency=GBP" "device=Aitken" "epic=BARC" "isin=GB0031348658" "link=801" "market_maker=801" "offer_price=0" "offer_size=0" "professional=N" "ps_bid_price=1.3847" "ps_offer_price=0" "quantity=1500" "rsp=WNTSGB2LBIC" "sent_time=2020-03-04 08:10:19.436" "serial_number=1252268514" "settlement_date=20200306" "system=Equity" "t+=2" "time=29418" "user=tdw" "user_details=5231771" "quotation_amount=1"</t>
  </si>
  <si>
    <t>04/03/20 08:10:19 11888: Quo reply :                       ICV        GB0031348658                                                    801 1500        S20200306  2     268       138.47             30 LSF     3134865 BARC.L                        BARC  GB0031348658    GBXGB   BARC.L  5231771                    801</t>
  </si>
  <si>
    <t>04/03/20 08:10:21 9236 (10.152.26.31) : Got quo request:                      ICV        GB00B0DG3H29                                                        106272      B20200306  2                                     LSB     B0DG3H2 SXX.L                         SXX   GB00B0DG3H29    GBXGB   SXX.L   0895003                    GBP</t>
  </si>
  <si>
    <t>04/03/20 08:10:21 9236 (10.152.26.31) : Sending....: 0267"record_type=QU" "user=tdw" "counterparty=277" "device=Aitken" "system=Equity" "time=29421" "quantity=106272" "buy_sell=S" "isin=GB00B0DG3H29" "epic=SXX" "t+=2" "settlement_date=20200306" "user_details=0895003" "quantity=106272" "buy_sell=S" "currency=GBP" "link="</t>
  </si>
  <si>
    <t>04/03/20 08:10:21 9236 (10.152.26.31) : Read: "record_type=QUR" "reply_reason=0" "agency_time=2020-03-04 08:10:22.310" "bid_price=0" "bid_size=0" "buy_sell=S" "control_ref=985746cc-5def-11ea-9a79-005056a25061" "counterparty=277" "currency=GBP" "device=Aitken" "epic=SXX.L" "isin=GB00B0DG3H29" "link=871" "market_maker=871" "offer_price=0.054845" "offer_size=1000000" "professional=N" "ps_bid_price=0" "ps_offer_price=0.054845" "quantity=106272" "rsp=PLHCGB3LBIC" "sent_time=2020-03-04 08:10:22.310" "serial_number=1614454399" "settlement_date=20200306" "system=Equity" "t+=2" "time=29421" "user=tdw" "user_details=0895003"</t>
  </si>
  <si>
    <t>04/03/20 08:10:21 9236: Quo reply :                       ICV        GB00B0DG3H29                                                    871 106272      B20200306  2     269       5.4845             30 LSB     B0DG3H2 SXX.L                         SXX   GB00B0DG3H29    GBXGB   SXX.L   0895003                    871</t>
  </si>
  <si>
    <t>04/03/20 08:10:23 12900 (10.152.26.30) : Got quo request:                      ICV        GB0006834344                                                        100000      B20200311  5                                     LSB     0683434 INTU.L                        INTU  GB0006834344    GBXGB   INTU.L  3286052                    GBP</t>
  </si>
  <si>
    <t>04/03/20 08:10:23 12900 (10.152.26.30) : Sending....: 0268"record_type=QU" "user=tdw" "counterparty=277" "device=Aitken" "system=Equity" "time=29423" "quantity=100000" "buy_sell=S" "isin=GB0006834344" "epic=INTU" "t+=5" "settlement_date=20200311" "user_details=3286052" "quantity=100000" "buy_sell=S" "currency=GBP" "link="</t>
  </si>
  <si>
    <t>04/03/20 08:10:23 12900 (10.152.26.30) : Read: "record_type=QUR" "reply_reason=99" "reply_message=No valid quote available" "agency_time=2020-03-04 08:10:24.021" "buy_sell=S" "counterparty=277" "currency=GBP" "device=Aitken" "epic=INTU" "isin=GB0006834344" "link=000" "professional=N" "quantity=100000" "system=Equity" "t+=5" "time=20200304-08:10:23" "user=tdw" "user_details=3286052"</t>
  </si>
  <si>
    <t>04/03/20 08:10:23 12900: Quo reject : 10099 : No valid quote available</t>
  </si>
  <si>
    <t>04/03/20 08:10:25 11996 (10.152.26.32) : Got quo request:                      ICV        GB0006834344                                                        30000       B20200401 20                                     LSB     0683434 INTU.L                        INTU  GB0006834344    GBXGB   INTU.L  0575591                    GBP</t>
  </si>
  <si>
    <t>04/03/20 08:10:25 11996 (10.152.26.32) : Sending....: 0267"record_type=QU" "user=tdw" "counterparty=277" "device=Aitken" "system=Equity" "time=29425" "quantity=30000" "buy_sell=S" "isin=GB0006834344" "epic=INTU" "t+=20" "settlement_date=20200401" "user_details=0575591" "quantity=30000" "buy_sell=S" "currency=GBP" "link="</t>
  </si>
  <si>
    <t>04/03/20 08:10:25 11996 (10.152.26.32) : Read: "record_type=QUR" "reply_reason=99" "reply_message=No valid quote available" "agency_time=2020-03-04 08:10:26.332" "buy_sell=S" "counterparty=277" "currency=GBP" "device=Aitken" "epic=INTU" "isin=GB0006834344" "link=000" "professional=N" "quantity=30000" "system=Equity" "t+=20" "time=20200304-08:10:26" "user=tdw" "user_details=0575591"</t>
  </si>
  <si>
    <t>04/03/20 08:10:25 11996: Quo reject : 10099 : No valid quote available</t>
  </si>
  <si>
    <t>04/03/20 08:10:27 12728 (10.152.26.31) : Got quo request:                      ICV        GB0031348658                                                        1433        B20200306  2                                     LSF     3134865 BARC.L                        BARC  GB0031348658    GBXGB   BARC.L  2017042                    GBP</t>
  </si>
  <si>
    <t>04/03/20 08:10:27 12728 (10.152.26.31) : Sending....: 0264"record_type=QU" "user=tdw" "counterparty=277" "device=Aitken" "system=Equity" "time=29427" "quantity=1433" "buy_sell=S" "isin=GB0031348658" "epic=BARC" "t+=2" "settlement_date=20200306" "user_details=2017042" "quantity=1433" "buy_sell=S" "currency=GBP" "link="</t>
  </si>
  <si>
    <t>04/03/20 08:10:27 12728 (10.152.26.31) : Read: "record_type=QUR" "reply_reason=0" "agency_time=2020-03-04 08:10:27.541" "bid_price=0" "bid_size=0" "buy_sell=S" "control_ref=9b718f70-5def-11ea-a25f-005056a25061" "counterparty=277" "currency=GBP" "device=Aitken" "epic=BARC" "isin=GB0031348658" "link=801" "market_maker=801" "offer_price=1.3833" "offer_size=4000" "professional=N" "ps_bid_price=0" "ps_offer_price=1.3833" "quantity=1433" "rsp=WNTSGB2LBIC" "sent_time=2020-03-04 08:10:27.541" "serial_number=1421985189" "settlement_date=20200306" "system=Equity" "t+=2" "time=29427" "user=tdw" "user_details=2017042" "quotation_amount=1"</t>
  </si>
  <si>
    <t>04/03/20 08:10:27 12728: Quo reply :                       ICV        GB0031348658                                                    801 1433        B20200306  2     270       138.33             30 LSF     3134865 BARC.L                        BARC  GB0031348658    GBXGB   BARC.L  2017042                    801</t>
  </si>
  <si>
    <t>04/03/20 08:10:27 9580 (10.152.26.30) : Got quo request:                      ICV        JE00B4T3BW64                                                        5000        B20200318 10                                     LSF     B4T3BW6 GLEN.L                        GLEN  JE00B4T3BW64    GBXJE   GLEN.L  8062478                    GBP</t>
  </si>
  <si>
    <t>04/03/20 08:10:27 9580 (10.152.26.30) : Sending....: 0265"record_type=QU" "user=tdw" "counterparty=277" "device=Aitken" "system=Equity" "time=29427" "quantity=5000" "buy_sell=S" "isin=JE00B4T3BW64" "epic=GLEN" "t+=10" "settlement_date=20200318" "user_details=8062478" "quantity=5000" "buy_sell=S" "currency=GBP" "link="</t>
  </si>
  <si>
    <t>04/03/20 08:10:27 9580 (10.152.26.30) : Read: "record_type=QUR" "reply_reason=0" "agency_time=2020-03-04 08:10:27.821" "bid_price=0" "bid_size=0" "buy_sell=S" "control_ref=9b9f1ab2-5def-11ea-aef8-005056a25061" "counterparty=277" "currency=GBP" "device=Aitken" "epic=GLEN" "isin=JE00B4T3BW64" "link=331" "market_maker=331" "offer_price=1.9256" "offer_size=100000" "professional=N" "ps_bid_price=0" "ps_offer_price=1.9256" "quantity=5000" "rsp=IHCSGB21002" "sent_time=2020-03-04 08:10:27.821" "serial_number=813668861" "settlement_date=20200318" "system=Equity" "t+=10" "time=29427" "user=tdw" "user_details=8062478"</t>
  </si>
  <si>
    <t>04/03/20 08:10:27 9580: Quo reply :                       ICV        JE00B4T3BW64                                                    331 5000        B20200318 10     271       192.56             30 LSF     B4T3BW6 GLEN.L                        GLEN  JE00B4T3BW64    GBXJE   GLEN.L  8062478                    331</t>
  </si>
  <si>
    <t>04/03/20 08:10:32 4124 (10.152.26.31) : Got quo request:                      ICV        GB00BLDYK618                                                        163         B20200306  2                                     LSD     BLDYK61 SMT.L                         SMT   GB00BLDYK618    GBXGB   SMT.L   4727054                    GBP</t>
  </si>
  <si>
    <t>04/03/20 08:10:32 4124 (10.152.26.31) : Sending....: 0261"record_type=QU" "user=tdw" "counterparty=277" "device=Aitken" "system=Equity" "time=29432" "quantity=163" "buy_sell=S" "isin=GB00BLDYK618" "epic=SMT" "t+=2" "settlement_date=20200306" "user_details=4727054" "quantity=163" "buy_sell=S" "currency=GBP" "link="</t>
  </si>
  <si>
    <t>04/03/20 08:10:32 4124 (10.152.26.31) : Read: "record_type=QUR" "reply_reason=0" "agency_time=2020-03-04 08:10:32.567" "bid_price=0" "bid_size=0" "buy_sell=S" "control_ref=9e733d86-5def-11ea-a8d1-005056a25061" "counterparty=277" "currency=GBP" "device=Aitken" "epic=SMT" "isin=GB00BLDYK618" "link=801" "market_maker=801" "offer_price=6.01847" "offer_size=15000" "professional=N" "ps_bid_price=0" "ps_offer_price=6.01847" "quantity=163" "rsp=WNTSGB2LBIC" "sent_time=2020-03-04 08:10:32.567" "serial_number=470673054" "settlement_date=20200306" "system=Equity" "t+=2" "time=29432" "user=tdw" "user_details=4727054" "quotation_amount=1"</t>
  </si>
  <si>
    <t>04/03/20 08:10:32 4124: Quo reply :                       ICV        GB00BLDYK618                                                    801 163         B20200306  2     272       601.847            30 LSD     BLDYK61 SMT.L                         SMT   GB00BLDYK618    GBXGB   SMT.L   4727054                    801</t>
  </si>
  <si>
    <t>04/03/20 08:10:33 11108 (10.152.26.32) : Got quo request:                      ICV        GB00B0DG3H29                                                        106272      B20200306  2                                     LSB     B0DG3H2 SXX.L                         SXX   GB00B0DG3H29    GBXGB   SXX.L   0895003                    GBP</t>
  </si>
  <si>
    <t>04/03/20 08:10:33 11108 (10.152.26.32) : Sending....: 0267"record_type=QU" "user=tdw" "counterparty=277" "device=Aitken" "system=Equity" "time=29433" "quantity=106272" "buy_sell=S" "isin=GB00B0DG3H29" "epic=SXX" "t+=2" "settlement_date=20200306" "user_details=0895003" "quantity=106272" "buy_sell=S" "currency=GBP" "link="</t>
  </si>
  <si>
    <t>04/03/20 08:10:33 11108 (10.152.26.32) : Read: "record_type=QUR" "reply_reason=0" "agency_time=2020-03-04 08:10:33.539" "bid_price=0" "bid_size=0" "buy_sell=S" "control_ref=9f08b686-5def-11ea-a2b3-005056a25061" "counterparty=277" "currency=GBP" "device=Aitken" "epic=SXX.L" "isin=GB00B0DG3H29" "link=871" "market_maker=871" "offer_price=0.054845" "offer_size=1000000" "professional=N" "ps_bid_price=0" "ps_offer_price=0.054845" "quantity=106272" "rsp=PLHCGB3LBIC" "sent_time=2020-03-04 08:10:33.539" "serial_number=227643612" "settlement_date=20200306" "system=Equity" "t+=2" "time=29433" "user=tdw" "user_details=0895003"</t>
  </si>
  <si>
    <t>04/03/20 08:10:33 11108: Quo reply :                       ICV        GB00B0DG3H29                                                    871 106272      B20200306  2     273       5.4845             30 LSB     B0DG3H2 SXX.L                         SXX   GB00B0DG3H29    GBXGB   SXX.L   0895003                    871</t>
  </si>
  <si>
    <t>04/03/20 08:10:33 8992 (10.152.26.30) : Got quo request:                      ICV        FR0010397232                                                        1588        S20200316  8                                     LSC     BF16YK9 NCYT.L                        NCYT  FR0010397232    GBXGB   NCYT.L  0292773                    GBP</t>
  </si>
  <si>
    <t>04/03/20 08:10:33 8992 (10.152.26.30) : Sending....: 0264"record_type=QU" "user=tdw" "counterparty=277" "device=Aitken" "system=Equity" "time=29433" "quantity=1588" "buy_sell=B" "isin=FR0010397232" "epic=NCYT" "t+=8" "settlement_date=20200316" "user_details=0292773" "quantity=1588" "buy_sell=B" "currency=GBP" "link="</t>
  </si>
  <si>
    <t>04/03/20 08:10:33 8992 (10.152.26.30) : Read: "record_type=QUR" "reply_reason=0" "agency_time=2020-03-04 08:10:34.351" "bid_price=1.05" "bid_size=125000" "buy_sell=B" "control_ref=9f7ffbb0-5def-11ea-957e-005056a25061" "counterparty=277" "currency=GBP" "device=Aitken" "epic=NCYT" "isin=FR0010397232" "link=635" "market_maker=635" "offer_price=0" "offer_size=0" "professional=N" "ps_bid_price=1.05" "ps_offer_price=0" "quantity=1588" "rsp=CFEQGB21EPE" "sent_time=2020-03-04 08:10:34.351" "serial_number=830635578" "settlement_date=20200316" "system=Equity" "t+=8" "time=29433" "user=tdw" "user_details=0292773"</t>
  </si>
  <si>
    <t>04/03/20 08:10:33 8992: Quo reply :                       ICV        FR0010397232                                                    635 1588        S20200316  8     274       105                30 LSC     BF16YK9 NCYT.L                        NCYT  FR0010397232    GBXGB   NCYT.L  0292773                    635</t>
  </si>
  <si>
    <t>04/03/20 08:10:36 6048 (10.152.26.32) : Got quo request:                      ICV        FR0010397232                                                        9495        B20200306  2                                     LSC     BF16YK9 NCYT.L                        NCYT  FR0010397232    GBXGB   NCYT.L  4695231                    GBP</t>
  </si>
  <si>
    <t>04/03/20 08:10:36 6048 (10.152.26.32) : Sending....: 0264"record_type=QU" "user=tdw" "counterparty=277" "device=Aitken" "system=Equity" "time=29436" "quantity=9495" "buy_sell=S" "isin=FR0010397232" "epic=NCYT" "t+=2" "settlement_date=20200306" "user_details=4695231" "quantity=9495" "buy_sell=S" "currency=GBP" "link="</t>
  </si>
  <si>
    <t>04/03/20 08:10:36 6048 (10.152.26.32) : Read: "record_type=QUR" "reply_reason=0" "agency_time=2020-03-04 08:10:37.173" "bid_price=0" "bid_size=0" "buy_sell=S" "control_ref=a131bb9c-5def-11ea-8b79-005056a25061" "counterparty=277" "currency=GBP" "device=Aitken" "epic=NCYT" "isin=FR0010397232" "link=006" "market_maker=006" "offer_price=1.0744" "offer_size=25000" "professional=N" "ps_bid_price=0" "ps_offer_price=1.0744" "quantity=9495" "rsp=STNOGB21" "sent_time=2020-03-04 08:10:37.173" "serial_number=1064278164" "settlement_date=20200306" "system=Equity" "t+=2" "time=29436" "user=tdw" "user_details=4695231"</t>
  </si>
  <si>
    <t>04/03/20 08:10:36 6048: Quo reply :                       ICV        FR0010397232                                                    006 9495        B20200306  2     275       107.44             30 LSC     BF16YK9 NCYT.L                        NCYT  FR0010397232    GBXGB   NCYT.L  4695231                    006</t>
  </si>
  <si>
    <t>04/03/20 08:10:39 10288 (10.152.26.31) : Got quo request:                      ICV        GB00B0HZPV38                                                        2500        B20200401 20                                     LSA     B0HZPV3 KAZ.L                         KAZ   GB00B0HZPV38    GBXGB   KAZ.L   0880300                    GBP</t>
  </si>
  <si>
    <t>04/03/20 08:10:39 10288 (10.152.26.31) : Sending....: 0264"record_type=QU" "user=tdw" "counterparty=277" "device=Aitken" "system=Equity" "time=29439" "quantity=2500" "buy_sell=S" "isin=GB00B0HZPV38" "epic=KAZ" "t+=20" "settlement_date=20200401" "user_details=0880300" "quantity=2500" "buy_sell=S" "currency=GBP" "link="</t>
  </si>
  <si>
    <t>04/03/20 08:10:39 10288 (10.152.26.31) : Read: "record_type=QUR" "reply_reason=0" "agency_time=2020-03-04 08:10:39.469" "bid_price=0" "bid_size=0" "buy_sell=S" "control_ref=a2903acc-5def-11ea-867c-005056a25061" "counterparty=277" "currency=GBP" "device=Aitken" "epic=KAZ" "isin=GB00B0HZPV38" "link=331" "market_maker=331" "offer_price=4.228" "offer_size=10000" "professional=N" "ps_bid_price=0" "ps_offer_price=4.228" "quantity=2500" "rsp=IHCSGB21002" "sent_time=2020-03-04 08:10:39.469" "serial_number=1745052842" "settlement_date=20200401" "system=Equity" "t+=20" "time=29439" "user=tdw" "user_details=0880300"</t>
  </si>
  <si>
    <t>04/03/20 08:10:39 10288: Quo reply :                       ICV        GB00B0HZPV38                                                    331 2500        B20200401 20     276       422.8              30 LSA     B0HZPV3 KAZ.L                         KAZ   GB00B0HZPV38    GBXGB   KAZ.L   0880300                    331</t>
  </si>
  <si>
    <t>04/03/20 08:10:40 5992 (10.152.26.30) : Got quo request:                      ICV        GB00BLDYK618                                                        820         B20200306  2                                     LSD     BLDYK61 SMT.L                         SMT   GB00BLDYK618    GBXGB   SMT.L   4734993                    GBP</t>
  </si>
  <si>
    <t>04/03/20 08:10:40 5992 (10.152.26.30) : Sending....: 0261"record_type=QU" "user=tdw" "counterparty=277" "device=Aitken" "system=Equity" "time=29440" "quantity=820" "buy_sell=S" "isin=GB00BLDYK618" "epic=SMT" "t+=2" "settlement_date=20200306" "user_details=4734993" "quantity=820" "buy_sell=S" "currency=GBP" "link="</t>
  </si>
  <si>
    <t>04/03/20 08:10:41 5992 (10.152.26.30) : Read: "record_type=QUR" "reply_reason=0" "agency_time=2020-03-04 08:10:41.397" "bid_price=0" "bid_size=0" "buy_sell=S" "control_ref=a3a41cee-5def-11ea-a70e-005056a25061" "counterparty=277" "currency=GBP" "device=Aitken" "epic=SMT" "isin=GB00BLDYK618" "link=801" "market_maker=801" "offer_price=6.01771" "offer_size=15000" "professional=N" "ps_bid_price=0" "ps_offer_price=6.01771" "quantity=820" "rsp=WNTSGB2LBIC" "sent_time=2020-03-04 08:10:41.397" "serial_number=877183302" "settlement_date=20200306" "system=Equity" "t+=2" "time=29440" "user=tdw" "user_details=4734993" "quotation_amount=1"</t>
  </si>
  <si>
    <t>04/03/20 08:10:41 5992: Quo reply :                       ICV        GB00BLDYK618                                                    801 820         B20200306  2     277       601.771            30 LSD     BLDYK61 SMT.L                         SMT   GB00BLDYK618    GBXGB   SMT.L   4734993                    801</t>
  </si>
  <si>
    <t>04/03/20 08:10:44 11888 (10.152.26.32) : Got quo request:                      ICV        GB0031348658                                                        5000        B20200306  2                                     LSF     3134865 BARC.L                        BARC  GB0031348658    GBXGB   BARC.L  0119793                    GBP</t>
  </si>
  <si>
    <t>04/03/20 08:10:44 11888 (10.152.26.32) : Sending....: 0264"record_type=QU" "user=tdw" "counterparty=277" "device=Aitken" "system=Equity" "time=29444" "quantity=5000" "buy_sell=S" "isin=GB0031348658" "epic=BARC" "t+=2" "settlement_date=20200306" "user_details=0119793" "quantity=5000" "buy_sell=S" "currency=GBP" "link="</t>
  </si>
  <si>
    <t>04/03/20 08:10:44 11888 (10.152.26.32) : Read: "record_type=QUR" "reply_reason=0" "agency_time=2020-03-04 08:10:44.703" "bid_price=0" "bid_size=0" "buy_sell=S" "control_ref=a5af2542-5def-11ea-a17e-005056a25061" "counterparty=277" "currency=GBP" "device=Aitken" "epic=BARC" "isin=GB0031348658" "link=393" "market_maker=393" "offer_price=1.3824" "offer_size=1000000" "professional=N" "ps_bid_price=0" "ps_offer_price=1.3824" "quantity=5000" "rsp=JEFFGB2X" "sent_time=2020-03-04 08:10:44.703" "serial_number=1723174865" "settlement_date=20200306" "system=Equity" "t+=2" "time=29444" "user=tdw" "user_details=0119793"</t>
  </si>
  <si>
    <t>04/03/20 08:10:44 11888: Quo reply :                       ICV        GB0031348658                                                    393 5000        B20200306  2     278       138.24             30 LSF     3134865 BARC.L                        BARC  GB0031348658    GBXGB   BARC.L  0119793                    393</t>
  </si>
  <si>
    <t>04/03/20 08:10:44 9236 (10.152.26.31) : Got quo request:                      ICV        GB00BYV2MV74                                                        2500        S20200306  2                                     LSB     BYV2MV7 PURP.L                        PURP  GB00BYV2MV74    GBXGB   PURP.L  4641908                    GBP</t>
  </si>
  <si>
    <t>04/03/20 08:10:44 9236 (10.152.26.31) : Sending....: 0264"record_type=QU" "user=tdw" "counterparty=277" "device=Aitken" "system=Equity" "time=29444" "quantity=2500" "buy_sell=B" "isin=GB00BYV2MV74" "epic=PURP" "t+=2" "settlement_date=20200306" "user_details=4641908" "quantity=2500" "buy_sell=B" "currency=GBP" "link="</t>
  </si>
  <si>
    <t>04/03/20 08:10:44 9236 (10.152.26.31) : Read: "record_type=QUR" "reply_reason=99" "reply_message=No valid quote available" "agency_time=2020-03-04 08:10:45.142" "buy_sell=B" "counterparty=277" "currency=GBP" "device=Aitken" "epic=PURP" "isin=GB00BYV2MV74" "link=000" "professional=N" "quantity=2500" "system=Equity" "t+=2" "time=20200304-08:10:45" "user=tdw" "user_details=4641908"</t>
  </si>
  <si>
    <t>04/03/20 08:10:44 9236: Quo reject : 10099 : No valid quote available</t>
  </si>
  <si>
    <t>04/03/20 08:10:45 12900 (10.152.26.30) : Got quo request:                      ICV        GB0002162385                                                        7451        B20200306  2                                     LSD     0216238 AV..L                         AV.   GB0002162385    GBXGB   AV..L   2233258                    GBP</t>
  </si>
  <si>
    <t>04/03/20 08:10:45 12900 (10.152.26.30) : Sending....: 0263"record_type=QU" "user=tdw" "counterparty=277" "device=Aitken" "system=Equity" "time=29445" "quantity=7451" "buy_sell=S" "isin=GB0002162385" "epic=AV." "t+=2" "settlement_date=20200306" "user_details=2233258" "quantity=7451" "buy_sell=S" "currency=GBP" "link="</t>
  </si>
  <si>
    <t>04/03/20 08:10:45 12900 (10.152.26.30) : Read: "record_type=QUR" "reply_reason=0" "agency_time=2020-03-04 08:10:46.200" "bid_price=0" "bid_size=0" "buy_sell=S" "control_ref=a6919404-5def-11ea-a0ad-005056a25061" "counterparty=277" "currency=GBP" "device=Aitken" "epic=AV..L" "isin=GB0002162385" "link=871" "market_maker=871" "offer_price=3.462788" "offer_size=7500" "professional=N" "ps_bid_price=0" "ps_offer_price=3.462788" "quantity=7451" "rsp=PLHCGB3LBIC" "sent_time=2020-03-04 08:10:46.200" "serial_number=1634845693" "settlement_date=20200306" "system=Equity" "t+=2" "time=29445" "user=tdw" "user_details=2233258"</t>
  </si>
  <si>
    <t>04/03/20 08:10:45 12900: Quo reply :                       ICV        GB0002162385                                                    871 7451        B20200306  2     279       346.2788           30 LSD     0216238 AV..L                         AV.   GB0002162385    GBXGB   AV..L   2233258                    871</t>
  </si>
  <si>
    <t>04/03/20 08:10:49 11996 (10.152.26.32) : Got quo request:                      ICV        IE00B7VB3908                                                        371         B20200306  2                                     LSE     B7VB390 3UKS.L                        3UKS  IE00B7VB3908    GBXIE   3UKS.L  1030906                    GBP</t>
  </si>
  <si>
    <t>04/03/20 08:10:49 11996 (10.152.26.32) : Sending....: 0262"record_type=QU" "user=tdw" "counterparty=277" "device=Aitken" "system=Equity" "time=29449" "quantity=371" "buy_sell=S" "isin=IE00B7VB3908" "epic=3UKS" "t+=2" "settlement_date=20200306" "user_details=1030906" "quantity=371" "buy_sell=S" "currency=GBP" "link="</t>
  </si>
  <si>
    <t>04/03/20 08:10:49 11996 (10.152.26.32) : Read: "record_type=QUR" "reply_reason=0" "agency_time=2020-03-04 08:10:49.514" "bid_price=0" "bid_size=0" "buy_sell=S" "control_ref=a88cbb30-5def-11ea-9b5b-005056a25061" "counterparty=277" "currency=GBP" "device=Aitken" "epic=3UKS" "isin=IE00B7VB3908" "link=801" "market_maker=801" "offer_price=13.43835" "offer_size=11250" "professional=N" "ps_bid_price=0" "ps_offer_price=13.43835" "quantity=371" "rsp=WNTSGB2LBIC" "sent_time=2020-03-04 08:10:49.514" "serial_number=1523451795" "settlement_date=20200306" "system=Equity" "t+=2" "time=29449" "user=tdw" "user_details=1030906" "quotation_amount=1"</t>
  </si>
  <si>
    <t>04/03/20 08:10:49 11996: Quo reply :                       ICV        IE00B7VB3908                                                    801 371         B20200306  2     280       1343.835           30 LSE     B7VB390 3UKS.L                        3UKS  IE00B7VB3908    GBXIE   3UKS.L  1030906                    801</t>
  </si>
  <si>
    <t>04/03/20 08:10:50 9580 (10.152.26.30) : Got quo request:                      ICV        JE00B4T3BW64                                                        7000        B20200306  2                                     LSF     B4T3BW6 GLEN.L                        GLEN  JE00B4T3BW64    GBXJE   GLEN.L  1009147                    GBP</t>
  </si>
  <si>
    <t>04/03/20 08:10:50 9580 (10.152.26.30) : Sending....: 0264"record_type=QU" "user=tdw" "counterparty=277" "device=Aitken" "system=Equity" "time=29450" "quantity=7000" "buy_sell=S" "isin=JE00B4T3BW64" "epic=GLEN" "t+=2" "settlement_date=20200306" "user_details=1009147" "quantity=7000" "buy_sell=S" "currency=GBP" "link="</t>
  </si>
  <si>
    <t>04/03/20 08:10:50 9580 (10.152.26.30) : Read: "record_type=QUR" "reply_reason=0" "agency_time=2020-03-04 08:10:50.509" "bid_price=0" "bid_size=0" "buy_sell=S" "control_ref=a92613c0-5def-11ea-8123-005056a25061" "counterparty=277" "currency=GBP" "device=Aitken" "epic=GLEN.L" "isin=JE00B4T3BW64" "link=871" "market_maker=871" "offer_price=1.921595" "offer_size=13000" "professional=N" "ps_bid_price=0" "ps_offer_price=1.921595" "quantity=7000" "rsp=PLHCGB3LBIC" "sent_time=2020-03-04 08:10:50.509" "serial_number=92767455" "settlement_date=20200306" "system=Equity" "t+=2" "time=29450" "user=tdw" "user_details=1009147"</t>
  </si>
  <si>
    <t>04/03/20 08:10:50 9580: Quo reply :                       ICV        JE00B4T3BW64                                                    871 7000        B20200306  2     281       192.1595           30 LSF     B4T3BW6 GLEN.L                        GLEN  JE00B4T3BW64    GBXJE   GLEN.L  1009147                    871</t>
  </si>
  <si>
    <t>04/03/20 08:10:52 12728 (10.152.26.31) : Got quo request:                      ICV        GB0008706128                                                        7000        B20200306  2                                     LSF     0870612 LLOY.L                        LLOY  GB0008706128    GBXGB   LLOY.L  4730512                    GBP</t>
  </si>
  <si>
    <t>04/03/20 08:10:52 12728 (10.152.26.31) : Sending....: 0264"record_type=QU" "user=tdw" "counterparty=277" "device=Aitken" "system=Equity" "time=29452" "quantity=7000" "buy_sell=S" "isin=GB0008706128" "epic=LLOY" "t+=2" "settlement_date=20200306" "user_details=4730512" "quantity=7000" "buy_sell=S" "currency=GBP" "link="</t>
  </si>
  <si>
    <t>04/03/20 08:10:52 12728 (10.152.26.31) : Read: "record_type=QUR" "reply_reason=0" "agency_time=2020-03-04 08:10:52.485" "bid_price=0" "bid_size=0" "buy_sell=S" "control_ref=aa52fc4a-5def-11ea-959a-005056a25061" "counterparty=277" "currency=GBP" "device=Aitken" "epic=LLOY" "isin=GB0008706128" "link=801" "market_maker=801" "offer_price=0.47803" "offer_size=8000" "professional=N" "ps_bid_price=0" "ps_offer_price=0.47803" "quantity=7000" "rsp=WNTSGB2LBIC" "sent_time=2020-03-04 08:10:52.485" "serial_number=903633152" "settlement_date=20200306" "system=Equity" "t+=2" "time=29452" "user=tdw" "user_details=4730512" "quotation_amount=1"</t>
  </si>
  <si>
    <t>04/03/20 08:10:52 12728: Quo reply :                       ICV        GB0008706128                                                    801 7000        B20200306  2     282       47.803             30 LSF     0870612 LLOY.L                        LLOY  GB0008706128    GBXGB   LLOY.L  4730512                    801</t>
  </si>
  <si>
    <t>04/03/20 08:10:53 8992 (10.152.26.30) : Got quo request:                      ICV        GB0006825383                                                        838         B20200306  2                                     LSD     0682538 PSN.L                         PSN   GB0006825383    GBXGB   PSN.L   2009815                    GBP</t>
  </si>
  <si>
    <t>04/03/20 08:10:53 8992 (10.152.26.30) : Sending....: 0261"record_type=QU" "user=tdw" "counterparty=277" "device=Aitken" "system=Equity" "time=29453" "quantity=838" "buy_sell=S" "isin=GB0006825383" "epic=PSN" "t+=2" "settlement_date=20200306" "user_details=2009815" "quantity=838" "buy_sell=S" "currency=GBP" "link="</t>
  </si>
  <si>
    <t>04/03/20 08:10:53 8992 (10.152.26.30) : Read: "record_type=QUR" "reply_reason=0" "agency_time=2020-03-04 08:10:53.688" "bid_price=0" "bid_size=0" "buy_sell=S" "control_ref=ab04bdae-5def-11ea-bcef-005056a25061" "counterparty=277" "currency=GBP" "device=Aitken" "epic=PSN.L" "isin=GB0006825383" "link=871" "market_maker=871" "offer_price=29.155725" "offer_size=854" "professional=N" "ps_bid_price=0" "ps_offer_price=29.155725" "quantity=838" "rsp=PLHCGB3LBIC" "sent_time=2020-03-04 08:10:53.688" "serial_number=605218759" "settlement_date=20200306" "system=Equity" "t+=2" "time=29453" "user=tdw" "user_details=2009815"</t>
  </si>
  <si>
    <t>04/03/20 08:10:53 8992: Quo reply :                       ICV        GB0006825383                                                    871 838         B20200306  2     283       2915.5725          30 LSD     0682538 PSN.L                         PSN   GB0006825383    GBXGB   PSN.L   2009815                    871</t>
  </si>
  <si>
    <t>04/03/20 08:10:56 11108(10.152.26.32) : Got exe request:                      ICV        GB0008706128                                                    47.803000          7000        BABGBXA 282                            Y                                                     4730512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GB     LLOY.L  00</t>
  </si>
  <si>
    <t>04/03/20 08:10:56 11108 (10.152.26.32) : Sending....: 0299"record_type=DE" "user=tdw" "counterparty=277" "device=Aitken" "system=Equity" "time=29456" "isin=GB0008706128" "epic=LLOY" "serial_number=903633152" "buy_sell=S" "quantity=7000" "t+=2" "currency=GBP" "booking_c/party=" "settlement_date=20200306" "user_details=4730512" "market_maker=801" "link="</t>
  </si>
  <si>
    <t>04/03/20 08:10:56 11108 (10.152.26.32) : Read: "record_type=DER" "reply_reason=999" "agency_time=2020-03-04 08:10:56.957" "bargain_ref=29456957-04/03/20-08:10:56" "buy_sell=S" "control_ref=29456957-04/03/20-08:10:56" "counterparty=277" "currency=GBP" "deal_time=08:10:56" "device=Aitken" "epic=LLOY" "isin=GB0008706128" "market_maker=801" "price=0" "professional=N" "quantity=0" "sent_time=2020-03-04 08:10:56.935" "serial_number=29456957-04/03/20-08:10:56" "settlement_date=20200306" "system=Equity" "t+=2" "time=29456" "user=tdw" "user_details=4730512" "reply_message=215 - "</t>
  </si>
  <si>
    <t>04/03/20 08:10:56 11108: Exe rejected : 10999 : 215 -</t>
  </si>
  <si>
    <t>04/03/20 08:10:56 4124 (10.152.26.31) : Got quo request:                      ICV        GB0006834344                                                        50000       B20200306  2                                     LSB     0683434 INTU.L                        INTU  GB0006834344    GBXGB   INTU.L  2239579                    GBP</t>
  </si>
  <si>
    <t>04/03/20 08:10:56 4124 (10.152.26.31) : Sending....: 0266"record_type=QU" "user=tdw" "counterparty=277" "device=Aitken" "system=Equity" "time=29456" "quantity=50000" "buy_sell=S" "isin=GB0006834344" "epic=INTU" "t+=2" "settlement_date=20200306" "user_details=2239579" "quantity=50000" "buy_sell=S" "currency=GBP" "link="</t>
  </si>
  <si>
    <t>04/03/20 08:10:56 4124 (10.152.26.31) : Read: "record_type=QUR" "reply_reason=99" "reply_message=No valid quote available" "agency_time=2020-03-04 08:10:57.190" "buy_sell=S" "counterparty=277" "currency=GBP" "device=Aitken" "epic=INTU" "isin=GB0006834344" "link=000" "professional=N" "quantity=50000" "system=Equity" "t+=2" "time=20200304-08:10:57" "user=tdw" "user_details=2239579"</t>
  </si>
  <si>
    <t>04/03/20 08:10:56 4124: Quo reject : 10099 : No valid quote available</t>
  </si>
  <si>
    <t>04/03/20 08:10:59 5992 (10.152.26.30) : Got quo request:                      ICV        GB00BDR05C01                                                        2400        B20200306  2                                     LSD     BDR05C0 NG..L                         NG.   GB00BDR05C01    GBXGB   NG..L   5232379                    GBP</t>
  </si>
  <si>
    <t>04/03/20 08:10:59 5992 (10.152.26.30) : Sending....: 0263"record_type=QU" "user=tdw" "counterparty=277" "device=Aitken" "system=Equity" "time=29459" "quantity=2400" "buy_sell=S" "isin=GB00BDR05C01" "epic=NG." "t+=2" "settlement_date=20200306" "user_details=5232379" "quantity=2400" "buy_sell=S" "currency=GBP" "link="</t>
  </si>
  <si>
    <t>04/03/20 08:10:59 5992 (10.152.26.30) : Read: "record_type=QUR" "reply_reason=0" "agency_time=2020-03-04 08:10:59.847" "bid_price=0" "bid_size=0" "buy_sell=S" "control_ref=aeb4d844-5def-11ea-a2d1-005056a25061" "counterparty=277" "currency=GBP" "device=Aitken" "epic=NG..L" "isin=GB00BDR05C01" "link=871" "market_maker=871" "offer_price=10.100545" "offer_size=2400" "professional=N" "ps_bid_price=0" "ps_offer_price=10.100545" "quantity=2400" "rsp=PLHCGB3LBIC" "sent_time=2020-03-04 08:10:59.847" "serial_number=1736608857" "settlement_date=20200306" "system=Equity" "t+=2" "time=29459" "user=tdw" "user_details=5232379"</t>
  </si>
  <si>
    <t>04/03/20 08:10:59 5992: Quo reply :                       ICV        GB00BDR05C01                                                    871 2400        B20200306  2     284       1010.0545          30 LSD     BDR05C0 NG..L                         NG.   GB00BDR05C01    GBXGB   NG..L   5232379                    871</t>
  </si>
  <si>
    <t>04/03/20 08:11:01 6048 (10.152.26.32) : Got quo request:                      ICV        GB0008854563                                                        200000      B20200306  2                                     LSE     0885456 TYM.L                         TYM   GB0008854563    GBXGB   TYM.L   0936723                    GBP</t>
  </si>
  <si>
    <t>04/03/20 08:11:01 6048 (10.152.26.32) : Sending....: 0267"record_type=QU" "user=tdw" "counterparty=277" "device=Aitken" "system=Equity" "time=29461" "quantity=200000" "buy_sell=S" "isin=GB0008854563" "epic=TYM" "t+=2" "settlement_date=20200306" "user_details=0936723" "quantity=200000" "buy_sell=S" "currency=GBP" "link="</t>
  </si>
  <si>
    <t>04/03/20 08:11:01 6048 (10.152.26.32) : Read: "record_type=QUR" "reply_reason=0" "agency_time=2020-03-04 08:11:01.610" "bid_price=0" "bid_size=0" "buy_sell=S" "control_ref=afbfe4f4-5def-11ea-95dc-005056a25061" "counterparty=277" "currency=GBP" "device=Aitken" "epic=TYM" "isin=GB0008854563" "link=801" "market_maker=801" "offer_price=0.00479" "offer_size=2250000" "professional=N" "ps_bid_price=0" "ps_offer_price=0.00479" "quantity=200000" "rsp=WNTSGB2LBIC" "sent_time=2020-03-04 08:11:01.610" "serial_number=1701274443" "settlement_date=20200306" "system=Equity" "t+=2" "time=29461" "user=tdw" "user_details=0936723" "quotation_amount=1"</t>
  </si>
  <si>
    <t>04/03/20 08:11:01 6048: Quo reply :                       ICV        GB0008854563                                                    801 200000      B20200306  2     285       0.479              30 LSE     0885456 TYM.L                         TYM   GB0008854563    GBXGB   TYM.L   0936723                    801</t>
  </si>
  <si>
    <t>04/03/20 08:11:04 10288(10.152.26.31) : Got exe request:                      ICV        GB0008706128                                                    47.803000          7000        BABGBXA 282                            Y                                                     4730512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801 GB     LLOY.L  00</t>
  </si>
  <si>
    <t>04/03/20 08:11:05 9236 (10.152.26.31) : Got quo request:                      ICV        GB00B0130H42                                                        1352        B20200306  2                                     LSB     B0130H4 ITM.L                         ITM   GB00B0130H42    GBXGB   ITM.L   4737760                    GBP</t>
  </si>
  <si>
    <t>04/03/20 08:11:05 9236 (10.152.26.31) : Sending....: 0263"record_type=QU" "user=tdw" "counterparty=277" "device=Aitken" "system=Equity" "time=29465" "quantity=1352" "buy_sell=S" "isin=GB00B0130H42" "epic=ITM" "t+=2" "settlement_date=20200306" "user_details=4737760" "quantity=1352" "buy_sell=S" "currency=GBP" "link="</t>
  </si>
  <si>
    <t>04/03/20 08:11:05 9236 (10.152.26.31) : Read: "record_type=QUR" "reply_reason=0" "agency_time=2020-03-04 08:11:05.523" "bid_price=0" "bid_size=0" "buy_sell=S" "control_ref=b218ffba-5def-11ea-9feb-005056a25061" "counterparty=277" "currency=GBP" "device=Aitken" "epic=ITM" "isin=GB00B0130H42" "link=635" "market_maker=635" "offer_price=1.475455" "offer_size=12500" "professional=N" "ps_bid_price=0" "ps_offer_price=1.475455" "quantity=1352" "rsp=CFEQGB21EPE" "sent_time=2020-03-04 08:11:05.523" "serial_number=2027254796" "settlement_date=20200306" "system=Equity" "t+=2" "time=29465" "user=tdw" "user_details=4737760"</t>
  </si>
  <si>
    <t>04/03/20 08:11:05 9236: Quo reply :                       ICV        GB00B0130H42                                                    635 1352        B20200306  2     286       147.5455           30 LSB     B0130H4 ITM.L                         ITM   GB00B0130H42    GBXGB   ITM.L   4737760                    635</t>
  </si>
  <si>
    <t>04/03/20 08:11:05 12900 (10.152.26.30) : Got quo request:                      ICV        FR0010397232                                                        855         B20200306  2                                     LSC     BF16YK9 NCYT.L                        NCYT  FR0010397232    GBXGB   NCYT.L  4713805                    GBP</t>
  </si>
  <si>
    <t>04/03/20 08:11:05 12900 (10.152.26.30) : Sending....: 0262"record_type=QU" "user=tdw" "counterparty=277" "device=Aitken" "system=Equity" "time=29465" "quantity=855" "buy_sell=S" "isin=FR0010397232" "epic=NCYT" "t+=2" "settlement_date=20200306" "user_details=4713805" "quantity=855" "buy_sell=S" "currency=GBP" "link="</t>
  </si>
  <si>
    <t>04/03/20 08:11:05 12900 (10.152.26.30) : Read: "record_type=QUR" "reply_reason=0" "agency_time=2020-03-04 08:11:06.263" "bid_price=0" "bid_size=0" "buy_sell=S" "control_ref=b289aab2-5def-11ea-99ae-005056a25061" "counterparty=277" "currency=GBP" "device=Aitken" "epic=NCYT" "isin=FR0010397232" "link=801" "market_maker=801" "offer_price=1.0765" "offer_size=15000" "professional=N" "ps_bid_price=0" "ps_offer_price=1.0765" "quantity=855" "rsp=WNTSGB2LBIC" "sent_time=2020-03-04 08:11:06.263" "serial_number=960792250" "settlement_date=20200306" "system=Equity" "t+=2" "time=29465" "user=tdw" "user_details=4713805" "quotation_amount=1"</t>
  </si>
  <si>
    <t>04/03/20 08:11:05 12900: Quo reply :                       ICV        FR0010397232                                                    801 855         B20200306  2     287       107.65             30 LSC     BF16YK9 NCYT.L                        NCYT  FR0010397232    GBXGB   NCYT.L  4713805                    801</t>
  </si>
  <si>
    <t>04/03/20 08:11:07 11888 (10.152.26.32) : Got quo request:                      ICV        GB0002148343                                                        302         B20200306  2                                     LSA     0214834 RAT.L                         RAT   GB0002148343    GBXGB   RAT.L   4635719                    GBP</t>
  </si>
  <si>
    <t>04/03/20 08:11:07 11888 (10.152.26.32) : Sending....: 0261"record_type=QU" "user=tdw" "counterparty=277" "device=Aitken" "system=Equity" "time=29467" "quantity=302" "buy_sell=S" "isin=GB0002148343" "epic=RAT" "t+=2" "settlement_date=20200306" "user_details=4635719" "quantity=302" "buy_sell=S" "currency=GBP" "link="</t>
  </si>
  <si>
    <t>04/03/20 08:11:07 11888 (10.152.26.32) : Read: "record_type=QUR" "reply_reason=0" "agency_time=2020-03-04 08:11:07.887" "bid_price=0" "bid_size=0" "buy_sell=S" "control_ref=b37f994a-5def-11ea-b68d-005056a25061" "counterparty=277" "currency=GBP" "device=Aitken" "epic=RAT.L" "isin=GB0002148343" "link=871" "market_maker=871" "offer_price=16.7818" "offer_size=1000" "professional=N" "ps_bid_price=0" "ps_offer_price=16.7818" "quantity=302" "rsp=PLHCGB3LBIC" "sent_time=2020-03-04 08:11:07.887" "serial_number=652210222" "settlement_date=20200306" "system=Equity" "t+=2" "time=29467" "user=tdw" "user_details=4635719"</t>
  </si>
  <si>
    <t>04/03/20 08:11:07 11888: Quo reply :                       ICV        GB0002148343                                                    871 302         B20200306  2     288       1678.18            30 LSA     0214834 RAT.L                         RAT   GB0002148343    GBXGB   RAT.L   4635719                    871</t>
  </si>
  <si>
    <t>04/03/20 08:11:08 12728 (10.152.26.31) : Got quo request:                      ICV        GB0008854563                                                        200000      B20200306  2                                     LSE     0885456 TYM.L                         TYM   GB0008854563    GBXGB   TYM.L   0936723                    GBP</t>
  </si>
  <si>
    <t>04/03/20 08:11:08 12728 (10.152.26.31) : Sending....: 0267"record_type=QU" "user=tdw" "counterparty=277" "device=Aitken" "system=Equity" "time=29468" "quantity=200000" "buy_sell=S" "isin=GB0008854563" "epic=TYM" "t+=2" "settlement_date=20200306" "user_details=0936723" "quantity=200000" "buy_sell=S" "currency=GBP" "link="</t>
  </si>
  <si>
    <t>04/03/20 08:11:08 12728 (10.152.26.31) : Read: "record_type=QUR" "reply_reason=0" "agency_time=2020-03-04 08:11:08.867" "bid_price=0" "bid_size=0" "buy_sell=S" "control_ref=b415c5d2-5def-11ea-a03f-005056a25061" "counterparty=277" "currency=GBP" "device=Aitken" "epic=TYM" "isin=GB0008854563" "link=801" "market_maker=801" "offer_price=0.00479" "offer_size=2250000" "professional=N" "ps_bid_price=0" "ps_offer_price=0.00479" "quantity=200000" "rsp=WNTSGB2LBIC" "sent_time=2020-03-04 08:11:08.867" "serial_number=1627886377" "settlement_date=20200306" "system=Equity" "t+=2" "time=29468" "user=tdw" "user_details=0936723" "quotation_amount=1"</t>
  </si>
  <si>
    <t>04/03/20 08:11:08 12728: Quo reply :                       ICV        GB0008854563                                                    801 200000      B20200306  2     289       0.479              30 LSE     0885456 TYM.L                         TYM   GB0008854563    GBXGB   TYM.L   0936723                    801</t>
  </si>
  <si>
    <t>04/03/20 08:11:11 9580 (10.152.26.30) : Got quo request:                      ICV        GB0009633180                                                        200         B20200306  2                                     LSA     0963318 DPH.L                         DPH   GB0009633180    GBXGB   DPH.L   0543779                    GBP</t>
  </si>
  <si>
    <t>04/03/20 08:11:11 9580 (10.152.26.30) : Sending....: 0261"record_type=QU" "user=tdw" "counterparty=277" "device=Aitken" "system=Equity" "time=29471" "quantity=200" "buy_sell=S" "isin=GB0009633180" "epic=DPH" "t+=2" "settlement_date=20200306" "user_details=0543779" "quantity=200" "buy_sell=S" "currency=GBP" "link="</t>
  </si>
  <si>
    <t>04/03/20 08:11:11 9580 (10.152.26.30) : Read: "record_type=QUR" "reply_reason=0" "agency_time=2020-03-04 08:11:12.214" "bid_price=0" "bid_size=0" "buy_sell=S" "control_ref=b612da64-5def-11ea-91af-005056a25061" "counterparty=277" "currency=GBP" "device=Aitken" "epic=DPH.L" "isin=GB0009633180" "link=871" "market_maker=871" "offer_price=27.21025" "offer_size=900" "professional=N" "ps_bid_price=0" "ps_offer_price=27.21025" "quantity=200" "rsp=PLHCGB3LBIC" "sent_time=2020-03-04 08:11:12.214" "serial_number=440282065" "settlement_date=20200306" "system=Equity" "t+=2" "time=29471" "user=tdw" "user_details=0543779"</t>
  </si>
  <si>
    <t>04/03/20 08:11:11 9580: Quo reply :                       ICV        GB0009633180                                                    871 200         B20200306  2     290       2721.025           30 LSA     0963318 DPH.L                         DPH   GB0009633180    GBXGB   DPH.L   0543779                    871</t>
  </si>
  <si>
    <t>04/03/20 08:11:11 4124 (10.152.26.31)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</si>
  <si>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08:11:11 4124 (10.152.26.31) : Sending....: 0264"record_type=QU" "user=tdw" "counterparty=277" "device=Aitken" "system=Equity" "time=29471" "quantity=1500" "buy_sell=B" "isin=GB0031348658" "epic=BARC" "t+=2" "settlement_date=20200306" "user_details=5231771" "quantity=1500" "buy_sell=B" "currency=GBP" "link="</t>
  </si>
  <si>
    <t>04/03/20 08:11:12 4124 (10.152.26.31) : Read: "record_type=QUR" "reply_reason=0" "agency_time=2020-03-04 08:11:12.413" "bid_price=1.3823" "bid_size=4000" "buy_sell=B" "control_ref=b63439fc-5def-11ea-ba4d-005056a25061" "counterparty=277" "currency=GBP" "device=Aitken" "epic=BARC" "isin=GB0031348658" "link=801" "market_maker=801" "offer_price=0" "offer_size=0" "professional=N" "ps_bid_price=1.3823" "ps_offer_price=0" "quantity=1500" "rsp=WNTSGB2LBIC" "sent_time=2020-03-04 08:11:12.413" "serial_number=933414219" "settlement_date=20200306" "system=Equity" "t+=2" "time=29471" "user=tdw" "user_details=5231771" "quotation_amount=1"</t>
  </si>
  <si>
    <t>04/03/20 08:11:12 4124: Quo reply :                       ICV        GB0031348658                                                    801 1500        S20200306  2     291       138.23             30 LSF     3134865 BARC.L                        BARC  GB0031348658    GBXGB   BARC.L  5231771                    801</t>
  </si>
  <si>
    <t>04/03/20 08:11:16 11996 (10.152.26.32)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</si>
  <si>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08:11:16 11996 (10.152.26.32) : Sending....: 0264"record_type=QU" "user=tdw" "counterparty=277" "device=Aitken" "system=Equity" "time=29476" "quantity=1500" "buy_sell=B" "isin=GB0031348658" "epic=BARC" "t+=2" "settlement_date=20200306" "user_details=5231771" "quantity=1500" "buy_sell=B" "currency=GBP" "link="</t>
  </si>
  <si>
    <t>04/03/20 08:11:16 11996 (10.152.26.32) : Read: "record_type=QUR" "reply_reason=0" "agency_time=2020-03-04 08:11:17.166" "bid_price=1.3819" "bid_size=4000" "buy_sell=B" "control_ref=b907cea0-5def-11ea-b5df-005056a25061" "counterparty=277" "currency=GBP" "device=Aitken" "epic=BARC" "isin=GB0031348658" "link=801" "market_maker=801" "offer_price=0" "offer_size=0" "professional=N" "ps_bid_price=1.3819" "ps_offer_price=0" "quantity=1500" "rsp=WNTSGB2LBIC" "sent_time=2020-03-04 08:11:17.166" "serial_number=513702184" "settlement_date=20200306" "system=Equity" "t+=2" "time=29476" "user=tdw" "user_details=5231771" "quotation_amount=1"</t>
  </si>
  <si>
    <t>04/03/20 08:11:16 11996: Quo reply :                       ICV        GB0031348658                                                    801 1500        S20200306  2     292       138.19             30 LSF     3134865 BARC.L                        BARC  GB0031348658    GBXGB   BARC.L  5231771                    801</t>
  </si>
  <si>
    <t>04/03/20 08:11:17 10288(10.152.26.31) : Got exe request:                      ICV        GB0009633180                                                    2721.025000        200         BABGBXA 290                            Y                                                     0543779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871 GB     DPH.L   00</t>
  </si>
  <si>
    <t>04/03/20 08:11:17 10288 (10.152.26.31) : Sending....: 0297"record_type=DE" "user=tdw" "counterparty=277" "device=Aitken" "system=Equity" "time=29477" "isin=GB0009633180" "epic=DPH" "serial_number=440282065" "buy_sell=S" "quantity=200" "t+=2" "currency=GBP" "booking_c/party=" "settlement_date=20200306" "user_details=0543779" "market_maker=871" "link="</t>
  </si>
  <si>
    <t>04/03/20 08:11:17 10288 (10.152.26.31) : Read: "record_type=DER" "reply_reason=0" "agency_time=2020-03-04 08:11:18.029" "bargain_ref=081112G06483b1-1" "buy_sell=S" "control_ref=081112G06483b1" "counterparty=277" "currency=GBP" "deal_time=08:11:18" "device=Aitken" "epic=DPH.L" "execution_venue=XLON" "isin=GB0009633180" "market_maker=871" "price=27.21025" "professional=N" "quantity=200" "sent_time=2020-03-04 08:11:18.014" "serial_number=081112G06483b1-1" "settlement_date=20200306" "system=Equity" "t+=2" "time=29477" "user=tdw" "user_details=0543779"</t>
  </si>
  <si>
    <t>04/03/20 08:11:17 10288: Exe reply :                       ICV        GB0009633180                                                    2721.025000        200         BABGBXA 290                            Y                                                     0543779                                                                                                                                                                                                                                                                       081112G06483b120200306     081112G06420200304081117   2721.025              200                 871 GB     DPH.L   02</t>
  </si>
  <si>
    <t>04/03/20 08:11:19 8992 (10.152.26.30) : Got quo request:                      ICV        GB00BDVZYZ77                                                        5000        B20200306  2                                     LSA     BDVZYZ7 RMG.L                         RMG   GB00BDVZYZ77    GBXGB   RMG.L   9300533                    GBP</t>
  </si>
  <si>
    <t>04/03/20 08:11:19 8992 (10.152.26.30) : Sending....: 0263"record_type=QU" "user=tdw" "counterparty=277" "device=Aitken" "system=Equity" "time=29479" "quantity=5000" "buy_sell=S" "isin=GB00BDVZYZ77" "epic=RMG" "t+=2" "settlement_date=20200306" "user_details=9300533" "quantity=5000" "buy_sell=S" "currency=GBP" "link="</t>
  </si>
  <si>
    <t>04/03/20 08:11:19 8992 (10.152.26.30) : Read: "record_type=QUR" "reply_reason=0" "agency_time=2020-03-04 08:11:19.657" "bid_price=0" "bid_size=0" "buy_sell=S" "control_ref=ba83c48c-5def-11ea-9d80-005056a25061" "counterparty=277" "currency=GBP" "device=Aitken" "epic=RMG" "isin=GB00BDVZYZ77" "link=801" "market_maker=801" "offer_price=1.60475" "offer_size=5000" "professional=N" "ps_bid_price=0" "ps_offer_price=1.60475" "quantity=5000" "rsp=WNTSGB2LBIC" "sent_time=2020-03-04 08:11:19.657" "serial_number=959633852" "settlement_date=20200306" "system=Equity" "t+=2" "time=29479" "user=tdw" "user_details=9300533" "quotation_amount=1"</t>
  </si>
  <si>
    <t>04/03/20 08:11:19 8992: Quo reply :                       ICV        GB00BDVZYZ77                                                    801 5000        B20200306  2     293       160.475            30 LSA     BDVZYZ7 RMG.L                         RMG   GB00BDVZYZ77    GBXGB   RMG.L   9300533                    801</t>
  </si>
  <si>
    <t>04/03/20 08:11:21 9236 (10.152.26.31) : Got quo request:                      ICV        GB0008854563                                                        8567        S20200306  2                                     LSE     0885456 TYM.L                         TYM   GB0008854563    GBXGB   TYM.L   0904499                    GBP</t>
  </si>
  <si>
    <t>04/03/20 08:11:21 9236 (10.152.26.31) : Sending....: 0263"record_type=QU" "user=tdw" "counterparty=277" "device=Aitken" "system=Equity" "time=29481" "quantity=8567" "buy_sell=B" "isin=GB0008854563" "epic=TYM" "t+=2" "settlement_date=20200306" "user_details=0904499" "quantity=8567" "buy_sell=B" "currency=GBP" "link="</t>
  </si>
  <si>
    <t>04/03/20 08:11:21 9236 (10.152.26.31) : Read: "record_type=QUR" "reply_reason=0" "agency_time=2020-03-04 08:11:21.550" "bid_price=0.0045" "bid_size=99000" "buy_sell=B" "control_ref=bba6a5f0-5def-11ea-a9bf-005056a25061" "counterparty=277" "currency=GBP" "device=Aitken" "epic=TYM.L" "isin=GB0008854563" "link=871" "market_maker=871" "offer_price=0" "offer_size=0" "professional=N" "ps_bid_price=0.0045" "ps_offer_price=0" "quantity=8567" "rsp=PLHCGB3LBIC" "sent_time=2020-03-04 08:11:21.550" "serial_number=457257459" "settlement_date=20200306" "system=Equity" "t+=2" "time=29481" "user=tdw" "user_details=0904499"</t>
  </si>
  <si>
    <t>04/03/20 08:11:21 9236: Quo reply :                       ICV        GB0008854563                                                    871 8567        S20200306  2     294       0.45               30 LSE     0885456 TYM.L                         TYM   GB0008854563    GBXGB   TYM.L   0904499                    871</t>
  </si>
  <si>
    <t>04/03/20 08:11:21 11108 (10.152.26.32)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</si>
  <si>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08:11:21 11108 (10.152.26.32) : Sending....: 0264"record_type=QU" "user=tdw" "counterparty=277" "device=Aitken" "system=Equity" "time=29481" "quantity=1500" "buy_sell=B" "isin=GB0031348658" "epic=BARC" "t+=2" "settlement_date=20200306" "user_details=5231771" "quantity=1500" "buy_sell=B" "currency=GBP" "link="</t>
  </si>
  <si>
    <t>04/03/20 08:11:21 11108 (10.152.26.32) : Read: "record_type=QUR" "reply_reason=0" "agency_time=2020-03-04 08:11:22.102" "bid_price=1.3818" "bid_size=4000" "buy_sell=B" "control_ref=bbfa9df4-5def-11ea-bfdd-005056a25061" "counterparty=277" "currency=GBP" "device=Aitken" "epic=BARC" "isin=GB0031348658" "link=801" "market_maker=801" "offer_price=0" "offer_size=0" "professional=N" "ps_bid_price=1.3818" "ps_offer_price=0" "quantity=1500" "rsp=WNTSGB2LBIC" "sent_time=2020-03-04 08:11:22.102" "serial_number=1375788517" "settlement_date=20200306" "system=Equity" "t+=2" "time=29481" "user=tdw" "user_details=5231771" "quotation_amount=1"</t>
  </si>
  <si>
    <t>04/03/20 08:11:21 11108: Quo reply :                       ICV        GB0031348658                                                    801 1500        S20200306  2     295       138.18             30 LSF     3134865 BARC.L                        BARC  GB0031348658    GBXGB   BARC.L  5231771                    801</t>
  </si>
  <si>
    <t>04/03/20 08:11:22 5992 (10.152.26.30) : Got quo request:                      ICV        JE00B5TT1872                                                        5000        S20200331 19                                     LSA     B5TT187 CEY.L                         CEY   JE00B5TT1872    GBXJE   CEY.L   0426920                    GBP</t>
  </si>
  <si>
    <t>04/03/20 08:11:22 5992 (10.152.26.30) : Sending....: 0264"record_type=QU" "user=tdw" "counterparty=277" "device=Aitken" "system=Equity" "time=29482" "quantity=5000" "buy_sell=B" "isin=JE00B5TT1872" "epic=CEY" "t+=19" "settlement_date=20200331" "user_details=0426920" "quantity=5000" "buy_sell=B" "currency=GBP" "link="</t>
  </si>
  <si>
    <t>04/03/20 08:11:22 5992 (10.152.26.30) : Read: "record_type=QUR" "reply_reason=0" "agency_time=2020-03-04 08:11:22.572" "bid_price=1.40173" "bid_size=7500" "buy_sell=B" "control_ref=bc3ff3ae-5def-11ea-bceb-005056a25061" "counterparty=277" "currency=GBP" "device=Aitken" "epic=CEY" "isin=JE00B5TT1872" "link=801" "market_maker=801" "offer_price=0" "offer_size=0" "professional=N" "ps_bid_price=1.40173" "ps_offer_price=0" "quantity=5000" "rsp=WNTSGB2LBIC" "sent_time=2020-03-04 08:11:22.572" "serial_number=1188952890" "settlement_date=20200331" "system=Equity" "t+=19" "time=29482" "user=tdw" "user_details=0426920" "quotation_amount=1"</t>
  </si>
  <si>
    <t>04/03/20 08:11:22 5992: Quo reply :                       ICV        JE00B5TT1872                                                    801 5000        S20200331 19     296       140.173            30 LSA     B5TT187 CEY.L                         CEY   JE00B5TT1872    GBXJE   CEY.L   0426920                    801</t>
  </si>
  <si>
    <t>04/03/20 08:11:27 6048 (10.152.26.32) : Got quo request:                      ICV        GB00B1YW4409                                                        9912        B20200306  2                                     LSD     B1YW440 III.L                         III   GB00B1YW4409    GBXGB   III.L   8808903                    GBP</t>
  </si>
  <si>
    <t>04/03/20 08:11:27 6048 (10.152.26.32) : Sending....: 0263"record_type=QU" "user=tdw" "counterparty=277" "device=Aitken" "system=Equity" "time=29487" "quantity=9912" "buy_sell=S" "isin=GB00B1YW4409" "epic=III" "t+=2" "settlement_date=20200306" "user_details=8808903" "quantity=9912" "buy_sell=S" "currency=GBP" "link="</t>
  </si>
  <si>
    <t>04/03/20 08:11:27 6048 (10.152.26.32) : Read: "record_type=QUR" "reply_reason=0" "agency_time=2020-03-04 08:11:27.858" "bid_price=0" "bid_size=0" "buy_sell=S" "control_ref=bf678790-5def-11ea-91f5-005056a25061" "counterparty=277" "currency=GBP" "device=Aitken" "epic=III" "isin=GB00B1YW4409" "link=393" "market_maker=393" "offer_price=10.15" "offer_size=55000" "professional=N" "ps_bid_price=0" "ps_offer_price=10.15" "quantity=9912" "rsp=JEFFGB2X" "sent_time=2020-03-04 08:11:27.858" "serial_number=300682130" "settlement_date=20200306" "system=Equity" "t+=2" "time=29487" "user=tdw" "user_details=8808903"</t>
  </si>
  <si>
    <t>04/03/20 08:11:27 6048: Quo reply :                       ICV        GB00B1YW4409                                                    393 9912        B20200306  2     297       1015               30 LSD     B1YW440 III.L                         III   GB00B1YW4409    GBXGB   III.L   8808903                    393</t>
  </si>
  <si>
    <t>04/03/20 08:11:27 12900 (10.152.26.30) : Got quo request:                      ICV        GB0008847096                                                        80000       B20200401 20                                     LSD     0884709 TSCO.L                        TSCO  GB0008847096    GBXGB   TSCO.L  6150399                    GBP</t>
  </si>
  <si>
    <t>04/03/20 08:11:27 12900 (10.152.26.30) : Sending....: 0267"record_type=QU" "user=tdw" "counterparty=277" "device=Aitken" "system=Equity" "time=29487" "quantity=80000" "buy_sell=S" "isin=GB0008847096" "epic=TSCO" "t+=20" "settlement_date=20200401" "user_details=6150399" "quantity=80000" "buy_sell=S" "currency=GBP" "link="</t>
  </si>
  <si>
    <t>04/03/20 08:11:27 12900 (10.152.26.30) : Read: "record_type=QUR" "reply_reason=0" "agency_time=2020-03-04 08:11:28.150" "bid_price=0" "bid_size=0" "buy_sell=S" "control_ref=bf94ce26-5def-11ea-8980-005056a25061" "counterparty=277" "currency=GBP" "device=Aitken" "epic=TSCO" "isin=GB0008847096" "link=801" "market_maker=801" "offer_price=2.35474" "offer_size=80000" "professional=N" "ps_bid_price=0" "ps_offer_price=2.35474" "quantity=80000" "rsp=WNTSGB2LBIC" "sent_time=2020-03-04 08:11:28.150" "serial_number=1311152287" "settlement_date=20200401" "system=Equity" "t+=20" "time=29487" "user=tdw" "user_details=6150399" "quotation_amount=1"</t>
  </si>
  <si>
    <t>04/03/20 08:11:27 12900: Quo reply :                       ICV        GB0008847096                                                    801 80000       B20200401 20     298       235.474            30 LSD     0884709 TSCO.L                        TSCO  GB0008847096    GBXGB   TSCO.L  6150399                    801</t>
  </si>
  <si>
    <t>04/03/20 08:11:30 12728 (10.152.26.31) : Got quo request:                      ICV        GB0008854563                                                        2096        B20200306  2                                     LSE     0885456 TYM.L                         TYM   GB0008854563    GBXGB   TYM.L   2261493                    GBP</t>
  </si>
  <si>
    <t>04/03/20 08:11:30 12728 (10.152.26.31) : Sending....: 0263"record_type=QU" "user=tdw" "counterparty=277" "device=Aitken" "system=Equity" "time=29490" "quantity=2096" "buy_sell=S" "isin=GB0008854563" "epic=TYM" "t+=2" "settlement_date=20200306" "user_details=2261493" "quantity=2096" "buy_sell=S" "currency=GBP" "link="</t>
  </si>
  <si>
    <t>04/03/20 08:11:30 12728 (10.152.26.31) : Read: "record_type=QUR" "reply_reason=0" "agency_time=2020-03-04 08:11:30.635" "bid_price=0" "bid_size=0" "buy_sell=S" "control_ref=c1109398-5def-11ea-837e-005056a25061" "counterparty=277" "currency=GBP" "device=Aitken" "epic=TYM" "isin=GB0008854563" "link=589" "market_maker=589" "offer_price=0.00477" "offer_size=3750000" "professional=N" "ps_bid_price=0" "ps_offer_price=0.00477" "quantity=2096" "rsp=SHOCGB21" "sent_time=2020-03-04 08:11:30.635" "serial_number=1233620763" "settlement_date=20200306" "system=Equity" "t+=2" "time=29490" "user=tdw" "user_details=2261493"</t>
  </si>
  <si>
    <t>04/03/20 08:11:30 12728: Quo reply :                       ICV        GB0008854563                                                    589 2096        B20200306  2     299       0.477              30 LSE     0885456 TYM.L                         TYM   GB0008854563    GBXGB   TYM.L   2261493                    589</t>
  </si>
  <si>
    <t>04/03/20 08:11:32 12900 (10.152.26.30) : Got quo request:                      ICV        IL0011284465                                                        589         B20200306  2                                     LSA     BBT3PS9 PLUS.L                        PLUS  IL0011284465    GBXGB   PLUS.L  0453889                    GBP</t>
  </si>
  <si>
    <t>04/03/20 08:11:32 12900 (10.152.26.30) : Sending....: 0262"record_type=QU" "user=tdw" "counterparty=277" "device=Aitken" "system=Equity" "time=29492" "quantity=589" "buy_sell=S" "isin=IL0011284465" "epic=PLUS" "t+=2" "settlement_date=20200306" "user_details=0453889" "quantity=589" "buy_sell=S" "currency=GBP" "link="</t>
  </si>
  <si>
    <t>04/03/20 08:11:32 12900 (10.152.26.30) : Read: "record_type=QUR" "reply_reason=0" "agency_time=2020-03-04 08:11:32.737" "bid_price=0" "bid_size=0" "buy_sell=S" "control_ref=c250ed16-5def-11ea-b752-005056a25061" "counterparty=277" "currency=GBP" "device=Aitken" "epic=PLUS.L" "isin=IL0011284465" "link=871" "market_maker=871" "offer_price=9.73535" "offer_size=2648" "professional=N" "ps_bid_price=0" "ps_offer_price=9.73535" "quantity=589" "rsp=PLHCGB3LBIC" "sent_time=2020-03-04 08:11:32.737" "serial_number=1689694092" "settlement_date=20200306" "system=Equity" "t+=2" "time=29492" "user=tdw" "user_details=0453889"</t>
  </si>
  <si>
    <t>04/03/20 08:11:32 12900: Quo reply :                       ICV        IL0011284465                                                    871 589         B20200306  2     300       973.535            30 LSA     BBT3PS9 PLUS.L                        PLUS  IL0011284465    GBXGB   PLUS.L  0453889                    871</t>
  </si>
  <si>
    <t>04/03/20 08:11:35 11888 (10.152.26.32) : Got quo request:                      ICV        GB0030927254                                                        100         B20200306  2                                     LSB     3092725 ASC.L                         ASC   GB0030927254    GBXGB   ASC.L   0825061                    GBP</t>
  </si>
  <si>
    <t>04/03/20 08:11:35 11888 (10.152.26.32) : Sending....: 0261"record_type=QU" "user=tdw" "counterparty=277" "device=Aitken" "system=Equity" "time=29495" "quantity=100" "buy_sell=S" "isin=GB0030927254" "epic=ASC" "t+=2" "settlement_date=20200306" "user_details=0825061" "quantity=100" "buy_sell=S" "currency=GBP" "link="</t>
  </si>
  <si>
    <t>04/03/20 08:11:35 11888 (10.152.26.32) : Read: "record_type=QUR" "reply_reason=0" "agency_time=2020-03-04 08:11:35.421" "bid_price=0" "bid_size=0" "buy_sell=S" "control_ref=c3eb515c-5def-11ea-9e34-005056a25061" "counterparty=277" "currency=GBP" "device=Aitken" "epic=ASC.L" "isin=GB0030927254" "link=871" "market_maker=871" "offer_price=29.16265" "offer_size=840" "professional=N" "ps_bid_price=0" "ps_offer_price=29.16265" "quantity=100" "rsp=PLHCGB3LBIC" "sent_time=2020-03-04 08:11:35.421" "serial_number=643894607" "settlement_date=20200306" "system=Equity" "t+=2" "time=29495" "user=tdw" "user_details=0825061"</t>
  </si>
  <si>
    <t>04/03/20 08:11:35 11888: Quo reply :                       ICV        GB0030927254                                                    871 100         B20200306  2     301       2916.265           30 LSB     3092725 ASC.L                         ASC   GB0030927254    GBXGB   ASC.L   0825061                    871</t>
  </si>
  <si>
    <t>04/03/20 08:11:39 4124 (10.152.26.31) : Got quo request:                      ICV        GB00B033F229                                                        5586        B20200401 20                                     LSD     B033F22 CNA.L                         CNA   GB00B033F229    GBXGB   CNA.L   0018652                    GBP</t>
  </si>
  <si>
    <t>04/03/20 08:11:39 4124 (10.152.26.31) : Sending....: 0264"record_type=QU" "user=tdw" "counterparty=277" "device=Aitken" "system=Equity" "time=29499" "quantity=5586" "buy_sell=S" "isin=GB00B033F229" "epic=CNA" "t+=20" "settlement_date=20200401" "user_details=0018652" "quantity=5586" "buy_sell=S" "currency=GBP" "link="</t>
  </si>
  <si>
    <t>04/03/20 08:11:39 4124 (10.152.26.31) : Read: "record_type=QUR" "reply_reason=0" "agency_time=2020-03-04 08:11:39.603" "bid_price=0" "bid_size=0" "buy_sell=S" "control_ref=c66678bc-5def-11ea-8c2c-005056a25061" "counterparty=277" "currency=GBP" "device=Aitken" "epic=CNA" "isin=GB00B033F229" "link=589" "market_maker=589" "offer_price=0.73172" "offer_size=5586" "professional=N" "ps_bid_price=0" "ps_offer_price=0.73172" "quantity=5586" "rsp=SHOCGB21" "sent_time=2020-03-04 08:11:39.603" "serial_number=1313028678" "settlement_date=20200401" "system=Equity" "t+=20" "time=29499" "user=tdw" "user_details=0018652"</t>
  </si>
  <si>
    <t>04/03/20 08:11:39 4124: Quo reply :                       ICV        GB00B033F229                                                    589 5586        B20200401 20     302       73.172             30 LSD     B033F22 CNA.L                         CNA   GB00B033F229    GBXGB   CNA.L   0018652                    589</t>
  </si>
  <si>
    <t>04/03/20 08:11:39 9580 (10.152.26.30) : Got quo request:                      ICV        GB0031348658                                                        1500        S20200306  2                                     LSF     3134865 BARC.L                        BARC  GB0031348658    GBXGB   BARC.L  5231771                    GBP</t>
  </si>
  <si>
    <t>04/03/20 08:11:39 9580 (10.152.26.30) : Sending....: 0264"record_type=QU" "user=tdw" "counterparty=277" "device=Aitken" "system=Equity" "time=29499" "quantity=1500" "buy_sell=B" "isin=GB0031348658" "epic=BARC" "t+=2" "settlement_date=20200306" "user_details=5231771" "quantity=1500" "buy_sell=B" "currency=GBP" "link="</t>
  </si>
  <si>
    <t>04/03/20 08:11:39 9580 (10.152.26.30) : Read: "record_type=QUR" "reply_reason=0" "agency_time=2020-03-04 08:11:39.915" "bid_price=1.3808" "bid_size=4000" "buy_sell=B" "control_ref=c69883c0-5def-11ea-8ccf-005056a25061" "counterparty=277" "currency=GBP" "device=Aitken" "epic=BARC" "isin=GB0031348658" "link=801" "market_maker=801" "offer_price=0" "offer_size=0" "professional=N" "ps_bid_price=1.3808" "ps_offer_price=0" "quantity=1500" "rsp=WNTSGB2LBIC" "sent_time=2020-03-04 08:11:39.915" "serial_number=1396778104" "settlement_date=20200306" "system=Equity" "t+=2" "time=29499" "user=tdw" "user_details=5231771" "quotation_amount=1"</t>
  </si>
  <si>
    <t>04/03/20 08:11:39 9580: Quo reply :                       ICV        GB0031348658                                                    801 1500        S20200306  2     303       138.08             30 LSF     3134865 BARC.L                        BARC  GB0031348658    GBXGB   BARC.L  5231771                    801</t>
  </si>
  <si>
    <t>04/03/20 08:11:40 11996 (10.152.26.32) : Got quo request:                      ICV        GB0008854563                                                        1921158     S20200306  2                                     LSE     0885456 TYM.L                         TYM   GB0008854563    GBXGB   TYM.L   2223929                    GBP</t>
  </si>
  <si>
    <t>04/03/20 08:11:40 11996 (10.152.26.32) : Sending....: 0269"record_type=QU" "user=tdw" "counterparty=277" "device=Aitken" "system=Equity" "time=29500" "quantity=1921158" "buy_sell=B" "isin=GB0008854563" "epic=TYM" "t+=2" "settlement_date=20200306" "user_details=2223929" "quantity=1921158" "buy_sell=B" "currency=GBP" "link="</t>
  </si>
  <si>
    <t>04/03/20 08:11:40 11996 (10.152.26.32) : Read: "record_type=QUR" "reply_reason=99" "reply_message=No valid quote available" "agency_time=2020-03-04 08:11:40.441" "buy_sell=B" "counterparty=277" "currency=GBP" "device=Aitken" "epic=TYM" "isin=GB0008854563" "link=000" "professional=N" "quantity=1921158" "system=Equity" "t+=2" "time=20200304-08:11:40" "user=tdw" "user_details=2223929"</t>
  </si>
  <si>
    <t>04/03/20 08:11:40 11996: Quo reject : 10099 : No valid quote available</t>
  </si>
  <si>
    <t>04/03/20 08:11:45 11108 (10.152.26.32) : Got quo request:                      ICV        IM00B3NTV894                                                        250000      B20200306  2                                     LSC     B3NTV89 BPC.L                         BPC   IM00B3NTV894    GBXGB   BPC.L   0908138                    GBP</t>
  </si>
  <si>
    <t>04/03/20 08:11:45 11108 (10.152.26.32) : Sending....: 0267"record_type=QU" "user=tdw" "counterparty=277" "device=Aitken" "system=Equity" "time=29505" "quantity=250000" "buy_sell=S" "isin=IM00B3NTV894" "epic=BPC" "t+=2" "settlement_date=20200306" "user_details=0908138" "quantity=250000" "buy_sell=S" "currency=GBP" "link="</t>
  </si>
  <si>
    <t>04/03/20 08:11:45 11108 (10.152.26.32) : Read: "record_type=QUR" "reply_reason=0" "agency_time=2020-03-04 08:11:45.502" "bid_price=0" "bid_size=0" "buy_sell=S" "control_ref=c9eecd54-5def-11ea-ae20-005056a25061" "counterparty=277" "currency=GBP" "device=Aitken" "epic=BPC" "isin=IM00B3NTV894" "link=791" "market_maker=791" "offer_price=0.04575" "offer_size=275000" "professional=N" "ps_bid_price=0" "ps_offer_price=0.04575" "quantity=250000" "rsp=BEGODEHH" "sent_time=2020-03-04 08:11:45.502" "serial_number=1454136440" "settlement_date=20200306" "system=Equity" "t+=2" "time=29505" "user=tdw" "user_details=0908138"</t>
  </si>
  <si>
    <t>04/03/20 08:11:45 11108: Quo reply :                       ICV        IM00B3NTV894                                                    791 250000      B20200306  2     304       4.575              30 LSC     B3NTV89 BPC.L                         BPC   IM00B3NTV894    GBXGB   BPC.L   0908138                    791</t>
  </si>
  <si>
    <t>04/03/20 08:11:45 10288 (10.152.26.31) : Got quo request:                      ICV        IE00BH04GW44                                                        1764        B20200306  2                                     LSE     BGMJP23 VGVA.L                        VGVA  IE00BH04GW44    GBXIE   VGVA.L  8812657                    GBP</t>
  </si>
  <si>
    <t>04/03/20 08:11:45 10288 (10.152.26.31) : Sending....: 0264"record_type=QU" "user=tdw" "counterparty=277" "device=Aitken" "system=Equity" "time=29505" "quantity=1764" "buy_sell=S" "isin=IE00BH04GW44" "epic=VGVA" "t+=2" "settlement_date=20200306" "user_details=8812657" "quantity=1764" "buy_sell=S" "currency=GBP" "link="</t>
  </si>
  <si>
    <t>04/03/20 08:11:45 10288 (10.152.26.31) : Read: "record_type=QUR" "reply_reason=0" "agency_time=2020-03-04 08:11:46.322" "bid_price=0" "bid_size=0" "buy_sell=S" "control_ref=ca662b7e-5def-11ea-a636-005056a25061" "counterparty=277" "currency=GBP" "device=Aitken" "epic=VGVA" "isin=IE00BH04GW44" "link=331" "market_maker=331" "offer_price=28.33678" "offer_size=7500" "professional=N" "ps_bid_price=0" "ps_offer_price=28.33678" "quantity=1764" "rsp=IHCSGB21002" "sent_time=2020-03-04 08:11:46.322" "serial_number=1412215053" "settlement_date=20200306" "system=Equity" "t+=2" "time=29505" "user=tdw" "user_details=8812657"</t>
  </si>
  <si>
    <t>04/03/20 08:11:45 10288: Quo reply :                       ICV        IE00BH04GW44                                                    331 1764        B20200306  2     305       2833.678           30 LSE     BGMJP23 VGVA.L                        VGVA  IE00BH04GW44    GBXIE   VGVA.L  8812657                    331</t>
  </si>
  <si>
    <t>04/03/20 08:11:46 8992 (10.152.26.30) : Got quo request:                      ICV        GG00BV54HY67                                                        210000      S20200306  2                                     LSA     BV54HY6 SEQI.L                        SEQI  GG00BV54HY67    GBXGG   SEQI.L  4754228                    GBP</t>
  </si>
  <si>
    <t>04/03/20 08:11:46 8992 (10.152.26.30) : Sending....: 0268"record_type=QU" "user=tdw" "counterparty=277" "device=Aitken" "system=Equity" "time=29506" "quantity=210000" "buy_sell=B" "isin=GG00BV54HY67" "epic=SEQI" "t+=2" "settlement_date=20200306" "user_details=4754228" "quantity=210000" "buy_sell=B" "currency=GBP" "link="</t>
  </si>
  <si>
    <t>04/03/20 08:11:46 8992 (10.152.26.30) : Read: "record_type=QUR" "reply_reason=0" "agency_time=2020-03-04 08:11:46.672" "bid_price=1.12968" "bid_size=500000" "buy_sell=B" "control_ref=ca9380f6-5def-11ea-ad9e-005056a25061" "counterparty=277" "currency=GBP" "device=Aitken" "epic=SEQI" "isin=GG00BV54HY67" "link=393" "market_maker=393" "offer_price=0" "offer_size=0" "professional=N" "ps_bid_price=1.12968" "ps_offer_price=0" "quantity=210000" "rsp=JEFFGB2X" "sent_time=2020-03-04 08:11:46.672" "serial_number=1208236124" "settlement_date=20200306" "system=Equity" "t+=2" "time=29506" "user=tdw" "user_details=4754228"</t>
  </si>
  <si>
    <t>04/03/20 08:11:46 8992: Quo reply :                       ICV        GG00BV54HY67                                                    393 210000      S20200306  2     306       112.968            30 LSA     BV54HY6 SEQI.L                        SEQI  GG00BV54HY67    GBXGG   SEQI.L  4754228                    393</t>
  </si>
  <si>
    <t>04/03/20 08:11:48 6048(10.152.26.32) : Got exe request:                      ICV        IE00BH04GW44                                                    2833.678000        1764        BABGBXA 305                            Y                                                     8812657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331 IE     VGVA.L  00</t>
  </si>
  <si>
    <t>04/03/20 08:11:48 6048 (10.152.26.32) : Sending....: 0300"record_type=DE" "user=tdw" "counterparty=277" "device=Aitken" "system=Equity" "time=29508" "isin=IE00BH04GW44" "epic=VGVA" "serial_number=1412215053" "buy_sell=S" "quantity=1764" "t+=2" "currency=GBP" "booking_c/party=" "settlement_date=20200306" "user_details=8812657" "market_maker=331" "link="</t>
  </si>
  <si>
    <t>04/03/20 08:11:48 6048 (10.152.26.32) : Read: "record_type=DER" "reply_reason=0" "agency_time=2020-03-04 08:11:48.630" "bargain_ref=0371470201LOA1-1" "buy_sell=S" "control_ref=0066412933LOA1" "counterparty=277" "currency=GBP" "deal_time=08:11:48" "device=Aitken" "epic=VGVA" "execution_venue=XLON" "isin=IE00BH04GW44" "market_maker=331" "price=28.33678" "professional=N" "quantity=1764" "sent_time=2020-03-04 08:11:48.436" "serial_number=0371470201LOA1-1" "settlement_date=20200306" "system=Equity" "t+=2" "time=29508" "user=tdw" "user_details=8812657"</t>
  </si>
  <si>
    <t>04/03/20 08:11:48 6048: Exe reply :                       ICV        IE00BH04GW44                                                    2833.678000        1764        BABGBXA 305                            Y                                                     8812657                                                                                                                                                                                                                                                                       0371470201LOA120200306     037147020120200304081148   2833.678              1764                331 IE     VGVA.L  02</t>
  </si>
  <si>
    <t>04/03/20 08:11:51 11888 (10.152.26.32)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</si>
  <si>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08:11:51 11888 (10.152.26.32) : Sending....: 0264"record_type=QU" "user=tdw" "counterparty=277" "device=Aitken" "system=Equity" "time=29511" "quantity=5000" "buy_sell=S" "isin=JE00B5TT1872" "epic=CEY" "t+=20" "settlement_date=20200401" "user_details=0426920" "quantity=5000" "buy_sell=S" "currency=GBP" "link="</t>
  </si>
  <si>
    <t>04/03/20 08:11:52 11888 (10.152.26.32) : Read: "record_type=QUR" "reply_reason=0" "agency_time=2020-03-04 08:11:52.369" "bid_price=0" "bid_size=0" "buy_sell=S" "control_ref=ce030f7c-5def-11ea-b212-005056a25061" "counterparty=277" "currency=GBP" "device=Aitken" "epic=CEY" "isin=JE00B5TT1872" "link=589" "market_maker=589" "offer_price=1.411234" "offer_size=5000" "professional=N" "ps_bid_price=0" "ps_offer_price=1.411234" "quantity=5000" "rsp=SHOCGB21" "sent_time=2020-03-04 08:11:52.369" "serial_number=1116755703" "settlement_date=20200401" "system=Equity" "t+=20" "time=29511" "user=tdw" "user_details=0426920"</t>
  </si>
  <si>
    <t>04/03/20 08:11:52 11888: Quo reply :                       ICV        JE00B5TT1872                                                    589 5000        B20200401 20     307       141.1234           30 LSA     B5TT187 CEY.L                         CEY   JE00B5TT1872    GBXJE   CEY.L   0426920                    589</t>
  </si>
  <si>
    <t>04/03/20 08:11:52 9236 (10.152.26.31) : Got quo request:                      ICV        GG00B4L84979                                                        1953        S20200306  2                                     LSB     B4L8497 BUR.L                         BUR   GG00B4L84979    GBXGG   BUR.L   1052673                    GBP</t>
  </si>
  <si>
    <t>04/03/20 08:11:52 9236 (10.152.26.31) : Sending....: 0263"record_type=QU" "user=tdw" "counterparty=277" "device=Aitken" "system=Equity" "time=29512" "quantity=1953" "buy_sell=B" "isin=GG00B4L84979" "epic=BUR" "t+=2" "settlement_date=20200306" "user_details=1052673" "quantity=1953" "buy_sell=B" "currency=GBP" "link="</t>
  </si>
  <si>
    <t>04/03/20 08:11:52 9236 (10.152.26.31) : Read: "record_type=QUR" "reply_reason=0" "agency_time=2020-03-04 08:11:52.448" "bid_price=5.024038" "bid_size=4725" "buy_sell=B" "control_ref=ce0ec772-5def-11ea-ac98-005056a25061" "counterparty=277" "currency=GBP" "device=Aitken" "epic=BUR.L" "isin=GG00B4L84979" "link=871" "market_maker=871" "offer_price=0" "offer_size=0" "professional=N" "ps_bid_price=5.024038" "ps_offer_price=0" "quantity=1953" "rsp=PLHCGB3LBIC" "sent_time=2020-03-04 08:11:52.448" "serial_number=2087364940" "settlement_date=20200306" "system=Equity" "t+=2" "time=29512" "user=tdw" "user_details=1052673"</t>
  </si>
  <si>
    <t>04/03/20 08:11:52 9236: Quo reply :                       ICV        GG00B4L84979                                                    871 1953        S20200306  2     308       502.4038           30 LSB     B4L8497 BUR.L                         BUR   GG00B4L84979    GBXGG   BUR.L   1052673                    871</t>
  </si>
  <si>
    <t>04/03/20 08:11:52 5992 (10.152.26.30) : Got quo request:                      ICV        GB00BJ7HMW26                                                        15067       S20200306  2                                     LSA     BJ7HMW2 FIN.L                         FIN   GB00BJ7HMW26    GBXGB   FIN.L   0958001                    GBP</t>
  </si>
  <si>
    <t>04/03/20 08:11:52 5992 (10.152.26.30) : Sending....: 0265"record_type=QU" "user=tdw" "counterparty=277" "device=Aitken" "system=Equity" "time=29512" "quantity=15067" "buy_sell=B" "isin=GB00BJ7HMW26" "epic=FIN" "t+=2" "settlement_date=20200306" "user_details=0958001" "quantity=15067" "buy_sell=B" "currency=GBP" "link="</t>
  </si>
  <si>
    <t>04/03/20 08:11:52 5992 (10.152.26.30) : Read: "record_type=QUR" "reply_reason=99" "reply_message=No valid quote available" "agency_time=2020-03-04 08:11:52.721" "buy_sell=B" "counterparty=277" "currency=GBP" "device=Aitken" "epic=FIN" "isin=GB00BJ7HMW26" "link=000" "professional=N" "quantity=15067" "system=Equity" "t+=2" "time=20200304-08:11:52" "user=tdw" "user_details=0958001"</t>
  </si>
  <si>
    <t>04/03/20 08:11:52 5992: Quo reject : 10099 : No valid quote available</t>
  </si>
  <si>
    <t>04/03/20 08:11:55 11996 (10.152.26.32) : Got quo request:                      ICV        GB00BDR05C01                                                        2913        B20200306  2                                     LSD     BDR05C0 NG..L                         NG.   GB00BDR05C01    GBXGB   NG..L   2016091                    GBP</t>
  </si>
  <si>
    <t>04/03/20 08:11:55 11996 (10.152.26.32) : Sending....: 0263"record_type=QU" "user=tdw" "counterparty=277" "device=Aitken" "system=Equity" "time=29515" "quantity=2913" "buy_sell=S" "isin=GB00BDR05C01" "epic=NG." "t+=2" "settlement_date=20200306" "user_details=2016091" "quantity=2913" "buy_sell=S" "currency=GBP" "link="</t>
  </si>
  <si>
    <t>04/03/20 08:11:55 11996 (10.152.26.32) : Read: "record_type=QUR" "reply_reason=0" "agency_time=2020-03-04 08:11:56.291" "bid_price=0" "bid_size=0" "buy_sell=S" "control_ref=d057a198-5def-11ea-88a1-005056a25061" "counterparty=277" "currency=GBP" "device=Aitken" "epic=NG..L" "isin=GB00BDR05C01" "link=871" "market_maker=871" "offer_price=10.105482" "offer_size=2971" "professional=N" "ps_bid_price=0" "ps_offer_price=10.105482" "quantity=2913" "rsp=PLHCGB3LBIC" "sent_time=2020-03-04 08:11:56.291" "serial_number=200334348" "settlement_date=20200306" "system=Equity" "t+=2" "time=29515" "user=tdw" "user_details=2016091"</t>
  </si>
  <si>
    <t>04/03/20 08:11:55 11996: Quo reply :                       ICV        GB00BDR05C01                                                    871 2913        B20200306  2     309       1010.5482          30 LSD     BDR05C0 NG..L                         NG.   GB00BDR05C01    GBXGB   NG..L   2016091                    871</t>
  </si>
  <si>
    <t>04/03/20 08:11:57 9580(10.152.26.30) : Got exe request:                      ICV        GG00BV54HY67                                                    112.968000         210000      SABGBXA 306                            Y                                                     4754228                                                                                                                                                                                                                                                                                     20200306                                                                          393 GG     SEQI.L  00</t>
  </si>
  <si>
    <t>04/03/20 08:11:57 9580 (10.152.26.30) : Sending....: 0302"record_type=DE" "user=tdw" "counterparty=277" "device=Aitken" "system=Equity" "time=29517" "isin=GG00BV54HY67" "epic=SEQI" "serial_number=1208236124" "buy_sell=B" "quantity=210000" "t+=2" "currency=GBP" "booking_c/party=" "settlement_date=20200306" "user_details=4754228" "market_maker=393" "link="</t>
  </si>
  <si>
    <t>04/03/20 08:11:58 9580 (10.152.26.30) : Read: "record_type=DER" "reply_reason=0" "agency_time=2020-03-04 08:11:58.789" "bargain_ref=0075117041LOA2-1" "buy_sell=B" "control_ref=0066412945LOA1" "counterparty=277" "currency=GBP" "deal_time=08:11:58" "device=Aitken" "epic=SEQI" "execution_venue=XLON" "isin=GG00BV54HY67" "market_maker=393" "price=1.12968" "professional=N" "quantity=210000" "sent_time=2020-03-04 08:11:58.276" "serial_number=0075117041LOA2-1" "settlement_date=20200306" "system=Equity" "t+=2" "time=29517" "user=tdw" "user_details=4754228"</t>
  </si>
  <si>
    <t>04/03/20 08:11:58 9580: Exe reply :                       ICV        GG00BV54HY67                                                    112.968000         210000      SABGBXA 306                            Y                                                     4754228                                                                                                                                                                                                                                                                       0075117041LOA220200306     007511704120200304081157   112.968               210000              393 GG     SEQI.L  02</t>
  </si>
  <si>
    <t>04/03/20 08:11:59 12728 (10.152.26.31) : Got quo request:                      ICV        GB0008706128                                                        7000        B20200306  2                                     LSF     0870612 LLOY.L                        LLOY  GB0008706128    GBXGB   LLOY.L  4730512                    GBP</t>
  </si>
  <si>
    <t>04/03/20 08:11:59 12728 (10.152.26.31) : Sending....: 0264"record_type=QU" "user=tdw" "counterparty=277" "device=Aitken" "system=Equity" "time=29519" "quantity=7000" "buy_sell=S" "isin=GB0008706128" "epic=LLOY" "t+=2" "settlement_date=20200306" "user_details=4730512" "quantity=7000" "buy_sell=S" "currency=GBP" "link="</t>
  </si>
  <si>
    <t>04/03/20 08:11:59 12728 (10.152.26.31) : Read: "record_type=QUR" "reply_reason=0" "agency_time=2020-03-04 08:11:59.714" "bid_price=0" "bid_size=0" "buy_sell=S" "control_ref=d266795a-5def-11ea-8bf1-005056a25061" "counterparty=277" "currency=GBP" "device=Aitken" "epic=LLOY" "isin=GB0008706128" "link=801" "market_maker=801" "offer_price=0.47833" "offer_size=8000" "professional=N" "ps_bid_price=0" "ps_offer_price=0.47833" "quantity=7000" "rsp=WNTSGB2LBIC" "sent_time=2020-03-04 08:11:59.714" "serial_number=1074372711" "settlement_date=20200306" "system=Equity" "t+=2" "time=29519" "user=tdw" "user_details=4730512" "quotation_amount=1"</t>
  </si>
  <si>
    <t>04/03/20 08:11:59 12728: Quo reply :                       ICV        GB0008706128                                                    801 7000        B20200306  2     310       47.833             30 LSF     0870612 LLOY.L                        LLOY  GB0008706128    GBXGB   LLOY.L  4730512                    801</t>
  </si>
  <si>
    <t>04/03/20 08:11:59 11108 (10.152.26.32) : Got quo request:                      ICV        JE00B5TT1872                                                        5000        B20200401 20                                     LSA     B5TT187 CEY.L                         CEY   JE00B5TT1872    GBXJE   CEY.L   0426920                    GBP</t>
  </si>
  <si>
    <t>04/03/20 08:11:59 11108 (10.152.26.32) : Sending....: 0264"record_type=QU" "user=tdw" "counterparty=277" "device=Aitken" "system=Equity" "time=29519" "quantity=5000" "buy_sell=S" "isin=JE00B5TT1872" "epic=CEY" "t+=20" "settlement_date=20200401" "user_details=0426920" "quantity=5000" "buy_sell=S" "currency=GBP" "link="</t>
  </si>
  <si>
    <t>04/03/20 08:11:59 11108 (10.152.26.32) : Read: "record_type=QUR" "reply_reason=0" "agency_time=2020-03-04 08:12:00.265" "bid_price=0" "bid_size=0" "buy_sell=S" "control_ref=d2bafb10-5def-11ea-8ec6-005056a25061" "counterparty=277" "currency=GBP" "device=Aitken" "epic=CEY" "isin=JE00B5TT1872" "link=331" "market_maker=331" "offer_price=1.4095" "offer_size=50000" "professional=N" "ps_bid_price=0" "ps_offer_price=1.4095" "quantity=5000" "rsp=IHCSGB21002" "sent_time=2020-03-04 08:12:00.265" "serial_number=1502021087" "settlement_date=20200401" "system=Equity" "t+=20" "time=29519" "user=tdw" "user_details=0426920"</t>
  </si>
  <si>
    <t>04/03/20 08:11:59 11108: Quo reply :                       ICV        JE00B5TT1872                                                    331 5000        B20200401 20     311       140.95             30 LSA     B5TT187 CEY.L                         CEY   JE00B5TT1872    GBXJE   CEY.L   0426920                    331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</si>
</sst>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1" fillId="0" borderId="0" xfId="0" applyFont="1"/>
    <xf numFmtId="0" fontId="3" fillId="0" borderId="0" xfId="0" applyFont="1"/>
    <xf numFmtId="0" fontId="3" fillId="0" borderId="1" xfId="0" applyFont="1" applyBorder="1"/>
    <xf numFmtId="0" fontId="0" fillId="0" borderId="1" xfId="0" applyBorder="1"/>
    <xf numFmtId="0" fontId="0" fillId="0" borderId="6" xfId="0" applyBorder="1"/>
    <xf numFmtId="0" fontId="1" fillId="0" borderId="2" xfId="0" applyFont="1" applyBorder="1"/>
    <xf numFmtId="0" fontId="0" fillId="0" borderId="7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4" fillId="0" borderId="0" xfId="0" applyFont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3" xfId="0" applyFont="1" applyFill="1" applyBorder="1"/>
    <xf numFmtId="0" fontId="1" fillId="0" borderId="5" xfId="0" applyFont="1" applyFill="1" applyBorder="1"/>
    <xf numFmtId="0" fontId="0" fillId="0" borderId="8" xfId="0" applyBorder="1"/>
    <xf numFmtId="0" fontId="0" fillId="0" borderId="10" xfId="0" applyBorder="1"/>
    <xf numFmtId="0" fontId="0" fillId="0" borderId="16" xfId="0" applyBorder="1"/>
    <xf numFmtId="0" fontId="0" fillId="0" borderId="17" xfId="0" applyBorder="1"/>
    <xf numFmtId="9" fontId="0" fillId="0" borderId="0" xfId="1" applyFont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APJAPI-v1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1"/>
          <c:order val="1"/>
          <c:tx>
            <c:strRef>
              <c:f>TradeData!$C$2</c:f>
              <c:strCache>
                <c:ptCount val="1"/>
                <c:pt idx="0">
                  <c:v>WebDeal Servers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TradeData!$A$3:$A$37</c:f>
              <c:strCache>
                <c:ptCount val="35"/>
                <c:pt idx="0">
                  <c:v>08:00:00 - 08:00:10</c:v>
                </c:pt>
                <c:pt idx="1">
                  <c:v>08:00:11 - 08:00:20</c:v>
                </c:pt>
                <c:pt idx="2">
                  <c:v>08:00:21 - 08:00:30</c:v>
                </c:pt>
                <c:pt idx="3">
                  <c:v>08:00:31 - 08:00:40</c:v>
                </c:pt>
                <c:pt idx="4">
                  <c:v>08:00:41 - 08:00:50</c:v>
                </c:pt>
                <c:pt idx="5">
                  <c:v>08:00:51 - 08:01:00</c:v>
                </c:pt>
                <c:pt idx="6">
                  <c:v>08:01:01 - 08:01:10</c:v>
                </c:pt>
                <c:pt idx="7">
                  <c:v>08:01:11 - 08:01:20</c:v>
                </c:pt>
                <c:pt idx="8">
                  <c:v>08:01:21 - 08:01:30</c:v>
                </c:pt>
                <c:pt idx="9">
                  <c:v>08:01:31 - 08:01:40</c:v>
                </c:pt>
                <c:pt idx="10">
                  <c:v>08:01:41 - 08:01:50</c:v>
                </c:pt>
                <c:pt idx="11">
                  <c:v>08:01:51 - 08:02:00</c:v>
                </c:pt>
                <c:pt idx="12">
                  <c:v>08:02:00 - 08:02:10</c:v>
                </c:pt>
                <c:pt idx="13">
                  <c:v>08:02:11 - 08:02:20</c:v>
                </c:pt>
                <c:pt idx="14">
                  <c:v>08:02:21 - 08:02:30</c:v>
                </c:pt>
                <c:pt idx="15">
                  <c:v>08:02:31 - 08:02:40</c:v>
                </c:pt>
                <c:pt idx="16">
                  <c:v>08:02:41 - 08:02:50</c:v>
                </c:pt>
                <c:pt idx="17">
                  <c:v>08:02:51 - 08:03:00</c:v>
                </c:pt>
                <c:pt idx="18">
                  <c:v>08:03:00 - 08:03:10</c:v>
                </c:pt>
                <c:pt idx="19">
                  <c:v>08:03:11 - 08:03:20</c:v>
                </c:pt>
                <c:pt idx="20">
                  <c:v>08:03:21 - 08:03:30</c:v>
                </c:pt>
                <c:pt idx="21">
                  <c:v>08:03:31 - 08:03:40</c:v>
                </c:pt>
                <c:pt idx="22">
                  <c:v>08:03:41 - 08:03:50</c:v>
                </c:pt>
                <c:pt idx="23">
                  <c:v>08:03:51 - 08:04:00</c:v>
                </c:pt>
                <c:pt idx="24">
                  <c:v>08:03:11 - 08:03:20</c:v>
                </c:pt>
                <c:pt idx="25">
                  <c:v>08:03:21 - 08:03:30</c:v>
                </c:pt>
                <c:pt idx="26">
                  <c:v>08:03:31 - 08:03:40</c:v>
                </c:pt>
                <c:pt idx="27">
                  <c:v>08:03:41 - 08:03:50</c:v>
                </c:pt>
                <c:pt idx="28">
                  <c:v>08:03:51 - 08:04:00</c:v>
                </c:pt>
                <c:pt idx="29">
                  <c:v>08:04:00 - 08:04:10</c:v>
                </c:pt>
                <c:pt idx="30">
                  <c:v>08:04:11 - 08:04:20</c:v>
                </c:pt>
                <c:pt idx="31">
                  <c:v>08:04:21 - 08:04:30</c:v>
                </c:pt>
                <c:pt idx="32">
                  <c:v>08:04:31 - 08:04:40</c:v>
                </c:pt>
                <c:pt idx="33">
                  <c:v>08:04:41 - 08:04:50</c:v>
                </c:pt>
                <c:pt idx="34">
                  <c:v>08:04:51 - 08:05:00</c:v>
                </c:pt>
              </c:strCache>
            </c:strRef>
          </c:cat>
          <c:val>
            <c:numRef>
              <c:f>TradeData!$C$3:$C$37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8-465F-ADA5-8A82367E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082703"/>
        <c:axId val="904095391"/>
      </c:lineChart>
      <c:lineChart>
        <c:grouping val="stacked"/>
        <c:varyColors val="0"/>
        <c:ser>
          <c:idx val="0"/>
          <c:order val="0"/>
          <c:tx>
            <c:strRef>
              <c:f>TradeData!$B$2</c:f>
              <c:strCache>
                <c:ptCount val="1"/>
                <c:pt idx="0">
                  <c:v>RawData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TradeData!$A$3:$A$37</c:f>
              <c:strCache>
                <c:ptCount val="35"/>
                <c:pt idx="0">
                  <c:v>08:00:00 - 08:00:10</c:v>
                </c:pt>
                <c:pt idx="1">
                  <c:v>08:00:11 - 08:00:20</c:v>
                </c:pt>
                <c:pt idx="2">
                  <c:v>08:00:21 - 08:00:30</c:v>
                </c:pt>
                <c:pt idx="3">
                  <c:v>08:00:31 - 08:00:40</c:v>
                </c:pt>
                <c:pt idx="4">
                  <c:v>08:00:41 - 08:00:50</c:v>
                </c:pt>
                <c:pt idx="5">
                  <c:v>08:00:51 - 08:01:00</c:v>
                </c:pt>
                <c:pt idx="6">
                  <c:v>08:01:01 - 08:01:10</c:v>
                </c:pt>
                <c:pt idx="7">
                  <c:v>08:01:11 - 08:01:20</c:v>
                </c:pt>
                <c:pt idx="8">
                  <c:v>08:01:21 - 08:01:30</c:v>
                </c:pt>
                <c:pt idx="9">
                  <c:v>08:01:31 - 08:01:40</c:v>
                </c:pt>
                <c:pt idx="10">
                  <c:v>08:01:41 - 08:01:50</c:v>
                </c:pt>
                <c:pt idx="11">
                  <c:v>08:01:51 - 08:02:00</c:v>
                </c:pt>
                <c:pt idx="12">
                  <c:v>08:02:00 - 08:02:10</c:v>
                </c:pt>
                <c:pt idx="13">
                  <c:v>08:02:11 - 08:02:20</c:v>
                </c:pt>
                <c:pt idx="14">
                  <c:v>08:02:21 - 08:02:30</c:v>
                </c:pt>
                <c:pt idx="15">
                  <c:v>08:02:31 - 08:02:40</c:v>
                </c:pt>
                <c:pt idx="16">
                  <c:v>08:02:41 - 08:02:50</c:v>
                </c:pt>
                <c:pt idx="17">
                  <c:v>08:02:51 - 08:03:00</c:v>
                </c:pt>
                <c:pt idx="18">
                  <c:v>08:03:00 - 08:03:10</c:v>
                </c:pt>
                <c:pt idx="19">
                  <c:v>08:03:11 - 08:03:20</c:v>
                </c:pt>
                <c:pt idx="20">
                  <c:v>08:03:21 - 08:03:30</c:v>
                </c:pt>
                <c:pt idx="21">
                  <c:v>08:03:31 - 08:03:40</c:v>
                </c:pt>
                <c:pt idx="22">
                  <c:v>08:03:41 - 08:03:50</c:v>
                </c:pt>
                <c:pt idx="23">
                  <c:v>08:03:51 - 08:04:00</c:v>
                </c:pt>
                <c:pt idx="24">
                  <c:v>08:03:11 - 08:03:20</c:v>
                </c:pt>
                <c:pt idx="25">
                  <c:v>08:03:21 - 08:03:30</c:v>
                </c:pt>
                <c:pt idx="26">
                  <c:v>08:03:31 - 08:03:40</c:v>
                </c:pt>
                <c:pt idx="27">
                  <c:v>08:03:41 - 08:03:50</c:v>
                </c:pt>
                <c:pt idx="28">
                  <c:v>08:03:51 - 08:04:00</c:v>
                </c:pt>
                <c:pt idx="29">
                  <c:v>08:04:00 - 08:04:10</c:v>
                </c:pt>
                <c:pt idx="30">
                  <c:v>08:04:11 - 08:04:20</c:v>
                </c:pt>
                <c:pt idx="31">
                  <c:v>08:04:21 - 08:04:30</c:v>
                </c:pt>
                <c:pt idx="32">
                  <c:v>08:04:31 - 08:04:40</c:v>
                </c:pt>
                <c:pt idx="33">
                  <c:v>08:04:41 - 08:04:50</c:v>
                </c:pt>
                <c:pt idx="34">
                  <c:v>08:04:51 - 08:05:00</c:v>
                </c:pt>
              </c:strCache>
            </c:strRef>
          </c:cat>
          <c:val>
            <c:numRef>
              <c:f>TradeData!$B$3:$B$37</c:f>
              <c:numCache>
                <c:formatCode>General</c:formatCode>
                <c:ptCount val="35"/>
                <c:pt idx="0">
                  <c:v>33</c:v>
                </c:pt>
                <c:pt idx="1">
                  <c:v>30</c:v>
                </c:pt>
                <c:pt idx="2">
                  <c:v>26</c:v>
                </c:pt>
                <c:pt idx="3">
                  <c:v>23</c:v>
                </c:pt>
                <c:pt idx="4">
                  <c:v>28</c:v>
                </c:pt>
                <c:pt idx="5">
                  <c:v>22</c:v>
                </c:pt>
                <c:pt idx="6">
                  <c:v>25</c:v>
                </c:pt>
                <c:pt idx="7">
                  <c:v>20</c:v>
                </c:pt>
                <c:pt idx="8">
                  <c:v>17</c:v>
                </c:pt>
                <c:pt idx="9">
                  <c:v>22</c:v>
                </c:pt>
                <c:pt idx="10">
                  <c:v>34</c:v>
                </c:pt>
                <c:pt idx="11">
                  <c:v>22</c:v>
                </c:pt>
                <c:pt idx="12">
                  <c:v>28</c:v>
                </c:pt>
                <c:pt idx="13">
                  <c:v>23</c:v>
                </c:pt>
                <c:pt idx="14">
                  <c:v>25</c:v>
                </c:pt>
                <c:pt idx="15">
                  <c:v>21</c:v>
                </c:pt>
                <c:pt idx="16">
                  <c:v>19</c:v>
                </c:pt>
                <c:pt idx="17">
                  <c:v>26</c:v>
                </c:pt>
                <c:pt idx="18">
                  <c:v>25</c:v>
                </c:pt>
                <c:pt idx="19">
                  <c:v>20</c:v>
                </c:pt>
                <c:pt idx="20">
                  <c:v>20</c:v>
                </c:pt>
                <c:pt idx="21">
                  <c:v>26</c:v>
                </c:pt>
                <c:pt idx="22">
                  <c:v>26</c:v>
                </c:pt>
                <c:pt idx="23">
                  <c:v>22</c:v>
                </c:pt>
                <c:pt idx="24">
                  <c:v>20</c:v>
                </c:pt>
                <c:pt idx="25">
                  <c:v>20</c:v>
                </c:pt>
                <c:pt idx="26">
                  <c:v>26</c:v>
                </c:pt>
                <c:pt idx="27">
                  <c:v>26</c:v>
                </c:pt>
                <c:pt idx="28">
                  <c:v>22</c:v>
                </c:pt>
                <c:pt idx="29">
                  <c:v>14</c:v>
                </c:pt>
                <c:pt idx="30">
                  <c:v>27</c:v>
                </c:pt>
                <c:pt idx="31">
                  <c:v>17</c:v>
                </c:pt>
                <c:pt idx="32">
                  <c:v>23</c:v>
                </c:pt>
                <c:pt idx="33">
                  <c:v>26</c:v>
                </c:pt>
                <c:pt idx="34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B8-465F-ADA5-8A82367E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7490351"/>
        <c:axId val="904596447"/>
      </c:lineChart>
      <c:catAx>
        <c:axId val="685082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095391"/>
        <c:crosses val="autoZero"/>
        <c:auto val="1"/>
        <c:lblAlgn val="ctr"/>
        <c:lblOffset val="100"/>
        <c:noMultiLvlLbl val="0"/>
      </c:catAx>
      <c:valAx>
        <c:axId val="90409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82703"/>
        <c:crosses val="autoZero"/>
        <c:crossBetween val="between"/>
      </c:valAx>
      <c:valAx>
        <c:axId val="90459644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490351"/>
        <c:crosses val="max"/>
        <c:crossBetween val="between"/>
      </c:valAx>
      <c:catAx>
        <c:axId val="987490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45964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APJAPI-V2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TradeData!$G$2</c:f>
              <c:strCache>
                <c:ptCount val="1"/>
                <c:pt idx="0">
                  <c:v>RawData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TradeData!$A$3:$A$37</c:f>
              <c:strCache>
                <c:ptCount val="35"/>
                <c:pt idx="0">
                  <c:v>08:00:00 - 08:00:10</c:v>
                </c:pt>
                <c:pt idx="1">
                  <c:v>08:00:11 - 08:00:20</c:v>
                </c:pt>
                <c:pt idx="2">
                  <c:v>08:00:21 - 08:00:30</c:v>
                </c:pt>
                <c:pt idx="3">
                  <c:v>08:00:31 - 08:00:40</c:v>
                </c:pt>
                <c:pt idx="4">
                  <c:v>08:00:41 - 08:00:50</c:v>
                </c:pt>
                <c:pt idx="5">
                  <c:v>08:00:51 - 08:01:00</c:v>
                </c:pt>
                <c:pt idx="6">
                  <c:v>08:01:01 - 08:01:10</c:v>
                </c:pt>
                <c:pt idx="7">
                  <c:v>08:01:11 - 08:01:20</c:v>
                </c:pt>
                <c:pt idx="8">
                  <c:v>08:01:21 - 08:01:30</c:v>
                </c:pt>
                <c:pt idx="9">
                  <c:v>08:01:31 - 08:01:40</c:v>
                </c:pt>
                <c:pt idx="10">
                  <c:v>08:01:41 - 08:01:50</c:v>
                </c:pt>
                <c:pt idx="11">
                  <c:v>08:01:51 - 08:02:00</c:v>
                </c:pt>
                <c:pt idx="12">
                  <c:v>08:02:00 - 08:02:10</c:v>
                </c:pt>
                <c:pt idx="13">
                  <c:v>08:02:11 - 08:02:20</c:v>
                </c:pt>
                <c:pt idx="14">
                  <c:v>08:02:21 - 08:02:30</c:v>
                </c:pt>
                <c:pt idx="15">
                  <c:v>08:02:31 - 08:02:40</c:v>
                </c:pt>
                <c:pt idx="16">
                  <c:v>08:02:41 - 08:02:50</c:v>
                </c:pt>
                <c:pt idx="17">
                  <c:v>08:02:51 - 08:03:00</c:v>
                </c:pt>
                <c:pt idx="18">
                  <c:v>08:03:00 - 08:03:10</c:v>
                </c:pt>
                <c:pt idx="19">
                  <c:v>08:03:11 - 08:03:20</c:v>
                </c:pt>
                <c:pt idx="20">
                  <c:v>08:03:21 - 08:03:30</c:v>
                </c:pt>
                <c:pt idx="21">
                  <c:v>08:03:31 - 08:03:40</c:v>
                </c:pt>
                <c:pt idx="22">
                  <c:v>08:03:41 - 08:03:50</c:v>
                </c:pt>
                <c:pt idx="23">
                  <c:v>08:03:51 - 08:04:00</c:v>
                </c:pt>
                <c:pt idx="24">
                  <c:v>08:03:11 - 08:03:20</c:v>
                </c:pt>
                <c:pt idx="25">
                  <c:v>08:03:21 - 08:03:30</c:v>
                </c:pt>
                <c:pt idx="26">
                  <c:v>08:03:31 - 08:03:40</c:v>
                </c:pt>
                <c:pt idx="27">
                  <c:v>08:03:41 - 08:03:50</c:v>
                </c:pt>
                <c:pt idx="28">
                  <c:v>08:03:51 - 08:04:00</c:v>
                </c:pt>
                <c:pt idx="29">
                  <c:v>08:04:00 - 08:04:10</c:v>
                </c:pt>
                <c:pt idx="30">
                  <c:v>08:04:11 - 08:04:20</c:v>
                </c:pt>
                <c:pt idx="31">
                  <c:v>08:04:21 - 08:04:30</c:v>
                </c:pt>
                <c:pt idx="32">
                  <c:v>08:04:31 - 08:04:40</c:v>
                </c:pt>
                <c:pt idx="33">
                  <c:v>08:04:41 - 08:04:50</c:v>
                </c:pt>
                <c:pt idx="34">
                  <c:v>08:04:51 - 08:05:00</c:v>
                </c:pt>
              </c:strCache>
            </c:strRef>
          </c:cat>
          <c:val>
            <c:numRef>
              <c:f>TradeData!$G$3:$G$37</c:f>
              <c:numCache>
                <c:formatCode>General</c:formatCode>
                <c:ptCount val="35"/>
                <c:pt idx="0">
                  <c:v>27</c:v>
                </c:pt>
                <c:pt idx="1">
                  <c:v>28</c:v>
                </c:pt>
                <c:pt idx="2">
                  <c:v>30</c:v>
                </c:pt>
                <c:pt idx="3">
                  <c:v>25</c:v>
                </c:pt>
                <c:pt idx="4">
                  <c:v>28</c:v>
                </c:pt>
                <c:pt idx="5">
                  <c:v>21</c:v>
                </c:pt>
                <c:pt idx="6">
                  <c:v>21</c:v>
                </c:pt>
                <c:pt idx="7">
                  <c:v>19</c:v>
                </c:pt>
                <c:pt idx="8">
                  <c:v>23</c:v>
                </c:pt>
                <c:pt idx="9">
                  <c:v>26</c:v>
                </c:pt>
                <c:pt idx="10">
                  <c:v>34</c:v>
                </c:pt>
                <c:pt idx="11">
                  <c:v>25</c:v>
                </c:pt>
                <c:pt idx="12">
                  <c:v>21</c:v>
                </c:pt>
                <c:pt idx="13">
                  <c:v>25</c:v>
                </c:pt>
                <c:pt idx="14">
                  <c:v>22</c:v>
                </c:pt>
                <c:pt idx="15">
                  <c:v>17</c:v>
                </c:pt>
                <c:pt idx="16">
                  <c:v>20</c:v>
                </c:pt>
                <c:pt idx="17">
                  <c:v>29</c:v>
                </c:pt>
                <c:pt idx="18">
                  <c:v>23</c:v>
                </c:pt>
                <c:pt idx="19">
                  <c:v>25</c:v>
                </c:pt>
                <c:pt idx="20">
                  <c:v>21</c:v>
                </c:pt>
                <c:pt idx="21">
                  <c:v>18</c:v>
                </c:pt>
                <c:pt idx="22">
                  <c:v>24</c:v>
                </c:pt>
                <c:pt idx="23">
                  <c:v>21</c:v>
                </c:pt>
                <c:pt idx="24">
                  <c:v>25</c:v>
                </c:pt>
                <c:pt idx="25">
                  <c:v>21</c:v>
                </c:pt>
                <c:pt idx="26">
                  <c:v>18</c:v>
                </c:pt>
                <c:pt idx="27">
                  <c:v>24</c:v>
                </c:pt>
                <c:pt idx="28">
                  <c:v>21</c:v>
                </c:pt>
                <c:pt idx="29">
                  <c:v>18</c:v>
                </c:pt>
                <c:pt idx="30">
                  <c:v>20</c:v>
                </c:pt>
                <c:pt idx="31">
                  <c:v>19</c:v>
                </c:pt>
                <c:pt idx="32">
                  <c:v>22</c:v>
                </c:pt>
                <c:pt idx="33">
                  <c:v>15</c:v>
                </c:pt>
                <c:pt idx="34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8F-42EF-AA3F-57E1F762603D}"/>
            </c:ext>
          </c:extLst>
        </c:ser>
        <c:ser>
          <c:idx val="1"/>
          <c:order val="1"/>
          <c:tx>
            <c:strRef>
              <c:f>TradeData!$H$2</c:f>
              <c:strCache>
                <c:ptCount val="1"/>
                <c:pt idx="0">
                  <c:v>WebDeal Servers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TradeData!$A$3:$A$37</c:f>
              <c:strCache>
                <c:ptCount val="35"/>
                <c:pt idx="0">
                  <c:v>08:00:00 - 08:00:10</c:v>
                </c:pt>
                <c:pt idx="1">
                  <c:v>08:00:11 - 08:00:20</c:v>
                </c:pt>
                <c:pt idx="2">
                  <c:v>08:00:21 - 08:00:30</c:v>
                </c:pt>
                <c:pt idx="3">
                  <c:v>08:00:31 - 08:00:40</c:v>
                </c:pt>
                <c:pt idx="4">
                  <c:v>08:00:41 - 08:00:50</c:v>
                </c:pt>
                <c:pt idx="5">
                  <c:v>08:00:51 - 08:01:00</c:v>
                </c:pt>
                <c:pt idx="6">
                  <c:v>08:01:01 - 08:01:10</c:v>
                </c:pt>
                <c:pt idx="7">
                  <c:v>08:01:11 - 08:01:20</c:v>
                </c:pt>
                <c:pt idx="8">
                  <c:v>08:01:21 - 08:01:30</c:v>
                </c:pt>
                <c:pt idx="9">
                  <c:v>08:01:31 - 08:01:40</c:v>
                </c:pt>
                <c:pt idx="10">
                  <c:v>08:01:41 - 08:01:50</c:v>
                </c:pt>
                <c:pt idx="11">
                  <c:v>08:01:51 - 08:02:00</c:v>
                </c:pt>
                <c:pt idx="12">
                  <c:v>08:02:00 - 08:02:10</c:v>
                </c:pt>
                <c:pt idx="13">
                  <c:v>08:02:11 - 08:02:20</c:v>
                </c:pt>
                <c:pt idx="14">
                  <c:v>08:02:21 - 08:02:30</c:v>
                </c:pt>
                <c:pt idx="15">
                  <c:v>08:02:31 - 08:02:40</c:v>
                </c:pt>
                <c:pt idx="16">
                  <c:v>08:02:41 - 08:02:50</c:v>
                </c:pt>
                <c:pt idx="17">
                  <c:v>08:02:51 - 08:03:00</c:v>
                </c:pt>
                <c:pt idx="18">
                  <c:v>08:03:00 - 08:03:10</c:v>
                </c:pt>
                <c:pt idx="19">
                  <c:v>08:03:11 - 08:03:20</c:v>
                </c:pt>
                <c:pt idx="20">
                  <c:v>08:03:21 - 08:03:30</c:v>
                </c:pt>
                <c:pt idx="21">
                  <c:v>08:03:31 - 08:03:40</c:v>
                </c:pt>
                <c:pt idx="22">
                  <c:v>08:03:41 - 08:03:50</c:v>
                </c:pt>
                <c:pt idx="23">
                  <c:v>08:03:51 - 08:04:00</c:v>
                </c:pt>
                <c:pt idx="24">
                  <c:v>08:03:11 - 08:03:20</c:v>
                </c:pt>
                <c:pt idx="25">
                  <c:v>08:03:21 - 08:03:30</c:v>
                </c:pt>
                <c:pt idx="26">
                  <c:v>08:03:31 - 08:03:40</c:v>
                </c:pt>
                <c:pt idx="27">
                  <c:v>08:03:41 - 08:03:50</c:v>
                </c:pt>
                <c:pt idx="28">
                  <c:v>08:03:51 - 08:04:00</c:v>
                </c:pt>
                <c:pt idx="29">
                  <c:v>08:04:00 - 08:04:10</c:v>
                </c:pt>
                <c:pt idx="30">
                  <c:v>08:04:11 - 08:04:20</c:v>
                </c:pt>
                <c:pt idx="31">
                  <c:v>08:04:21 - 08:04:30</c:v>
                </c:pt>
                <c:pt idx="32">
                  <c:v>08:04:31 - 08:04:40</c:v>
                </c:pt>
                <c:pt idx="33">
                  <c:v>08:04:41 - 08:04:50</c:v>
                </c:pt>
                <c:pt idx="34">
                  <c:v>08:04:51 - 08:05:00</c:v>
                </c:pt>
              </c:strCache>
            </c:strRef>
          </c:cat>
          <c:val>
            <c:numRef>
              <c:f>TradeData!$H$3:$H$37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8F-42EF-AA3F-57E1F7626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359439"/>
        <c:axId val="897575391"/>
      </c:lineChart>
      <c:catAx>
        <c:axId val="1137359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575391"/>
        <c:crosses val="autoZero"/>
        <c:auto val="1"/>
        <c:lblAlgn val="ctr"/>
        <c:lblOffset val="100"/>
        <c:noMultiLvlLbl val="0"/>
      </c:catAx>
      <c:valAx>
        <c:axId val="89757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359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APJAPI-v3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TradeData!$L$2</c:f>
              <c:strCache>
                <c:ptCount val="1"/>
                <c:pt idx="0">
                  <c:v>RawData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TradeData!$A$3:$A$37</c:f>
              <c:strCache>
                <c:ptCount val="35"/>
                <c:pt idx="0">
                  <c:v>08:00:00 - 08:00:10</c:v>
                </c:pt>
                <c:pt idx="1">
                  <c:v>08:00:11 - 08:00:20</c:v>
                </c:pt>
                <c:pt idx="2">
                  <c:v>08:00:21 - 08:00:30</c:v>
                </c:pt>
                <c:pt idx="3">
                  <c:v>08:00:31 - 08:00:40</c:v>
                </c:pt>
                <c:pt idx="4">
                  <c:v>08:00:41 - 08:00:50</c:v>
                </c:pt>
                <c:pt idx="5">
                  <c:v>08:00:51 - 08:01:00</c:v>
                </c:pt>
                <c:pt idx="6">
                  <c:v>08:01:01 - 08:01:10</c:v>
                </c:pt>
                <c:pt idx="7">
                  <c:v>08:01:11 - 08:01:20</c:v>
                </c:pt>
                <c:pt idx="8">
                  <c:v>08:01:21 - 08:01:30</c:v>
                </c:pt>
                <c:pt idx="9">
                  <c:v>08:01:31 - 08:01:40</c:v>
                </c:pt>
                <c:pt idx="10">
                  <c:v>08:01:41 - 08:01:50</c:v>
                </c:pt>
                <c:pt idx="11">
                  <c:v>08:01:51 - 08:02:00</c:v>
                </c:pt>
                <c:pt idx="12">
                  <c:v>08:02:00 - 08:02:10</c:v>
                </c:pt>
                <c:pt idx="13">
                  <c:v>08:02:11 - 08:02:20</c:v>
                </c:pt>
                <c:pt idx="14">
                  <c:v>08:02:21 - 08:02:30</c:v>
                </c:pt>
                <c:pt idx="15">
                  <c:v>08:02:31 - 08:02:40</c:v>
                </c:pt>
                <c:pt idx="16">
                  <c:v>08:02:41 - 08:02:50</c:v>
                </c:pt>
                <c:pt idx="17">
                  <c:v>08:02:51 - 08:03:00</c:v>
                </c:pt>
                <c:pt idx="18">
                  <c:v>08:03:00 - 08:03:10</c:v>
                </c:pt>
                <c:pt idx="19">
                  <c:v>08:03:11 - 08:03:20</c:v>
                </c:pt>
                <c:pt idx="20">
                  <c:v>08:03:21 - 08:03:30</c:v>
                </c:pt>
                <c:pt idx="21">
                  <c:v>08:03:31 - 08:03:40</c:v>
                </c:pt>
                <c:pt idx="22">
                  <c:v>08:03:41 - 08:03:50</c:v>
                </c:pt>
                <c:pt idx="23">
                  <c:v>08:03:51 - 08:04:00</c:v>
                </c:pt>
                <c:pt idx="24">
                  <c:v>08:03:11 - 08:03:20</c:v>
                </c:pt>
                <c:pt idx="25">
                  <c:v>08:03:21 - 08:03:30</c:v>
                </c:pt>
                <c:pt idx="26">
                  <c:v>08:03:31 - 08:03:40</c:v>
                </c:pt>
                <c:pt idx="27">
                  <c:v>08:03:41 - 08:03:50</c:v>
                </c:pt>
                <c:pt idx="28">
                  <c:v>08:03:51 - 08:04:00</c:v>
                </c:pt>
                <c:pt idx="29">
                  <c:v>08:04:00 - 08:04:10</c:v>
                </c:pt>
                <c:pt idx="30">
                  <c:v>08:04:11 - 08:04:20</c:v>
                </c:pt>
                <c:pt idx="31">
                  <c:v>08:04:21 - 08:04:30</c:v>
                </c:pt>
                <c:pt idx="32">
                  <c:v>08:04:31 - 08:04:40</c:v>
                </c:pt>
                <c:pt idx="33">
                  <c:v>08:04:41 - 08:04:50</c:v>
                </c:pt>
                <c:pt idx="34">
                  <c:v>08:04:51 - 08:05:00</c:v>
                </c:pt>
              </c:strCache>
            </c:strRef>
          </c:cat>
          <c:val>
            <c:numRef>
              <c:f>TradeData!$L$3:$L$37</c:f>
              <c:numCache>
                <c:formatCode>General</c:formatCode>
                <c:ptCount val="35"/>
                <c:pt idx="0">
                  <c:v>38</c:v>
                </c:pt>
                <c:pt idx="1">
                  <c:v>23</c:v>
                </c:pt>
                <c:pt idx="2">
                  <c:v>23</c:v>
                </c:pt>
                <c:pt idx="3">
                  <c:v>29</c:v>
                </c:pt>
                <c:pt idx="4">
                  <c:v>25</c:v>
                </c:pt>
                <c:pt idx="5">
                  <c:v>25</c:v>
                </c:pt>
                <c:pt idx="6">
                  <c:v>27</c:v>
                </c:pt>
                <c:pt idx="7">
                  <c:v>19</c:v>
                </c:pt>
                <c:pt idx="8">
                  <c:v>23</c:v>
                </c:pt>
                <c:pt idx="9">
                  <c:v>25</c:v>
                </c:pt>
                <c:pt idx="10">
                  <c:v>30</c:v>
                </c:pt>
                <c:pt idx="11">
                  <c:v>20</c:v>
                </c:pt>
                <c:pt idx="12">
                  <c:v>29</c:v>
                </c:pt>
                <c:pt idx="13">
                  <c:v>29</c:v>
                </c:pt>
                <c:pt idx="14">
                  <c:v>23</c:v>
                </c:pt>
                <c:pt idx="15">
                  <c:v>15</c:v>
                </c:pt>
                <c:pt idx="16">
                  <c:v>27</c:v>
                </c:pt>
                <c:pt idx="17">
                  <c:v>22</c:v>
                </c:pt>
                <c:pt idx="18">
                  <c:v>27</c:v>
                </c:pt>
                <c:pt idx="19">
                  <c:v>22</c:v>
                </c:pt>
                <c:pt idx="20">
                  <c:v>19</c:v>
                </c:pt>
                <c:pt idx="21">
                  <c:v>21</c:v>
                </c:pt>
                <c:pt idx="22">
                  <c:v>17</c:v>
                </c:pt>
                <c:pt idx="23">
                  <c:v>19</c:v>
                </c:pt>
                <c:pt idx="24">
                  <c:v>22</c:v>
                </c:pt>
                <c:pt idx="25">
                  <c:v>19</c:v>
                </c:pt>
                <c:pt idx="26">
                  <c:v>21</c:v>
                </c:pt>
                <c:pt idx="27">
                  <c:v>17</c:v>
                </c:pt>
                <c:pt idx="28">
                  <c:v>19</c:v>
                </c:pt>
                <c:pt idx="29">
                  <c:v>19</c:v>
                </c:pt>
                <c:pt idx="30">
                  <c:v>16</c:v>
                </c:pt>
                <c:pt idx="31">
                  <c:v>26</c:v>
                </c:pt>
                <c:pt idx="32">
                  <c:v>30</c:v>
                </c:pt>
                <c:pt idx="33">
                  <c:v>22</c:v>
                </c:pt>
                <c:pt idx="34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B4-4C0A-9A3F-81A05B887ECC}"/>
            </c:ext>
          </c:extLst>
        </c:ser>
        <c:ser>
          <c:idx val="1"/>
          <c:order val="1"/>
          <c:tx>
            <c:strRef>
              <c:f>TradeData!$M$2</c:f>
              <c:strCache>
                <c:ptCount val="1"/>
                <c:pt idx="0">
                  <c:v>WebDeal Servers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TradeData!$A$3:$A$37</c:f>
              <c:strCache>
                <c:ptCount val="35"/>
                <c:pt idx="0">
                  <c:v>08:00:00 - 08:00:10</c:v>
                </c:pt>
                <c:pt idx="1">
                  <c:v>08:00:11 - 08:00:20</c:v>
                </c:pt>
                <c:pt idx="2">
                  <c:v>08:00:21 - 08:00:30</c:v>
                </c:pt>
                <c:pt idx="3">
                  <c:v>08:00:31 - 08:00:40</c:v>
                </c:pt>
                <c:pt idx="4">
                  <c:v>08:00:41 - 08:00:50</c:v>
                </c:pt>
                <c:pt idx="5">
                  <c:v>08:00:51 - 08:01:00</c:v>
                </c:pt>
                <c:pt idx="6">
                  <c:v>08:01:01 - 08:01:10</c:v>
                </c:pt>
                <c:pt idx="7">
                  <c:v>08:01:11 - 08:01:20</c:v>
                </c:pt>
                <c:pt idx="8">
                  <c:v>08:01:21 - 08:01:30</c:v>
                </c:pt>
                <c:pt idx="9">
                  <c:v>08:01:31 - 08:01:40</c:v>
                </c:pt>
                <c:pt idx="10">
                  <c:v>08:01:41 - 08:01:50</c:v>
                </c:pt>
                <c:pt idx="11">
                  <c:v>08:01:51 - 08:02:00</c:v>
                </c:pt>
                <c:pt idx="12">
                  <c:v>08:02:00 - 08:02:10</c:v>
                </c:pt>
                <c:pt idx="13">
                  <c:v>08:02:11 - 08:02:20</c:v>
                </c:pt>
                <c:pt idx="14">
                  <c:v>08:02:21 - 08:02:30</c:v>
                </c:pt>
                <c:pt idx="15">
                  <c:v>08:02:31 - 08:02:40</c:v>
                </c:pt>
                <c:pt idx="16">
                  <c:v>08:02:41 - 08:02:50</c:v>
                </c:pt>
                <c:pt idx="17">
                  <c:v>08:02:51 - 08:03:00</c:v>
                </c:pt>
                <c:pt idx="18">
                  <c:v>08:03:00 - 08:03:10</c:v>
                </c:pt>
                <c:pt idx="19">
                  <c:v>08:03:11 - 08:03:20</c:v>
                </c:pt>
                <c:pt idx="20">
                  <c:v>08:03:21 - 08:03:30</c:v>
                </c:pt>
                <c:pt idx="21">
                  <c:v>08:03:31 - 08:03:40</c:v>
                </c:pt>
                <c:pt idx="22">
                  <c:v>08:03:41 - 08:03:50</c:v>
                </c:pt>
                <c:pt idx="23">
                  <c:v>08:03:51 - 08:04:00</c:v>
                </c:pt>
                <c:pt idx="24">
                  <c:v>08:03:11 - 08:03:20</c:v>
                </c:pt>
                <c:pt idx="25">
                  <c:v>08:03:21 - 08:03:30</c:v>
                </c:pt>
                <c:pt idx="26">
                  <c:v>08:03:31 - 08:03:40</c:v>
                </c:pt>
                <c:pt idx="27">
                  <c:v>08:03:41 - 08:03:50</c:v>
                </c:pt>
                <c:pt idx="28">
                  <c:v>08:03:51 - 08:04:00</c:v>
                </c:pt>
                <c:pt idx="29">
                  <c:v>08:04:00 - 08:04:10</c:v>
                </c:pt>
                <c:pt idx="30">
                  <c:v>08:04:11 - 08:04:20</c:v>
                </c:pt>
                <c:pt idx="31">
                  <c:v>08:04:21 - 08:04:30</c:v>
                </c:pt>
                <c:pt idx="32">
                  <c:v>08:04:31 - 08:04:40</c:v>
                </c:pt>
                <c:pt idx="33">
                  <c:v>08:04:41 - 08:04:50</c:v>
                </c:pt>
                <c:pt idx="34">
                  <c:v>08:04:51 - 08:05:00</c:v>
                </c:pt>
              </c:strCache>
            </c:strRef>
          </c:cat>
          <c:val>
            <c:numRef>
              <c:f>TradeData!$M$3:$M$37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B4-4C0A-9A3F-81A05B887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67743"/>
        <c:axId val="904090815"/>
      </c:lineChart>
      <c:catAx>
        <c:axId val="1137967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090815"/>
        <c:crosses val="autoZero"/>
        <c:auto val="1"/>
        <c:lblAlgn val="ctr"/>
        <c:lblOffset val="100"/>
        <c:noMultiLvlLbl val="0"/>
      </c:catAx>
      <c:valAx>
        <c:axId val="90409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967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TradeData!$Q$2</c:f>
              <c:strCache>
                <c:ptCount val="1"/>
                <c:pt idx="0">
                  <c:v>Total Raw 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TradeData!$A$3:$A$37</c:f>
              <c:strCache>
                <c:ptCount val="35"/>
                <c:pt idx="0">
                  <c:v>08:00:00 - 08:00:10</c:v>
                </c:pt>
                <c:pt idx="1">
                  <c:v>08:00:11 - 08:00:20</c:v>
                </c:pt>
                <c:pt idx="2">
                  <c:v>08:00:21 - 08:00:30</c:v>
                </c:pt>
                <c:pt idx="3">
                  <c:v>08:00:31 - 08:00:40</c:v>
                </c:pt>
                <c:pt idx="4">
                  <c:v>08:00:41 - 08:00:50</c:v>
                </c:pt>
                <c:pt idx="5">
                  <c:v>08:00:51 - 08:01:00</c:v>
                </c:pt>
                <c:pt idx="6">
                  <c:v>08:01:01 - 08:01:10</c:v>
                </c:pt>
                <c:pt idx="7">
                  <c:v>08:01:11 - 08:01:20</c:v>
                </c:pt>
                <c:pt idx="8">
                  <c:v>08:01:21 - 08:01:30</c:v>
                </c:pt>
                <c:pt idx="9">
                  <c:v>08:01:31 - 08:01:40</c:v>
                </c:pt>
                <c:pt idx="10">
                  <c:v>08:01:41 - 08:01:50</c:v>
                </c:pt>
                <c:pt idx="11">
                  <c:v>08:01:51 - 08:02:00</c:v>
                </c:pt>
                <c:pt idx="12">
                  <c:v>08:02:00 - 08:02:10</c:v>
                </c:pt>
                <c:pt idx="13">
                  <c:v>08:02:11 - 08:02:20</c:v>
                </c:pt>
                <c:pt idx="14">
                  <c:v>08:02:21 - 08:02:30</c:v>
                </c:pt>
                <c:pt idx="15">
                  <c:v>08:02:31 - 08:02:40</c:v>
                </c:pt>
                <c:pt idx="16">
                  <c:v>08:02:41 - 08:02:50</c:v>
                </c:pt>
                <c:pt idx="17">
                  <c:v>08:02:51 - 08:03:00</c:v>
                </c:pt>
                <c:pt idx="18">
                  <c:v>08:03:00 - 08:03:10</c:v>
                </c:pt>
                <c:pt idx="19">
                  <c:v>08:03:11 - 08:03:20</c:v>
                </c:pt>
                <c:pt idx="20">
                  <c:v>08:03:21 - 08:03:30</c:v>
                </c:pt>
                <c:pt idx="21">
                  <c:v>08:03:31 - 08:03:40</c:v>
                </c:pt>
                <c:pt idx="22">
                  <c:v>08:03:41 - 08:03:50</c:v>
                </c:pt>
                <c:pt idx="23">
                  <c:v>08:03:51 - 08:04:00</c:v>
                </c:pt>
                <c:pt idx="24">
                  <c:v>08:03:11 - 08:03:20</c:v>
                </c:pt>
                <c:pt idx="25">
                  <c:v>08:03:21 - 08:03:30</c:v>
                </c:pt>
                <c:pt idx="26">
                  <c:v>08:03:31 - 08:03:40</c:v>
                </c:pt>
                <c:pt idx="27">
                  <c:v>08:03:41 - 08:03:50</c:v>
                </c:pt>
                <c:pt idx="28">
                  <c:v>08:03:51 - 08:04:00</c:v>
                </c:pt>
                <c:pt idx="29">
                  <c:v>08:04:00 - 08:04:10</c:v>
                </c:pt>
                <c:pt idx="30">
                  <c:v>08:04:11 - 08:04:20</c:v>
                </c:pt>
                <c:pt idx="31">
                  <c:v>08:04:21 - 08:04:30</c:v>
                </c:pt>
                <c:pt idx="32">
                  <c:v>08:04:31 - 08:04:40</c:v>
                </c:pt>
                <c:pt idx="33">
                  <c:v>08:04:41 - 08:04:50</c:v>
                </c:pt>
                <c:pt idx="34">
                  <c:v>08:04:51 - 08:05:00</c:v>
                </c:pt>
              </c:strCache>
            </c:strRef>
          </c:cat>
          <c:val>
            <c:numRef>
              <c:f>TradeData!$Q$3:$Q$37</c:f>
              <c:numCache>
                <c:formatCode>General</c:formatCode>
                <c:ptCount val="35"/>
                <c:pt idx="0">
                  <c:v>98</c:v>
                </c:pt>
                <c:pt idx="1">
                  <c:v>81</c:v>
                </c:pt>
                <c:pt idx="2">
                  <c:v>79</c:v>
                </c:pt>
                <c:pt idx="3">
                  <c:v>77</c:v>
                </c:pt>
                <c:pt idx="4">
                  <c:v>81</c:v>
                </c:pt>
                <c:pt idx="5">
                  <c:v>68</c:v>
                </c:pt>
                <c:pt idx="6">
                  <c:v>73</c:v>
                </c:pt>
                <c:pt idx="7">
                  <c:v>58</c:v>
                </c:pt>
                <c:pt idx="8">
                  <c:v>63</c:v>
                </c:pt>
                <c:pt idx="9">
                  <c:v>73</c:v>
                </c:pt>
                <c:pt idx="10">
                  <c:v>98</c:v>
                </c:pt>
                <c:pt idx="11">
                  <c:v>67</c:v>
                </c:pt>
                <c:pt idx="12">
                  <c:v>78</c:v>
                </c:pt>
                <c:pt idx="13">
                  <c:v>77</c:v>
                </c:pt>
                <c:pt idx="14">
                  <c:v>70</c:v>
                </c:pt>
                <c:pt idx="15">
                  <c:v>53</c:v>
                </c:pt>
                <c:pt idx="16">
                  <c:v>66</c:v>
                </c:pt>
                <c:pt idx="17">
                  <c:v>77</c:v>
                </c:pt>
                <c:pt idx="18">
                  <c:v>75</c:v>
                </c:pt>
                <c:pt idx="19">
                  <c:v>67</c:v>
                </c:pt>
                <c:pt idx="20">
                  <c:v>60</c:v>
                </c:pt>
                <c:pt idx="21">
                  <c:v>65</c:v>
                </c:pt>
                <c:pt idx="22">
                  <c:v>67</c:v>
                </c:pt>
                <c:pt idx="23">
                  <c:v>62</c:v>
                </c:pt>
                <c:pt idx="24">
                  <c:v>67</c:v>
                </c:pt>
                <c:pt idx="25">
                  <c:v>60</c:v>
                </c:pt>
                <c:pt idx="26">
                  <c:v>65</c:v>
                </c:pt>
                <c:pt idx="27">
                  <c:v>67</c:v>
                </c:pt>
                <c:pt idx="28">
                  <c:v>62</c:v>
                </c:pt>
                <c:pt idx="29">
                  <c:v>51</c:v>
                </c:pt>
                <c:pt idx="30">
                  <c:v>63</c:v>
                </c:pt>
                <c:pt idx="31">
                  <c:v>62</c:v>
                </c:pt>
                <c:pt idx="32">
                  <c:v>75</c:v>
                </c:pt>
                <c:pt idx="33">
                  <c:v>63</c:v>
                </c:pt>
                <c:pt idx="34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7A-4E7E-A733-E7891B122FC8}"/>
            </c:ext>
          </c:extLst>
        </c:ser>
        <c:ser>
          <c:idx val="1"/>
          <c:order val="1"/>
          <c:tx>
            <c:strRef>
              <c:f>TradeData!$R$2</c:f>
              <c:strCache>
                <c:ptCount val="1"/>
                <c:pt idx="0">
                  <c:v>Total WebDeals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TradeData!$A$3:$A$37</c:f>
              <c:strCache>
                <c:ptCount val="35"/>
                <c:pt idx="0">
                  <c:v>08:00:00 - 08:00:10</c:v>
                </c:pt>
                <c:pt idx="1">
                  <c:v>08:00:11 - 08:00:20</c:v>
                </c:pt>
                <c:pt idx="2">
                  <c:v>08:00:21 - 08:00:30</c:v>
                </c:pt>
                <c:pt idx="3">
                  <c:v>08:00:31 - 08:00:40</c:v>
                </c:pt>
                <c:pt idx="4">
                  <c:v>08:00:41 - 08:00:50</c:v>
                </c:pt>
                <c:pt idx="5">
                  <c:v>08:00:51 - 08:01:00</c:v>
                </c:pt>
                <c:pt idx="6">
                  <c:v>08:01:01 - 08:01:10</c:v>
                </c:pt>
                <c:pt idx="7">
                  <c:v>08:01:11 - 08:01:20</c:v>
                </c:pt>
                <c:pt idx="8">
                  <c:v>08:01:21 - 08:01:30</c:v>
                </c:pt>
                <c:pt idx="9">
                  <c:v>08:01:31 - 08:01:40</c:v>
                </c:pt>
                <c:pt idx="10">
                  <c:v>08:01:41 - 08:01:50</c:v>
                </c:pt>
                <c:pt idx="11">
                  <c:v>08:01:51 - 08:02:00</c:v>
                </c:pt>
                <c:pt idx="12">
                  <c:v>08:02:00 - 08:02:10</c:v>
                </c:pt>
                <c:pt idx="13">
                  <c:v>08:02:11 - 08:02:20</c:v>
                </c:pt>
                <c:pt idx="14">
                  <c:v>08:02:21 - 08:02:30</c:v>
                </c:pt>
                <c:pt idx="15">
                  <c:v>08:02:31 - 08:02:40</c:v>
                </c:pt>
                <c:pt idx="16">
                  <c:v>08:02:41 - 08:02:50</c:v>
                </c:pt>
                <c:pt idx="17">
                  <c:v>08:02:51 - 08:03:00</c:v>
                </c:pt>
                <c:pt idx="18">
                  <c:v>08:03:00 - 08:03:10</c:v>
                </c:pt>
                <c:pt idx="19">
                  <c:v>08:03:11 - 08:03:20</c:v>
                </c:pt>
                <c:pt idx="20">
                  <c:v>08:03:21 - 08:03:30</c:v>
                </c:pt>
                <c:pt idx="21">
                  <c:v>08:03:31 - 08:03:40</c:v>
                </c:pt>
                <c:pt idx="22">
                  <c:v>08:03:41 - 08:03:50</c:v>
                </c:pt>
                <c:pt idx="23">
                  <c:v>08:03:51 - 08:04:00</c:v>
                </c:pt>
                <c:pt idx="24">
                  <c:v>08:03:11 - 08:03:20</c:v>
                </c:pt>
                <c:pt idx="25">
                  <c:v>08:03:21 - 08:03:30</c:v>
                </c:pt>
                <c:pt idx="26">
                  <c:v>08:03:31 - 08:03:40</c:v>
                </c:pt>
                <c:pt idx="27">
                  <c:v>08:03:41 - 08:03:50</c:v>
                </c:pt>
                <c:pt idx="28">
                  <c:v>08:03:51 - 08:04:00</c:v>
                </c:pt>
                <c:pt idx="29">
                  <c:v>08:04:00 - 08:04:10</c:v>
                </c:pt>
                <c:pt idx="30">
                  <c:v>08:04:11 - 08:04:20</c:v>
                </c:pt>
                <c:pt idx="31">
                  <c:v>08:04:21 - 08:04:30</c:v>
                </c:pt>
                <c:pt idx="32">
                  <c:v>08:04:31 - 08:04:40</c:v>
                </c:pt>
                <c:pt idx="33">
                  <c:v>08:04:41 - 08:04:50</c:v>
                </c:pt>
                <c:pt idx="34">
                  <c:v>08:04:51 - 08:05:00</c:v>
                </c:pt>
              </c:strCache>
            </c:strRef>
          </c:cat>
          <c:val>
            <c:numRef>
              <c:f>TradeData!$R$3:$R$37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7A-4E7E-A733-E7891B122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8928751"/>
        <c:axId val="1092171967"/>
      </c:lineChart>
      <c:catAx>
        <c:axId val="64892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171967"/>
        <c:crosses val="autoZero"/>
        <c:auto val="1"/>
        <c:lblAlgn val="ctr"/>
        <c:lblOffset val="100"/>
        <c:noMultiLvlLbl val="0"/>
      </c:catAx>
      <c:valAx>
        <c:axId val="109217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28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TradeData!$S$2</c:f>
              <c:strCache>
                <c:ptCount val="1"/>
                <c:pt idx="0">
                  <c:v>Raw 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TradeData!$A$3:$A$37</c:f>
              <c:strCache>
                <c:ptCount val="35"/>
                <c:pt idx="0">
                  <c:v>08:00:00 - 08:00:10</c:v>
                </c:pt>
                <c:pt idx="1">
                  <c:v>08:00:11 - 08:00:20</c:v>
                </c:pt>
                <c:pt idx="2">
                  <c:v>08:00:21 - 08:00:30</c:v>
                </c:pt>
                <c:pt idx="3">
                  <c:v>08:00:31 - 08:00:40</c:v>
                </c:pt>
                <c:pt idx="4">
                  <c:v>08:00:41 - 08:00:50</c:v>
                </c:pt>
                <c:pt idx="5">
                  <c:v>08:00:51 - 08:01:00</c:v>
                </c:pt>
                <c:pt idx="6">
                  <c:v>08:01:01 - 08:01:10</c:v>
                </c:pt>
                <c:pt idx="7">
                  <c:v>08:01:11 - 08:01:20</c:v>
                </c:pt>
                <c:pt idx="8">
                  <c:v>08:01:21 - 08:01:30</c:v>
                </c:pt>
                <c:pt idx="9">
                  <c:v>08:01:31 - 08:01:40</c:v>
                </c:pt>
                <c:pt idx="10">
                  <c:v>08:01:41 - 08:01:50</c:v>
                </c:pt>
                <c:pt idx="11">
                  <c:v>08:01:51 - 08:02:00</c:v>
                </c:pt>
                <c:pt idx="12">
                  <c:v>08:02:00 - 08:02:10</c:v>
                </c:pt>
                <c:pt idx="13">
                  <c:v>08:02:11 - 08:02:20</c:v>
                </c:pt>
                <c:pt idx="14">
                  <c:v>08:02:21 - 08:02:30</c:v>
                </c:pt>
                <c:pt idx="15">
                  <c:v>08:02:31 - 08:02:40</c:v>
                </c:pt>
                <c:pt idx="16">
                  <c:v>08:02:41 - 08:02:50</c:v>
                </c:pt>
                <c:pt idx="17">
                  <c:v>08:02:51 - 08:03:00</c:v>
                </c:pt>
                <c:pt idx="18">
                  <c:v>08:03:00 - 08:03:10</c:v>
                </c:pt>
                <c:pt idx="19">
                  <c:v>08:03:11 - 08:03:20</c:v>
                </c:pt>
                <c:pt idx="20">
                  <c:v>08:03:21 - 08:03:30</c:v>
                </c:pt>
                <c:pt idx="21">
                  <c:v>08:03:31 - 08:03:40</c:v>
                </c:pt>
                <c:pt idx="22">
                  <c:v>08:03:41 - 08:03:50</c:v>
                </c:pt>
                <c:pt idx="23">
                  <c:v>08:03:51 - 08:04:00</c:v>
                </c:pt>
                <c:pt idx="24">
                  <c:v>08:03:11 - 08:03:20</c:v>
                </c:pt>
                <c:pt idx="25">
                  <c:v>08:03:21 - 08:03:30</c:v>
                </c:pt>
                <c:pt idx="26">
                  <c:v>08:03:31 - 08:03:40</c:v>
                </c:pt>
                <c:pt idx="27">
                  <c:v>08:03:41 - 08:03:50</c:v>
                </c:pt>
                <c:pt idx="28">
                  <c:v>08:03:51 - 08:04:00</c:v>
                </c:pt>
                <c:pt idx="29">
                  <c:v>08:04:00 - 08:04:10</c:v>
                </c:pt>
                <c:pt idx="30">
                  <c:v>08:04:11 - 08:04:20</c:v>
                </c:pt>
                <c:pt idx="31">
                  <c:v>08:04:21 - 08:04:30</c:v>
                </c:pt>
                <c:pt idx="32">
                  <c:v>08:04:31 - 08:04:40</c:v>
                </c:pt>
                <c:pt idx="33">
                  <c:v>08:04:41 - 08:04:50</c:v>
                </c:pt>
                <c:pt idx="34">
                  <c:v>08:04:51 - 08:05:00</c:v>
                </c:pt>
              </c:strCache>
            </c:strRef>
          </c:cat>
          <c:val>
            <c:numRef>
              <c:f>TradeData!$S$3:$S$37</c:f>
              <c:numCache>
                <c:formatCode>General</c:formatCode>
                <c:ptCount val="35"/>
                <c:pt idx="0">
                  <c:v>98</c:v>
                </c:pt>
                <c:pt idx="1">
                  <c:v>179</c:v>
                </c:pt>
                <c:pt idx="2">
                  <c:v>258</c:v>
                </c:pt>
                <c:pt idx="3">
                  <c:v>335</c:v>
                </c:pt>
                <c:pt idx="4">
                  <c:v>416</c:v>
                </c:pt>
                <c:pt idx="5">
                  <c:v>484</c:v>
                </c:pt>
                <c:pt idx="6">
                  <c:v>557</c:v>
                </c:pt>
                <c:pt idx="7">
                  <c:v>615</c:v>
                </c:pt>
                <c:pt idx="8">
                  <c:v>678</c:v>
                </c:pt>
                <c:pt idx="9">
                  <c:v>751</c:v>
                </c:pt>
                <c:pt idx="10">
                  <c:v>849</c:v>
                </c:pt>
                <c:pt idx="11">
                  <c:v>916</c:v>
                </c:pt>
                <c:pt idx="12">
                  <c:v>994</c:v>
                </c:pt>
                <c:pt idx="13">
                  <c:v>1071</c:v>
                </c:pt>
                <c:pt idx="14">
                  <c:v>1141</c:v>
                </c:pt>
                <c:pt idx="15">
                  <c:v>1194</c:v>
                </c:pt>
                <c:pt idx="16">
                  <c:v>1260</c:v>
                </c:pt>
                <c:pt idx="17">
                  <c:v>1337</c:v>
                </c:pt>
                <c:pt idx="18">
                  <c:v>1412</c:v>
                </c:pt>
                <c:pt idx="19">
                  <c:v>1479</c:v>
                </c:pt>
                <c:pt idx="20">
                  <c:v>1539</c:v>
                </c:pt>
                <c:pt idx="21">
                  <c:v>1604</c:v>
                </c:pt>
                <c:pt idx="22">
                  <c:v>1671</c:v>
                </c:pt>
                <c:pt idx="23">
                  <c:v>1733</c:v>
                </c:pt>
                <c:pt idx="24">
                  <c:v>1800</c:v>
                </c:pt>
                <c:pt idx="25">
                  <c:v>1860</c:v>
                </c:pt>
                <c:pt idx="26">
                  <c:v>1925</c:v>
                </c:pt>
                <c:pt idx="27">
                  <c:v>1992</c:v>
                </c:pt>
                <c:pt idx="28">
                  <c:v>2054</c:v>
                </c:pt>
                <c:pt idx="29">
                  <c:v>2105</c:v>
                </c:pt>
                <c:pt idx="30">
                  <c:v>2168</c:v>
                </c:pt>
                <c:pt idx="31">
                  <c:v>2230</c:v>
                </c:pt>
                <c:pt idx="32">
                  <c:v>2305</c:v>
                </c:pt>
                <c:pt idx="33">
                  <c:v>2368</c:v>
                </c:pt>
                <c:pt idx="34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E2-4369-B06A-61B87636C20B}"/>
            </c:ext>
          </c:extLst>
        </c:ser>
        <c:ser>
          <c:idx val="1"/>
          <c:order val="1"/>
          <c:tx>
            <c:strRef>
              <c:f>TradeData!$T$2</c:f>
              <c:strCache>
                <c:ptCount val="1"/>
                <c:pt idx="0">
                  <c:v>WebDeals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TradeData!$A$3:$A$37</c:f>
              <c:strCache>
                <c:ptCount val="35"/>
                <c:pt idx="0">
                  <c:v>08:00:00 - 08:00:10</c:v>
                </c:pt>
                <c:pt idx="1">
                  <c:v>08:00:11 - 08:00:20</c:v>
                </c:pt>
                <c:pt idx="2">
                  <c:v>08:00:21 - 08:00:30</c:v>
                </c:pt>
                <c:pt idx="3">
                  <c:v>08:00:31 - 08:00:40</c:v>
                </c:pt>
                <c:pt idx="4">
                  <c:v>08:00:41 - 08:00:50</c:v>
                </c:pt>
                <c:pt idx="5">
                  <c:v>08:00:51 - 08:01:00</c:v>
                </c:pt>
                <c:pt idx="6">
                  <c:v>08:01:01 - 08:01:10</c:v>
                </c:pt>
                <c:pt idx="7">
                  <c:v>08:01:11 - 08:01:20</c:v>
                </c:pt>
                <c:pt idx="8">
                  <c:v>08:01:21 - 08:01:30</c:v>
                </c:pt>
                <c:pt idx="9">
                  <c:v>08:01:31 - 08:01:40</c:v>
                </c:pt>
                <c:pt idx="10">
                  <c:v>08:01:41 - 08:01:50</c:v>
                </c:pt>
                <c:pt idx="11">
                  <c:v>08:01:51 - 08:02:00</c:v>
                </c:pt>
                <c:pt idx="12">
                  <c:v>08:02:00 - 08:02:10</c:v>
                </c:pt>
                <c:pt idx="13">
                  <c:v>08:02:11 - 08:02:20</c:v>
                </c:pt>
                <c:pt idx="14">
                  <c:v>08:02:21 - 08:02:30</c:v>
                </c:pt>
                <c:pt idx="15">
                  <c:v>08:02:31 - 08:02:40</c:v>
                </c:pt>
                <c:pt idx="16">
                  <c:v>08:02:41 - 08:02:50</c:v>
                </c:pt>
                <c:pt idx="17">
                  <c:v>08:02:51 - 08:03:00</c:v>
                </c:pt>
                <c:pt idx="18">
                  <c:v>08:03:00 - 08:03:10</c:v>
                </c:pt>
                <c:pt idx="19">
                  <c:v>08:03:11 - 08:03:20</c:v>
                </c:pt>
                <c:pt idx="20">
                  <c:v>08:03:21 - 08:03:30</c:v>
                </c:pt>
                <c:pt idx="21">
                  <c:v>08:03:31 - 08:03:40</c:v>
                </c:pt>
                <c:pt idx="22">
                  <c:v>08:03:41 - 08:03:50</c:v>
                </c:pt>
                <c:pt idx="23">
                  <c:v>08:03:51 - 08:04:00</c:v>
                </c:pt>
                <c:pt idx="24">
                  <c:v>08:03:11 - 08:03:20</c:v>
                </c:pt>
                <c:pt idx="25">
                  <c:v>08:03:21 - 08:03:30</c:v>
                </c:pt>
                <c:pt idx="26">
                  <c:v>08:03:31 - 08:03:40</c:v>
                </c:pt>
                <c:pt idx="27">
                  <c:v>08:03:41 - 08:03:50</c:v>
                </c:pt>
                <c:pt idx="28">
                  <c:v>08:03:51 - 08:04:00</c:v>
                </c:pt>
                <c:pt idx="29">
                  <c:v>08:04:00 - 08:04:10</c:v>
                </c:pt>
                <c:pt idx="30">
                  <c:v>08:04:11 - 08:04:20</c:v>
                </c:pt>
                <c:pt idx="31">
                  <c:v>08:04:21 - 08:04:30</c:v>
                </c:pt>
                <c:pt idx="32">
                  <c:v>08:04:31 - 08:04:40</c:v>
                </c:pt>
                <c:pt idx="33">
                  <c:v>08:04:41 - 08:04:50</c:v>
                </c:pt>
                <c:pt idx="34">
                  <c:v>08:04:51 - 08:05:00</c:v>
                </c:pt>
              </c:strCache>
            </c:strRef>
          </c:cat>
          <c:val>
            <c:numRef>
              <c:f>TradeData!$T$3:$T$37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E2-4369-B06A-61B87636C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604079"/>
        <c:axId val="904087903"/>
      </c:lineChart>
      <c:catAx>
        <c:axId val="110160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087903"/>
        <c:crosses val="autoZero"/>
        <c:auto val="1"/>
        <c:lblAlgn val="ctr"/>
        <c:lblOffset val="100"/>
        <c:noMultiLvlLbl val="0"/>
      </c:catAx>
      <c:valAx>
        <c:axId val="90408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604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576263</xdr:colOff>
      <xdr:row>1</xdr:row>
      <xdr:rowOff>57150</xdr:rowOff>
    </xdr:from>
    <xdr:to>
      <xdr:col>15</xdr:col>
      <xdr:colOff>271463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52EEC8-C1A8-4676-AF4D-55361E133E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409575</xdr:colOff>
      <xdr:row>16</xdr:row>
      <xdr:rowOff>95250</xdr:rowOff>
    </xdr:from>
    <xdr:to>
      <xdr:col>23</xdr:col>
      <xdr:colOff>104775</xdr:colOff>
      <xdr:row>30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F73E21-48F6-447D-BCF7-AA5638B60A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581025</xdr:colOff>
      <xdr:row>16</xdr:row>
      <xdr:rowOff>47625</xdr:rowOff>
    </xdr:from>
    <xdr:to>
      <xdr:col>15</xdr:col>
      <xdr:colOff>276225</xdr:colOff>
      <xdr:row>30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824C31-4813-4571-A9E4-B8BEB8BC4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433388</xdr:colOff>
      <xdr:row>1</xdr:row>
      <xdr:rowOff>66675</xdr:rowOff>
    </xdr:from>
    <xdr:to>
      <xdr:col>23</xdr:col>
      <xdr:colOff>128588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662808-6BC9-4FA5-83CC-817FF6573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85724</xdr:rowOff>
    </xdr:from>
    <xdr:to>
      <xdr:col>7</xdr:col>
      <xdr:colOff>466724</xdr:colOff>
      <xdr:row>30</xdr:row>
      <xdr:rowOff>76199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B6F549B-E179-4410-A654-4BEC6086B6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113B0-3297-47D2-A1F4-704476625BFD}">
  <sheetPr codeName="Sheet26"/>
  <dimension ref="A2:A1711"/>
  <sheetViews>
    <sheetView tabSelected="1" workbookViewId="0">
      <selection activeCell="T2" sqref="T2"/>
    </sheetView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92</v>
      </c>
    </row>
    <row r="29" spans="1:1" x14ac:dyDescent="0.25">
      <c r="A29" t="s">
        <v>93</v>
      </c>
    </row>
    <row r="30" spans="1:1" x14ac:dyDescent="0.25">
      <c r="A30" t="s">
        <v>94</v>
      </c>
    </row>
    <row r="31" spans="1:1" x14ac:dyDescent="0.25">
      <c r="A31" t="s">
        <v>95</v>
      </c>
    </row>
    <row r="32" spans="1:1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234</v>
      </c>
    </row>
    <row r="171" spans="1:1" x14ac:dyDescent="0.25">
      <c r="A171" t="s">
        <v>235</v>
      </c>
    </row>
    <row r="172" spans="1:1" x14ac:dyDescent="0.25">
      <c r="A172" t="s">
        <v>236</v>
      </c>
    </row>
    <row r="173" spans="1:1" x14ac:dyDescent="0.25">
      <c r="A173" t="s">
        <v>237</v>
      </c>
    </row>
    <row r="174" spans="1:1" x14ac:dyDescent="0.25">
      <c r="A174" t="s">
        <v>238</v>
      </c>
    </row>
    <row r="175" spans="1:1" x14ac:dyDescent="0.25">
      <c r="A175" t="s">
        <v>239</v>
      </c>
    </row>
    <row r="176" spans="1:1" x14ac:dyDescent="0.25">
      <c r="A176" t="s">
        <v>240</v>
      </c>
    </row>
    <row r="177" spans="1:1" x14ac:dyDescent="0.25">
      <c r="A177" t="s">
        <v>241</v>
      </c>
    </row>
    <row r="178" spans="1:1" x14ac:dyDescent="0.25">
      <c r="A178" t="s">
        <v>242</v>
      </c>
    </row>
    <row r="179" spans="1:1" x14ac:dyDescent="0.25">
      <c r="A179" t="s">
        <v>243</v>
      </c>
    </row>
    <row r="180" spans="1:1" x14ac:dyDescent="0.25">
      <c r="A180" t="s">
        <v>244</v>
      </c>
    </row>
    <row r="181" spans="1:1" x14ac:dyDescent="0.25">
      <c r="A181" t="s">
        <v>245</v>
      </c>
    </row>
    <row r="182" spans="1:1" x14ac:dyDescent="0.25">
      <c r="A182" t="s">
        <v>246</v>
      </c>
    </row>
    <row r="183" spans="1:1" x14ac:dyDescent="0.25">
      <c r="A183" t="s">
        <v>247</v>
      </c>
    </row>
    <row r="184" spans="1:1" x14ac:dyDescent="0.25">
      <c r="A184" t="s">
        <v>248</v>
      </c>
    </row>
    <row r="185" spans="1:1" x14ac:dyDescent="0.25">
      <c r="A185" t="s">
        <v>249</v>
      </c>
    </row>
    <row r="186" spans="1:1" x14ac:dyDescent="0.25">
      <c r="A186" t="s">
        <v>250</v>
      </c>
    </row>
    <row r="187" spans="1:1" x14ac:dyDescent="0.25">
      <c r="A187" t="s">
        <v>251</v>
      </c>
    </row>
    <row r="188" spans="1:1" x14ac:dyDescent="0.25">
      <c r="A188" t="s">
        <v>252</v>
      </c>
    </row>
    <row r="189" spans="1:1" x14ac:dyDescent="0.25">
      <c r="A189" t="s">
        <v>253</v>
      </c>
    </row>
    <row r="190" spans="1:1" x14ac:dyDescent="0.25">
      <c r="A190" t="s">
        <v>254</v>
      </c>
    </row>
    <row r="191" spans="1:1" x14ac:dyDescent="0.25">
      <c r="A191" t="s">
        <v>255</v>
      </c>
    </row>
    <row r="192" spans="1:1" x14ac:dyDescent="0.25">
      <c r="A192" t="s">
        <v>256</v>
      </c>
    </row>
    <row r="193" spans="1:1" x14ac:dyDescent="0.25">
      <c r="A193" t="s">
        <v>257</v>
      </c>
    </row>
    <row r="194" spans="1:1" x14ac:dyDescent="0.25">
      <c r="A194" t="s">
        <v>258</v>
      </c>
    </row>
    <row r="195" spans="1:1" x14ac:dyDescent="0.25">
      <c r="A195" t="s">
        <v>259</v>
      </c>
    </row>
    <row r="196" spans="1:1" x14ac:dyDescent="0.25">
      <c r="A196" t="s">
        <v>260</v>
      </c>
    </row>
    <row r="197" spans="1:1" x14ac:dyDescent="0.25">
      <c r="A197" t="s">
        <v>261</v>
      </c>
    </row>
    <row r="198" spans="1:1" x14ac:dyDescent="0.25">
      <c r="A198" t="s">
        <v>262</v>
      </c>
    </row>
    <row r="199" spans="1:1" x14ac:dyDescent="0.25">
      <c r="A199" t="s">
        <v>263</v>
      </c>
    </row>
    <row r="200" spans="1:1" x14ac:dyDescent="0.25">
      <c r="A200" t="s">
        <v>264</v>
      </c>
    </row>
    <row r="201" spans="1:1" x14ac:dyDescent="0.25">
      <c r="A201" t="s">
        <v>265</v>
      </c>
    </row>
    <row r="202" spans="1:1" x14ac:dyDescent="0.25">
      <c r="A202" t="s">
        <v>266</v>
      </c>
    </row>
    <row r="203" spans="1:1" x14ac:dyDescent="0.25">
      <c r="A203" t="s">
        <v>267</v>
      </c>
    </row>
    <row r="204" spans="1:1" x14ac:dyDescent="0.25">
      <c r="A204" t="s">
        <v>268</v>
      </c>
    </row>
    <row r="205" spans="1:1" x14ac:dyDescent="0.25">
      <c r="A205" t="s">
        <v>269</v>
      </c>
    </row>
    <row r="206" spans="1:1" x14ac:dyDescent="0.25">
      <c r="A206" t="s">
        <v>270</v>
      </c>
    </row>
    <row r="207" spans="1:1" x14ac:dyDescent="0.25">
      <c r="A207" t="s">
        <v>271</v>
      </c>
    </row>
    <row r="208" spans="1:1" x14ac:dyDescent="0.25">
      <c r="A208" t="s">
        <v>272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277</v>
      </c>
    </row>
    <row r="214" spans="1:1" x14ac:dyDescent="0.25">
      <c r="A214" t="s">
        <v>278</v>
      </c>
    </row>
    <row r="215" spans="1:1" x14ac:dyDescent="0.25">
      <c r="A215" t="s">
        <v>279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282</v>
      </c>
    </row>
    <row r="219" spans="1:1" x14ac:dyDescent="0.25">
      <c r="A219" t="s">
        <v>283</v>
      </c>
    </row>
    <row r="220" spans="1:1" x14ac:dyDescent="0.25">
      <c r="A220" t="s">
        <v>284</v>
      </c>
    </row>
    <row r="221" spans="1:1" x14ac:dyDescent="0.25">
      <c r="A221" t="s">
        <v>285</v>
      </c>
    </row>
    <row r="222" spans="1:1" x14ac:dyDescent="0.25">
      <c r="A222" t="s">
        <v>286</v>
      </c>
    </row>
    <row r="223" spans="1:1" x14ac:dyDescent="0.25">
      <c r="A223" t="s">
        <v>287</v>
      </c>
    </row>
    <row r="224" spans="1:1" x14ac:dyDescent="0.25">
      <c r="A224" t="s">
        <v>288</v>
      </c>
    </row>
    <row r="225" spans="1:1" x14ac:dyDescent="0.25">
      <c r="A225" t="s">
        <v>289</v>
      </c>
    </row>
    <row r="226" spans="1:1" x14ac:dyDescent="0.25">
      <c r="A226" t="s">
        <v>290</v>
      </c>
    </row>
    <row r="227" spans="1:1" x14ac:dyDescent="0.25">
      <c r="A227" t="s">
        <v>291</v>
      </c>
    </row>
    <row r="228" spans="1:1" x14ac:dyDescent="0.25">
      <c r="A228" t="s">
        <v>292</v>
      </c>
    </row>
    <row r="229" spans="1:1" x14ac:dyDescent="0.25">
      <c r="A229" t="s">
        <v>293</v>
      </c>
    </row>
    <row r="230" spans="1:1" x14ac:dyDescent="0.25">
      <c r="A230" t="s">
        <v>294</v>
      </c>
    </row>
    <row r="231" spans="1:1" x14ac:dyDescent="0.25">
      <c r="A231" t="s">
        <v>295</v>
      </c>
    </row>
    <row r="232" spans="1:1" x14ac:dyDescent="0.25">
      <c r="A232" t="s">
        <v>296</v>
      </c>
    </row>
    <row r="233" spans="1:1" x14ac:dyDescent="0.25">
      <c r="A233" t="s">
        <v>297</v>
      </c>
    </row>
    <row r="234" spans="1:1" x14ac:dyDescent="0.25">
      <c r="A234" t="s">
        <v>298</v>
      </c>
    </row>
    <row r="235" spans="1:1" x14ac:dyDescent="0.25">
      <c r="A235" t="s">
        <v>299</v>
      </c>
    </row>
    <row r="236" spans="1:1" x14ac:dyDescent="0.25">
      <c r="A236" t="s">
        <v>300</v>
      </c>
    </row>
    <row r="237" spans="1:1" x14ac:dyDescent="0.25">
      <c r="A237" t="s">
        <v>301</v>
      </c>
    </row>
    <row r="238" spans="1:1" x14ac:dyDescent="0.25">
      <c r="A238" t="s">
        <v>302</v>
      </c>
    </row>
    <row r="239" spans="1:1" x14ac:dyDescent="0.25">
      <c r="A239" t="s">
        <v>303</v>
      </c>
    </row>
    <row r="240" spans="1:1" x14ac:dyDescent="0.25">
      <c r="A240" t="s">
        <v>304</v>
      </c>
    </row>
    <row r="241" spans="1:1" x14ac:dyDescent="0.25">
      <c r="A241" t="s">
        <v>305</v>
      </c>
    </row>
    <row r="242" spans="1:1" x14ac:dyDescent="0.25">
      <c r="A242" t="s">
        <v>306</v>
      </c>
    </row>
    <row r="243" spans="1:1" x14ac:dyDescent="0.25">
      <c r="A243" t="s">
        <v>307</v>
      </c>
    </row>
    <row r="244" spans="1:1" x14ac:dyDescent="0.25">
      <c r="A244" t="s">
        <v>308</v>
      </c>
    </row>
    <row r="245" spans="1:1" x14ac:dyDescent="0.25">
      <c r="A245" t="s">
        <v>309</v>
      </c>
    </row>
    <row r="246" spans="1:1" x14ac:dyDescent="0.25">
      <c r="A246" t="s">
        <v>310</v>
      </c>
    </row>
    <row r="247" spans="1:1" x14ac:dyDescent="0.25">
      <c r="A247" t="s">
        <v>311</v>
      </c>
    </row>
    <row r="248" spans="1:1" x14ac:dyDescent="0.25">
      <c r="A248" t="s">
        <v>312</v>
      </c>
    </row>
    <row r="249" spans="1:1" x14ac:dyDescent="0.25">
      <c r="A249" t="s">
        <v>313</v>
      </c>
    </row>
    <row r="250" spans="1:1" x14ac:dyDescent="0.25">
      <c r="A250" t="s">
        <v>314</v>
      </c>
    </row>
    <row r="251" spans="1:1" x14ac:dyDescent="0.25">
      <c r="A251" t="s">
        <v>315</v>
      </c>
    </row>
    <row r="252" spans="1:1" x14ac:dyDescent="0.25">
      <c r="A252" t="s">
        <v>316</v>
      </c>
    </row>
    <row r="253" spans="1:1" x14ac:dyDescent="0.25">
      <c r="A253" t="s">
        <v>317</v>
      </c>
    </row>
    <row r="254" spans="1:1" x14ac:dyDescent="0.25">
      <c r="A254" t="s">
        <v>318</v>
      </c>
    </row>
    <row r="255" spans="1:1" x14ac:dyDescent="0.25">
      <c r="A255" t="s">
        <v>319</v>
      </c>
    </row>
    <row r="256" spans="1:1" x14ac:dyDescent="0.25">
      <c r="A256" t="s">
        <v>320</v>
      </c>
    </row>
    <row r="257" spans="1:1" x14ac:dyDescent="0.25">
      <c r="A257" t="s">
        <v>321</v>
      </c>
    </row>
    <row r="258" spans="1:1" x14ac:dyDescent="0.25">
      <c r="A258" t="s">
        <v>322</v>
      </c>
    </row>
    <row r="259" spans="1:1" x14ac:dyDescent="0.25">
      <c r="A259" t="s">
        <v>323</v>
      </c>
    </row>
    <row r="260" spans="1:1" x14ac:dyDescent="0.25">
      <c r="A260" t="s">
        <v>324</v>
      </c>
    </row>
    <row r="261" spans="1:1" x14ac:dyDescent="0.25">
      <c r="A261" t="s">
        <v>325</v>
      </c>
    </row>
    <row r="262" spans="1:1" x14ac:dyDescent="0.25">
      <c r="A262" t="s">
        <v>326</v>
      </c>
    </row>
    <row r="263" spans="1:1" x14ac:dyDescent="0.25">
      <c r="A263" t="s">
        <v>327</v>
      </c>
    </row>
    <row r="264" spans="1:1" x14ac:dyDescent="0.25">
      <c r="A264" t="s">
        <v>328</v>
      </c>
    </row>
    <row r="265" spans="1:1" x14ac:dyDescent="0.25">
      <c r="A265" t="s">
        <v>329</v>
      </c>
    </row>
    <row r="266" spans="1:1" x14ac:dyDescent="0.25">
      <c r="A266" t="s">
        <v>330</v>
      </c>
    </row>
    <row r="267" spans="1:1" x14ac:dyDescent="0.25">
      <c r="A267" t="s">
        <v>331</v>
      </c>
    </row>
    <row r="268" spans="1:1" x14ac:dyDescent="0.25">
      <c r="A268" t="s">
        <v>332</v>
      </c>
    </row>
    <row r="269" spans="1:1" x14ac:dyDescent="0.25">
      <c r="A269" t="s">
        <v>333</v>
      </c>
    </row>
    <row r="270" spans="1:1" x14ac:dyDescent="0.25">
      <c r="A270" t="s">
        <v>334</v>
      </c>
    </row>
    <row r="271" spans="1:1" x14ac:dyDescent="0.25">
      <c r="A271" t="s">
        <v>335</v>
      </c>
    </row>
    <row r="272" spans="1:1" x14ac:dyDescent="0.25">
      <c r="A272" t="s">
        <v>336</v>
      </c>
    </row>
    <row r="273" spans="1:1" x14ac:dyDescent="0.25">
      <c r="A273" t="s">
        <v>337</v>
      </c>
    </row>
    <row r="274" spans="1:1" x14ac:dyDescent="0.25">
      <c r="A274" t="s">
        <v>338</v>
      </c>
    </row>
    <row r="275" spans="1:1" x14ac:dyDescent="0.25">
      <c r="A275" t="s">
        <v>339</v>
      </c>
    </row>
    <row r="276" spans="1:1" x14ac:dyDescent="0.25">
      <c r="A276" t="s">
        <v>340</v>
      </c>
    </row>
    <row r="277" spans="1:1" x14ac:dyDescent="0.25">
      <c r="A277" t="s">
        <v>341</v>
      </c>
    </row>
    <row r="278" spans="1:1" x14ac:dyDescent="0.25">
      <c r="A278" t="s">
        <v>342</v>
      </c>
    </row>
    <row r="279" spans="1:1" x14ac:dyDescent="0.25">
      <c r="A279" t="s">
        <v>343</v>
      </c>
    </row>
    <row r="280" spans="1:1" x14ac:dyDescent="0.25">
      <c r="A280" t="s">
        <v>344</v>
      </c>
    </row>
    <row r="281" spans="1:1" x14ac:dyDescent="0.25">
      <c r="A281" t="s">
        <v>345</v>
      </c>
    </row>
    <row r="282" spans="1:1" x14ac:dyDescent="0.25">
      <c r="A282" t="s">
        <v>346</v>
      </c>
    </row>
    <row r="283" spans="1:1" x14ac:dyDescent="0.25">
      <c r="A283" t="s">
        <v>347</v>
      </c>
    </row>
    <row r="284" spans="1:1" x14ac:dyDescent="0.25">
      <c r="A284" t="s">
        <v>348</v>
      </c>
    </row>
    <row r="285" spans="1:1" x14ac:dyDescent="0.25">
      <c r="A285" t="s">
        <v>349</v>
      </c>
    </row>
    <row r="286" spans="1:1" x14ac:dyDescent="0.25">
      <c r="A286" t="s">
        <v>350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353</v>
      </c>
    </row>
    <row r="290" spans="1:1" x14ac:dyDescent="0.25">
      <c r="A290" t="s">
        <v>354</v>
      </c>
    </row>
    <row r="291" spans="1:1" x14ac:dyDescent="0.25">
      <c r="A291" t="s">
        <v>355</v>
      </c>
    </row>
    <row r="292" spans="1:1" x14ac:dyDescent="0.25">
      <c r="A292" t="s">
        <v>356</v>
      </c>
    </row>
    <row r="293" spans="1:1" x14ac:dyDescent="0.25">
      <c r="A293" t="s">
        <v>357</v>
      </c>
    </row>
    <row r="294" spans="1:1" x14ac:dyDescent="0.25">
      <c r="A294" t="s">
        <v>358</v>
      </c>
    </row>
    <row r="295" spans="1:1" x14ac:dyDescent="0.25">
      <c r="A295" t="s">
        <v>359</v>
      </c>
    </row>
    <row r="296" spans="1:1" x14ac:dyDescent="0.25">
      <c r="A296" t="s">
        <v>360</v>
      </c>
    </row>
    <row r="297" spans="1:1" x14ac:dyDescent="0.25">
      <c r="A297" t="s">
        <v>361</v>
      </c>
    </row>
    <row r="298" spans="1:1" x14ac:dyDescent="0.25">
      <c r="A298" t="s">
        <v>362</v>
      </c>
    </row>
    <row r="299" spans="1:1" x14ac:dyDescent="0.25">
      <c r="A299" t="s">
        <v>363</v>
      </c>
    </row>
    <row r="300" spans="1:1" x14ac:dyDescent="0.25">
      <c r="A300" t="s">
        <v>364</v>
      </c>
    </row>
    <row r="301" spans="1:1" x14ac:dyDescent="0.25">
      <c r="A301" t="s">
        <v>365</v>
      </c>
    </row>
    <row r="302" spans="1:1" x14ac:dyDescent="0.25">
      <c r="A302" t="s">
        <v>366</v>
      </c>
    </row>
    <row r="303" spans="1:1" x14ac:dyDescent="0.25">
      <c r="A303" t="s">
        <v>367</v>
      </c>
    </row>
    <row r="304" spans="1:1" x14ac:dyDescent="0.25">
      <c r="A304" t="s">
        <v>368</v>
      </c>
    </row>
    <row r="305" spans="1:1" x14ac:dyDescent="0.25">
      <c r="A305" t="s">
        <v>369</v>
      </c>
    </row>
    <row r="306" spans="1:1" x14ac:dyDescent="0.25">
      <c r="A306" t="s">
        <v>370</v>
      </c>
    </row>
    <row r="307" spans="1:1" x14ac:dyDescent="0.25">
      <c r="A307" t="s">
        <v>371</v>
      </c>
    </row>
    <row r="308" spans="1:1" x14ac:dyDescent="0.25">
      <c r="A308" t="s">
        <v>372</v>
      </c>
    </row>
    <row r="309" spans="1:1" x14ac:dyDescent="0.25">
      <c r="A309" t="s">
        <v>373</v>
      </c>
    </row>
    <row r="310" spans="1:1" x14ac:dyDescent="0.25">
      <c r="A310" t="s">
        <v>374</v>
      </c>
    </row>
    <row r="311" spans="1:1" x14ac:dyDescent="0.25">
      <c r="A311" t="s">
        <v>375</v>
      </c>
    </row>
    <row r="312" spans="1:1" x14ac:dyDescent="0.25">
      <c r="A312" t="s">
        <v>376</v>
      </c>
    </row>
    <row r="313" spans="1:1" x14ac:dyDescent="0.25">
      <c r="A313" t="s">
        <v>377</v>
      </c>
    </row>
    <row r="314" spans="1:1" x14ac:dyDescent="0.25">
      <c r="A314" t="s">
        <v>378</v>
      </c>
    </row>
    <row r="315" spans="1:1" x14ac:dyDescent="0.25">
      <c r="A315" t="s">
        <v>379</v>
      </c>
    </row>
    <row r="316" spans="1:1" x14ac:dyDescent="0.25">
      <c r="A316" t="s">
        <v>380</v>
      </c>
    </row>
    <row r="317" spans="1:1" x14ac:dyDescent="0.25">
      <c r="A317" t="s">
        <v>381</v>
      </c>
    </row>
    <row r="318" spans="1:1" x14ac:dyDescent="0.25">
      <c r="A318" t="s">
        <v>382</v>
      </c>
    </row>
    <row r="319" spans="1:1" x14ac:dyDescent="0.25">
      <c r="A319" t="s">
        <v>383</v>
      </c>
    </row>
    <row r="320" spans="1:1" x14ac:dyDescent="0.25">
      <c r="A320" t="s">
        <v>384</v>
      </c>
    </row>
    <row r="321" spans="1:1" x14ac:dyDescent="0.25">
      <c r="A321" t="s">
        <v>385</v>
      </c>
    </row>
    <row r="322" spans="1:1" x14ac:dyDescent="0.25">
      <c r="A322" t="s">
        <v>386</v>
      </c>
    </row>
    <row r="323" spans="1:1" x14ac:dyDescent="0.25">
      <c r="A323" t="s">
        <v>387</v>
      </c>
    </row>
    <row r="324" spans="1:1" x14ac:dyDescent="0.25">
      <c r="A324" t="s">
        <v>388</v>
      </c>
    </row>
    <row r="325" spans="1:1" x14ac:dyDescent="0.25">
      <c r="A325" t="s">
        <v>389</v>
      </c>
    </row>
    <row r="326" spans="1:1" x14ac:dyDescent="0.25">
      <c r="A326" t="s">
        <v>390</v>
      </c>
    </row>
    <row r="327" spans="1:1" x14ac:dyDescent="0.25">
      <c r="A327" t="s">
        <v>391</v>
      </c>
    </row>
    <row r="328" spans="1:1" x14ac:dyDescent="0.25">
      <c r="A328" t="s">
        <v>392</v>
      </c>
    </row>
    <row r="329" spans="1:1" x14ac:dyDescent="0.25">
      <c r="A329" t="s">
        <v>393</v>
      </c>
    </row>
    <row r="330" spans="1:1" x14ac:dyDescent="0.25">
      <c r="A330" t="s">
        <v>394</v>
      </c>
    </row>
    <row r="331" spans="1:1" x14ac:dyDescent="0.25">
      <c r="A331" t="s">
        <v>395</v>
      </c>
    </row>
    <row r="332" spans="1:1" x14ac:dyDescent="0.25">
      <c r="A332" t="s">
        <v>396</v>
      </c>
    </row>
    <row r="333" spans="1:1" x14ac:dyDescent="0.25">
      <c r="A333" t="s">
        <v>397</v>
      </c>
    </row>
    <row r="334" spans="1:1" x14ac:dyDescent="0.25">
      <c r="A334" t="s">
        <v>398</v>
      </c>
    </row>
    <row r="335" spans="1:1" x14ac:dyDescent="0.25">
      <c r="A335" t="s">
        <v>399</v>
      </c>
    </row>
    <row r="336" spans="1:1" x14ac:dyDescent="0.25">
      <c r="A336" t="s">
        <v>400</v>
      </c>
    </row>
    <row r="337" spans="1:1" x14ac:dyDescent="0.25">
      <c r="A337" t="s">
        <v>401</v>
      </c>
    </row>
    <row r="338" spans="1:1" x14ac:dyDescent="0.25">
      <c r="A338" t="s">
        <v>402</v>
      </c>
    </row>
    <row r="339" spans="1:1" x14ac:dyDescent="0.25">
      <c r="A339" t="s">
        <v>403</v>
      </c>
    </row>
    <row r="340" spans="1:1" x14ac:dyDescent="0.25">
      <c r="A340" t="s">
        <v>404</v>
      </c>
    </row>
    <row r="341" spans="1:1" x14ac:dyDescent="0.25">
      <c r="A341" t="s">
        <v>405</v>
      </c>
    </row>
    <row r="342" spans="1:1" x14ac:dyDescent="0.25">
      <c r="A342" t="s">
        <v>406</v>
      </c>
    </row>
    <row r="343" spans="1:1" x14ac:dyDescent="0.25">
      <c r="A343" t="s">
        <v>407</v>
      </c>
    </row>
    <row r="344" spans="1:1" x14ac:dyDescent="0.25">
      <c r="A344" t="s">
        <v>408</v>
      </c>
    </row>
    <row r="345" spans="1:1" x14ac:dyDescent="0.25">
      <c r="A345" t="s">
        <v>409</v>
      </c>
    </row>
    <row r="346" spans="1:1" x14ac:dyDescent="0.25">
      <c r="A346" t="s">
        <v>410</v>
      </c>
    </row>
    <row r="347" spans="1:1" x14ac:dyDescent="0.25">
      <c r="A347" t="s">
        <v>411</v>
      </c>
    </row>
    <row r="348" spans="1:1" x14ac:dyDescent="0.25">
      <c r="A348" t="s">
        <v>412</v>
      </c>
    </row>
    <row r="349" spans="1:1" x14ac:dyDescent="0.25">
      <c r="A349" t="s">
        <v>413</v>
      </c>
    </row>
    <row r="350" spans="1:1" x14ac:dyDescent="0.25">
      <c r="A350" t="s">
        <v>414</v>
      </c>
    </row>
    <row r="351" spans="1:1" x14ac:dyDescent="0.25">
      <c r="A351" t="s">
        <v>415</v>
      </c>
    </row>
    <row r="352" spans="1:1" x14ac:dyDescent="0.25">
      <c r="A352" t="s">
        <v>416</v>
      </c>
    </row>
    <row r="353" spans="1:1" x14ac:dyDescent="0.25">
      <c r="A353" t="s">
        <v>417</v>
      </c>
    </row>
    <row r="354" spans="1:1" x14ac:dyDescent="0.25">
      <c r="A354" t="s">
        <v>418</v>
      </c>
    </row>
    <row r="355" spans="1:1" x14ac:dyDescent="0.25">
      <c r="A355" t="s">
        <v>419</v>
      </c>
    </row>
    <row r="356" spans="1:1" x14ac:dyDescent="0.25">
      <c r="A356" t="s">
        <v>420</v>
      </c>
    </row>
    <row r="357" spans="1:1" x14ac:dyDescent="0.25">
      <c r="A357" t="s">
        <v>421</v>
      </c>
    </row>
    <row r="358" spans="1:1" x14ac:dyDescent="0.25">
      <c r="A358" t="s">
        <v>422</v>
      </c>
    </row>
    <row r="359" spans="1:1" x14ac:dyDescent="0.25">
      <c r="A359" t="s">
        <v>423</v>
      </c>
    </row>
    <row r="360" spans="1:1" x14ac:dyDescent="0.25">
      <c r="A360" t="s">
        <v>424</v>
      </c>
    </row>
    <row r="361" spans="1:1" x14ac:dyDescent="0.25">
      <c r="A361" t="s">
        <v>425</v>
      </c>
    </row>
    <row r="362" spans="1:1" x14ac:dyDescent="0.25">
      <c r="A362" t="s">
        <v>426</v>
      </c>
    </row>
    <row r="363" spans="1:1" x14ac:dyDescent="0.25">
      <c r="A363" t="s">
        <v>427</v>
      </c>
    </row>
    <row r="364" spans="1:1" x14ac:dyDescent="0.25">
      <c r="A364" t="s">
        <v>428</v>
      </c>
    </row>
    <row r="365" spans="1:1" x14ac:dyDescent="0.25">
      <c r="A365" t="s">
        <v>429</v>
      </c>
    </row>
    <row r="366" spans="1:1" x14ac:dyDescent="0.25">
      <c r="A366" t="s">
        <v>430</v>
      </c>
    </row>
    <row r="367" spans="1:1" x14ac:dyDescent="0.25">
      <c r="A367" t="s">
        <v>431</v>
      </c>
    </row>
    <row r="368" spans="1:1" x14ac:dyDescent="0.25">
      <c r="A368" t="s">
        <v>432</v>
      </c>
    </row>
    <row r="369" spans="1:1" x14ac:dyDescent="0.25">
      <c r="A369" t="s">
        <v>433</v>
      </c>
    </row>
    <row r="370" spans="1:1" x14ac:dyDescent="0.25">
      <c r="A370" t="s">
        <v>434</v>
      </c>
    </row>
    <row r="371" spans="1:1" x14ac:dyDescent="0.25">
      <c r="A371" t="s">
        <v>435</v>
      </c>
    </row>
    <row r="372" spans="1:1" x14ac:dyDescent="0.25">
      <c r="A372" t="s">
        <v>436</v>
      </c>
    </row>
    <row r="373" spans="1:1" x14ac:dyDescent="0.25">
      <c r="A373" t="s">
        <v>437</v>
      </c>
    </row>
    <row r="374" spans="1:1" x14ac:dyDescent="0.25">
      <c r="A374" t="s">
        <v>438</v>
      </c>
    </row>
    <row r="375" spans="1:1" x14ac:dyDescent="0.25">
      <c r="A375" t="s">
        <v>439</v>
      </c>
    </row>
    <row r="376" spans="1:1" x14ac:dyDescent="0.25">
      <c r="A376" t="s">
        <v>440</v>
      </c>
    </row>
    <row r="377" spans="1:1" x14ac:dyDescent="0.25">
      <c r="A377" t="s">
        <v>441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450</v>
      </c>
    </row>
    <row r="387" spans="1:1" x14ac:dyDescent="0.25">
      <c r="A387" t="s">
        <v>451</v>
      </c>
    </row>
    <row r="388" spans="1:1" x14ac:dyDescent="0.25">
      <c r="A388" t="s">
        <v>452</v>
      </c>
    </row>
    <row r="389" spans="1:1" x14ac:dyDescent="0.25">
      <c r="A389" t="s">
        <v>453</v>
      </c>
    </row>
    <row r="390" spans="1:1" x14ac:dyDescent="0.25">
      <c r="A390" t="s">
        <v>454</v>
      </c>
    </row>
    <row r="391" spans="1:1" x14ac:dyDescent="0.25">
      <c r="A391" t="s">
        <v>455</v>
      </c>
    </row>
    <row r="392" spans="1:1" x14ac:dyDescent="0.25">
      <c r="A392" t="s">
        <v>456</v>
      </c>
    </row>
    <row r="393" spans="1:1" x14ac:dyDescent="0.25">
      <c r="A393" t="s">
        <v>457</v>
      </c>
    </row>
    <row r="394" spans="1:1" x14ac:dyDescent="0.25">
      <c r="A394" t="s">
        <v>458</v>
      </c>
    </row>
    <row r="395" spans="1:1" x14ac:dyDescent="0.25">
      <c r="A395" t="s">
        <v>459</v>
      </c>
    </row>
    <row r="396" spans="1:1" x14ac:dyDescent="0.25">
      <c r="A396" t="s">
        <v>460</v>
      </c>
    </row>
    <row r="397" spans="1:1" x14ac:dyDescent="0.25">
      <c r="A397" t="s">
        <v>461</v>
      </c>
    </row>
    <row r="398" spans="1:1" x14ac:dyDescent="0.25">
      <c r="A398" t="s">
        <v>462</v>
      </c>
    </row>
    <row r="399" spans="1:1" x14ac:dyDescent="0.25">
      <c r="A399" t="s">
        <v>463</v>
      </c>
    </row>
    <row r="400" spans="1:1" x14ac:dyDescent="0.25">
      <c r="A400" t="s">
        <v>464</v>
      </c>
    </row>
    <row r="401" spans="1:1" x14ac:dyDescent="0.25">
      <c r="A401" t="s">
        <v>465</v>
      </c>
    </row>
    <row r="402" spans="1:1" x14ac:dyDescent="0.25">
      <c r="A402" t="s">
        <v>466</v>
      </c>
    </row>
    <row r="403" spans="1:1" x14ac:dyDescent="0.25">
      <c r="A403" t="s">
        <v>467</v>
      </c>
    </row>
    <row r="404" spans="1:1" x14ac:dyDescent="0.25">
      <c r="A404" t="s">
        <v>468</v>
      </c>
    </row>
    <row r="405" spans="1:1" x14ac:dyDescent="0.25">
      <c r="A405" t="s">
        <v>469</v>
      </c>
    </row>
    <row r="406" spans="1:1" x14ac:dyDescent="0.25">
      <c r="A406" t="s">
        <v>470</v>
      </c>
    </row>
    <row r="407" spans="1:1" x14ac:dyDescent="0.25">
      <c r="A407" t="s">
        <v>471</v>
      </c>
    </row>
    <row r="408" spans="1:1" x14ac:dyDescent="0.25">
      <c r="A408" t="s">
        <v>472</v>
      </c>
    </row>
    <row r="409" spans="1:1" x14ac:dyDescent="0.25">
      <c r="A409" t="s">
        <v>473</v>
      </c>
    </row>
    <row r="410" spans="1:1" x14ac:dyDescent="0.25">
      <c r="A410" t="s">
        <v>474</v>
      </c>
    </row>
    <row r="411" spans="1:1" x14ac:dyDescent="0.25">
      <c r="A411" t="s">
        <v>475</v>
      </c>
    </row>
    <row r="412" spans="1:1" x14ac:dyDescent="0.25">
      <c r="A412" t="s">
        <v>476</v>
      </c>
    </row>
    <row r="413" spans="1:1" x14ac:dyDescent="0.25">
      <c r="A413" t="s">
        <v>477</v>
      </c>
    </row>
    <row r="414" spans="1:1" x14ac:dyDescent="0.25">
      <c r="A414" t="s">
        <v>478</v>
      </c>
    </row>
    <row r="415" spans="1:1" x14ac:dyDescent="0.25">
      <c r="A415" t="s">
        <v>479</v>
      </c>
    </row>
    <row r="416" spans="1:1" x14ac:dyDescent="0.25">
      <c r="A416" t="s">
        <v>480</v>
      </c>
    </row>
    <row r="417" spans="1:1" x14ac:dyDescent="0.25">
      <c r="A417" t="s">
        <v>481</v>
      </c>
    </row>
    <row r="418" spans="1:1" x14ac:dyDescent="0.25">
      <c r="A418" t="s">
        <v>482</v>
      </c>
    </row>
    <row r="419" spans="1:1" x14ac:dyDescent="0.25">
      <c r="A419" t="s">
        <v>483</v>
      </c>
    </row>
    <row r="420" spans="1:1" x14ac:dyDescent="0.25">
      <c r="A420" t="s">
        <v>484</v>
      </c>
    </row>
    <row r="421" spans="1:1" x14ac:dyDescent="0.25">
      <c r="A421" t="s">
        <v>485</v>
      </c>
    </row>
    <row r="422" spans="1:1" x14ac:dyDescent="0.25">
      <c r="A422" t="s">
        <v>486</v>
      </c>
    </row>
    <row r="423" spans="1:1" x14ac:dyDescent="0.25">
      <c r="A423" t="s">
        <v>487</v>
      </c>
    </row>
    <row r="424" spans="1:1" x14ac:dyDescent="0.25">
      <c r="A424" t="s">
        <v>488</v>
      </c>
    </row>
    <row r="425" spans="1:1" x14ac:dyDescent="0.25">
      <c r="A425" t="s">
        <v>489</v>
      </c>
    </row>
    <row r="426" spans="1:1" x14ac:dyDescent="0.25">
      <c r="A426" t="s">
        <v>490</v>
      </c>
    </row>
    <row r="427" spans="1:1" x14ac:dyDescent="0.25">
      <c r="A427" t="s">
        <v>491</v>
      </c>
    </row>
    <row r="428" spans="1:1" x14ac:dyDescent="0.25">
      <c r="A428" t="s">
        <v>492</v>
      </c>
    </row>
    <row r="429" spans="1:1" x14ac:dyDescent="0.25">
      <c r="A429" t="s">
        <v>493</v>
      </c>
    </row>
    <row r="430" spans="1:1" x14ac:dyDescent="0.25">
      <c r="A430" t="s">
        <v>494</v>
      </c>
    </row>
    <row r="431" spans="1:1" x14ac:dyDescent="0.25">
      <c r="A431" t="s">
        <v>495</v>
      </c>
    </row>
    <row r="432" spans="1:1" x14ac:dyDescent="0.25">
      <c r="A432" t="s">
        <v>496</v>
      </c>
    </row>
    <row r="433" spans="1:1" x14ac:dyDescent="0.25">
      <c r="A433" t="s">
        <v>497</v>
      </c>
    </row>
    <row r="434" spans="1:1" x14ac:dyDescent="0.25">
      <c r="A434" t="s">
        <v>498</v>
      </c>
    </row>
    <row r="435" spans="1:1" x14ac:dyDescent="0.25">
      <c r="A435" t="s">
        <v>499</v>
      </c>
    </row>
    <row r="436" spans="1:1" x14ac:dyDescent="0.25">
      <c r="A436" t="s">
        <v>500</v>
      </c>
    </row>
    <row r="437" spans="1:1" x14ac:dyDescent="0.25">
      <c r="A437" t="s">
        <v>501</v>
      </c>
    </row>
    <row r="438" spans="1:1" x14ac:dyDescent="0.25">
      <c r="A438" t="s">
        <v>502</v>
      </c>
    </row>
    <row r="439" spans="1:1" x14ac:dyDescent="0.25">
      <c r="A439" t="s">
        <v>503</v>
      </c>
    </row>
    <row r="440" spans="1:1" x14ac:dyDescent="0.25">
      <c r="A440" t="s">
        <v>504</v>
      </c>
    </row>
    <row r="441" spans="1:1" x14ac:dyDescent="0.25">
      <c r="A441" t="s">
        <v>505</v>
      </c>
    </row>
    <row r="442" spans="1:1" x14ac:dyDescent="0.25">
      <c r="A442" t="s">
        <v>506</v>
      </c>
    </row>
    <row r="443" spans="1:1" x14ac:dyDescent="0.25">
      <c r="A443" t="s">
        <v>507</v>
      </c>
    </row>
    <row r="444" spans="1:1" x14ac:dyDescent="0.25">
      <c r="A444" t="s">
        <v>508</v>
      </c>
    </row>
    <row r="445" spans="1:1" x14ac:dyDescent="0.25">
      <c r="A445" t="s">
        <v>509</v>
      </c>
    </row>
    <row r="446" spans="1:1" x14ac:dyDescent="0.25">
      <c r="A446" t="s">
        <v>510</v>
      </c>
    </row>
    <row r="447" spans="1:1" x14ac:dyDescent="0.25">
      <c r="A447" t="s">
        <v>511</v>
      </c>
    </row>
    <row r="448" spans="1:1" x14ac:dyDescent="0.25">
      <c r="A448" t="s">
        <v>512</v>
      </c>
    </row>
    <row r="449" spans="1:1" x14ac:dyDescent="0.25">
      <c r="A449" t="s">
        <v>513</v>
      </c>
    </row>
    <row r="450" spans="1:1" x14ac:dyDescent="0.25">
      <c r="A450" t="s">
        <v>514</v>
      </c>
    </row>
    <row r="451" spans="1:1" x14ac:dyDescent="0.25">
      <c r="A451" t="s">
        <v>515</v>
      </c>
    </row>
    <row r="452" spans="1:1" x14ac:dyDescent="0.25">
      <c r="A452" t="s">
        <v>516</v>
      </c>
    </row>
    <row r="453" spans="1:1" x14ac:dyDescent="0.25">
      <c r="A453" t="s">
        <v>517</v>
      </c>
    </row>
    <row r="454" spans="1:1" x14ac:dyDescent="0.25">
      <c r="A454" t="s">
        <v>518</v>
      </c>
    </row>
    <row r="455" spans="1:1" x14ac:dyDescent="0.25">
      <c r="A455" t="s">
        <v>519</v>
      </c>
    </row>
    <row r="456" spans="1:1" x14ac:dyDescent="0.25">
      <c r="A456" t="s">
        <v>520</v>
      </c>
    </row>
    <row r="457" spans="1:1" x14ac:dyDescent="0.25">
      <c r="A457" t="s">
        <v>521</v>
      </c>
    </row>
    <row r="458" spans="1:1" x14ac:dyDescent="0.25">
      <c r="A458" t="s">
        <v>522</v>
      </c>
    </row>
    <row r="459" spans="1:1" x14ac:dyDescent="0.25">
      <c r="A459" t="s">
        <v>523</v>
      </c>
    </row>
    <row r="460" spans="1:1" x14ac:dyDescent="0.25">
      <c r="A460" t="s">
        <v>524</v>
      </c>
    </row>
    <row r="461" spans="1:1" x14ac:dyDescent="0.25">
      <c r="A461" t="s">
        <v>525</v>
      </c>
    </row>
    <row r="462" spans="1:1" x14ac:dyDescent="0.25">
      <c r="A462" t="s">
        <v>526</v>
      </c>
    </row>
    <row r="463" spans="1:1" x14ac:dyDescent="0.25">
      <c r="A463" t="s">
        <v>527</v>
      </c>
    </row>
    <row r="464" spans="1:1" x14ac:dyDescent="0.25">
      <c r="A464" t="s">
        <v>528</v>
      </c>
    </row>
    <row r="465" spans="1:1" x14ac:dyDescent="0.25">
      <c r="A465" t="s">
        <v>529</v>
      </c>
    </row>
    <row r="466" spans="1:1" x14ac:dyDescent="0.25">
      <c r="A466" t="s">
        <v>530</v>
      </c>
    </row>
    <row r="467" spans="1:1" x14ac:dyDescent="0.25">
      <c r="A467" t="s">
        <v>531</v>
      </c>
    </row>
    <row r="468" spans="1:1" x14ac:dyDescent="0.25">
      <c r="A468" t="s">
        <v>532</v>
      </c>
    </row>
    <row r="469" spans="1:1" x14ac:dyDescent="0.25">
      <c r="A469" t="s">
        <v>533</v>
      </c>
    </row>
    <row r="470" spans="1:1" x14ac:dyDescent="0.25">
      <c r="A470" t="s">
        <v>534</v>
      </c>
    </row>
    <row r="471" spans="1:1" x14ac:dyDescent="0.25">
      <c r="A471" t="s">
        <v>535</v>
      </c>
    </row>
    <row r="472" spans="1:1" x14ac:dyDescent="0.25">
      <c r="A472" t="s">
        <v>536</v>
      </c>
    </row>
    <row r="473" spans="1:1" x14ac:dyDescent="0.25">
      <c r="A473" t="s">
        <v>537</v>
      </c>
    </row>
    <row r="474" spans="1:1" x14ac:dyDescent="0.25">
      <c r="A474" t="s">
        <v>538</v>
      </c>
    </row>
    <row r="475" spans="1:1" x14ac:dyDescent="0.25">
      <c r="A475" t="s">
        <v>539</v>
      </c>
    </row>
    <row r="476" spans="1:1" x14ac:dyDescent="0.25">
      <c r="A476" t="s">
        <v>540</v>
      </c>
    </row>
    <row r="477" spans="1:1" x14ac:dyDescent="0.25">
      <c r="A477" t="s">
        <v>541</v>
      </c>
    </row>
    <row r="478" spans="1:1" x14ac:dyDescent="0.25">
      <c r="A478" t="s">
        <v>542</v>
      </c>
    </row>
    <row r="479" spans="1:1" x14ac:dyDescent="0.25">
      <c r="A479" t="s">
        <v>543</v>
      </c>
    </row>
    <row r="480" spans="1:1" x14ac:dyDescent="0.25">
      <c r="A480" t="s">
        <v>544</v>
      </c>
    </row>
    <row r="481" spans="1:1" x14ac:dyDescent="0.25">
      <c r="A481" t="s">
        <v>545</v>
      </c>
    </row>
    <row r="482" spans="1:1" x14ac:dyDescent="0.25">
      <c r="A482" t="s">
        <v>546</v>
      </c>
    </row>
    <row r="483" spans="1:1" x14ac:dyDescent="0.25">
      <c r="A483" t="s">
        <v>547</v>
      </c>
    </row>
    <row r="484" spans="1:1" x14ac:dyDescent="0.25">
      <c r="A484" t="s">
        <v>548</v>
      </c>
    </row>
    <row r="485" spans="1:1" x14ac:dyDescent="0.25">
      <c r="A485" t="s">
        <v>549</v>
      </c>
    </row>
    <row r="486" spans="1:1" x14ac:dyDescent="0.25">
      <c r="A486" t="s">
        <v>550</v>
      </c>
    </row>
    <row r="487" spans="1:1" x14ac:dyDescent="0.25">
      <c r="A487" t="s">
        <v>551</v>
      </c>
    </row>
    <row r="488" spans="1:1" x14ac:dyDescent="0.25">
      <c r="A488" t="s">
        <v>552</v>
      </c>
    </row>
    <row r="489" spans="1:1" x14ac:dyDescent="0.25">
      <c r="A489" t="s">
        <v>553</v>
      </c>
    </row>
    <row r="490" spans="1:1" x14ac:dyDescent="0.25">
      <c r="A490" t="s">
        <v>554</v>
      </c>
    </row>
    <row r="491" spans="1:1" x14ac:dyDescent="0.25">
      <c r="A491" t="s">
        <v>555</v>
      </c>
    </row>
    <row r="492" spans="1:1" x14ac:dyDescent="0.25">
      <c r="A492" t="s">
        <v>556</v>
      </c>
    </row>
    <row r="493" spans="1:1" x14ac:dyDescent="0.25">
      <c r="A493" t="s">
        <v>557</v>
      </c>
    </row>
    <row r="494" spans="1:1" x14ac:dyDescent="0.25">
      <c r="A494" t="s">
        <v>558</v>
      </c>
    </row>
    <row r="495" spans="1:1" x14ac:dyDescent="0.25">
      <c r="A495" t="s">
        <v>559</v>
      </c>
    </row>
    <row r="496" spans="1:1" x14ac:dyDescent="0.25">
      <c r="A496" t="s">
        <v>560</v>
      </c>
    </row>
    <row r="497" spans="1:1" x14ac:dyDescent="0.25">
      <c r="A497" t="s">
        <v>561</v>
      </c>
    </row>
    <row r="498" spans="1:1" x14ac:dyDescent="0.25">
      <c r="A498" t="s">
        <v>562</v>
      </c>
    </row>
    <row r="499" spans="1:1" x14ac:dyDescent="0.25">
      <c r="A499" t="s">
        <v>563</v>
      </c>
    </row>
    <row r="500" spans="1:1" x14ac:dyDescent="0.25">
      <c r="A500" t="s">
        <v>564</v>
      </c>
    </row>
    <row r="501" spans="1:1" x14ac:dyDescent="0.25">
      <c r="A501" t="s">
        <v>565</v>
      </c>
    </row>
    <row r="502" spans="1:1" x14ac:dyDescent="0.25">
      <c r="A502" t="s">
        <v>566</v>
      </c>
    </row>
    <row r="503" spans="1:1" x14ac:dyDescent="0.25">
      <c r="A503" t="s">
        <v>567</v>
      </c>
    </row>
    <row r="504" spans="1:1" x14ac:dyDescent="0.25">
      <c r="A504" t="s">
        <v>568</v>
      </c>
    </row>
    <row r="505" spans="1:1" x14ac:dyDescent="0.25">
      <c r="A505" t="s">
        <v>569</v>
      </c>
    </row>
    <row r="506" spans="1:1" x14ac:dyDescent="0.25">
      <c r="A506" t="s">
        <v>570</v>
      </c>
    </row>
    <row r="507" spans="1:1" x14ac:dyDescent="0.25">
      <c r="A507" t="s">
        <v>571</v>
      </c>
    </row>
    <row r="508" spans="1:1" x14ac:dyDescent="0.25">
      <c r="A508" t="s">
        <v>572</v>
      </c>
    </row>
    <row r="509" spans="1:1" x14ac:dyDescent="0.25">
      <c r="A509" t="s">
        <v>573</v>
      </c>
    </row>
    <row r="510" spans="1:1" x14ac:dyDescent="0.25">
      <c r="A510" t="s">
        <v>574</v>
      </c>
    </row>
    <row r="511" spans="1:1" x14ac:dyDescent="0.25">
      <c r="A511" t="s">
        <v>575</v>
      </c>
    </row>
    <row r="512" spans="1:1" x14ac:dyDescent="0.25">
      <c r="A512" t="s">
        <v>576</v>
      </c>
    </row>
    <row r="513" spans="1:1" x14ac:dyDescent="0.25">
      <c r="A513" t="s">
        <v>577</v>
      </c>
    </row>
    <row r="514" spans="1:1" x14ac:dyDescent="0.25">
      <c r="A514" t="s">
        <v>578</v>
      </c>
    </row>
    <row r="515" spans="1:1" x14ac:dyDescent="0.25">
      <c r="A515" t="s">
        <v>579</v>
      </c>
    </row>
    <row r="516" spans="1:1" x14ac:dyDescent="0.25">
      <c r="A516" t="s">
        <v>580</v>
      </c>
    </row>
    <row r="517" spans="1:1" x14ac:dyDescent="0.25">
      <c r="A517" t="s">
        <v>581</v>
      </c>
    </row>
    <row r="518" spans="1:1" x14ac:dyDescent="0.25">
      <c r="A518" t="s">
        <v>582</v>
      </c>
    </row>
    <row r="519" spans="1:1" x14ac:dyDescent="0.25">
      <c r="A519" t="s">
        <v>583</v>
      </c>
    </row>
    <row r="520" spans="1:1" x14ac:dyDescent="0.25">
      <c r="A520" t="s">
        <v>584</v>
      </c>
    </row>
    <row r="521" spans="1:1" x14ac:dyDescent="0.25">
      <c r="A521" t="s">
        <v>585</v>
      </c>
    </row>
    <row r="522" spans="1:1" x14ac:dyDescent="0.25">
      <c r="A522" t="s">
        <v>586</v>
      </c>
    </row>
    <row r="523" spans="1:1" x14ac:dyDescent="0.25">
      <c r="A523" t="s">
        <v>587</v>
      </c>
    </row>
    <row r="524" spans="1:1" x14ac:dyDescent="0.25">
      <c r="A524" t="s">
        <v>588</v>
      </c>
    </row>
    <row r="525" spans="1:1" x14ac:dyDescent="0.25">
      <c r="A525" t="s">
        <v>589</v>
      </c>
    </row>
    <row r="526" spans="1:1" x14ac:dyDescent="0.25">
      <c r="A526" t="s">
        <v>590</v>
      </c>
    </row>
    <row r="527" spans="1:1" x14ac:dyDescent="0.25">
      <c r="A527" t="s">
        <v>591</v>
      </c>
    </row>
    <row r="528" spans="1:1" x14ac:dyDescent="0.25">
      <c r="A528" t="s">
        <v>592</v>
      </c>
    </row>
    <row r="529" spans="1:1" x14ac:dyDescent="0.25">
      <c r="A529" t="s">
        <v>593</v>
      </c>
    </row>
    <row r="530" spans="1:1" x14ac:dyDescent="0.25">
      <c r="A530" t="s">
        <v>594</v>
      </c>
    </row>
    <row r="531" spans="1:1" x14ac:dyDescent="0.25">
      <c r="A531" t="s">
        <v>595</v>
      </c>
    </row>
    <row r="532" spans="1:1" x14ac:dyDescent="0.25">
      <c r="A532" t="s">
        <v>596</v>
      </c>
    </row>
    <row r="533" spans="1:1" x14ac:dyDescent="0.25">
      <c r="A533" t="s">
        <v>597</v>
      </c>
    </row>
    <row r="534" spans="1:1" x14ac:dyDescent="0.25">
      <c r="A534" t="s">
        <v>598</v>
      </c>
    </row>
    <row r="535" spans="1:1" x14ac:dyDescent="0.25">
      <c r="A535" t="s">
        <v>599</v>
      </c>
    </row>
    <row r="536" spans="1:1" x14ac:dyDescent="0.25">
      <c r="A536" t="s">
        <v>600</v>
      </c>
    </row>
    <row r="537" spans="1:1" x14ac:dyDescent="0.25">
      <c r="A537" t="s">
        <v>601</v>
      </c>
    </row>
    <row r="538" spans="1:1" x14ac:dyDescent="0.25">
      <c r="A538" t="s">
        <v>602</v>
      </c>
    </row>
    <row r="539" spans="1:1" x14ac:dyDescent="0.25">
      <c r="A539" t="s">
        <v>603</v>
      </c>
    </row>
    <row r="540" spans="1:1" x14ac:dyDescent="0.25">
      <c r="A540" t="s">
        <v>604</v>
      </c>
    </row>
    <row r="541" spans="1:1" x14ac:dyDescent="0.25">
      <c r="A541" t="s">
        <v>605</v>
      </c>
    </row>
    <row r="542" spans="1:1" x14ac:dyDescent="0.25">
      <c r="A542" t="s">
        <v>606</v>
      </c>
    </row>
    <row r="543" spans="1:1" x14ac:dyDescent="0.25">
      <c r="A543" t="s">
        <v>607</v>
      </c>
    </row>
    <row r="544" spans="1:1" x14ac:dyDescent="0.25">
      <c r="A544" t="s">
        <v>608</v>
      </c>
    </row>
    <row r="545" spans="1:1" x14ac:dyDescent="0.25">
      <c r="A545" t="s">
        <v>609</v>
      </c>
    </row>
    <row r="546" spans="1:1" x14ac:dyDescent="0.25">
      <c r="A546" t="s">
        <v>610</v>
      </c>
    </row>
    <row r="547" spans="1:1" x14ac:dyDescent="0.25">
      <c r="A547" t="s">
        <v>611</v>
      </c>
    </row>
    <row r="548" spans="1:1" x14ac:dyDescent="0.25">
      <c r="A548" t="s">
        <v>612</v>
      </c>
    </row>
    <row r="549" spans="1:1" x14ac:dyDescent="0.25">
      <c r="A549" t="s">
        <v>613</v>
      </c>
    </row>
    <row r="550" spans="1:1" x14ac:dyDescent="0.25">
      <c r="A550" t="s">
        <v>614</v>
      </c>
    </row>
    <row r="551" spans="1:1" x14ac:dyDescent="0.25">
      <c r="A551" t="s">
        <v>615</v>
      </c>
    </row>
    <row r="552" spans="1:1" x14ac:dyDescent="0.25">
      <c r="A552" t="s">
        <v>616</v>
      </c>
    </row>
    <row r="553" spans="1:1" x14ac:dyDescent="0.25">
      <c r="A553" t="s">
        <v>617</v>
      </c>
    </row>
    <row r="554" spans="1:1" x14ac:dyDescent="0.25">
      <c r="A554" t="s">
        <v>618</v>
      </c>
    </row>
    <row r="555" spans="1:1" x14ac:dyDescent="0.25">
      <c r="A555" t="s">
        <v>619</v>
      </c>
    </row>
    <row r="556" spans="1:1" x14ac:dyDescent="0.25">
      <c r="A556" t="s">
        <v>620</v>
      </c>
    </row>
    <row r="557" spans="1:1" x14ac:dyDescent="0.25">
      <c r="A557" t="s">
        <v>621</v>
      </c>
    </row>
    <row r="558" spans="1:1" x14ac:dyDescent="0.25">
      <c r="A558" t="s">
        <v>622</v>
      </c>
    </row>
    <row r="559" spans="1:1" x14ac:dyDescent="0.25">
      <c r="A559" t="s">
        <v>623</v>
      </c>
    </row>
    <row r="560" spans="1:1" x14ac:dyDescent="0.25">
      <c r="A560" t="s">
        <v>624</v>
      </c>
    </row>
    <row r="561" spans="1:1" x14ac:dyDescent="0.25">
      <c r="A561" t="s">
        <v>625</v>
      </c>
    </row>
    <row r="562" spans="1:1" x14ac:dyDescent="0.25">
      <c r="A562" t="s">
        <v>626</v>
      </c>
    </row>
    <row r="563" spans="1:1" x14ac:dyDescent="0.25">
      <c r="A563" t="s">
        <v>627</v>
      </c>
    </row>
    <row r="564" spans="1:1" x14ac:dyDescent="0.25">
      <c r="A564" t="s">
        <v>628</v>
      </c>
    </row>
    <row r="565" spans="1:1" x14ac:dyDescent="0.25">
      <c r="A565" t="s">
        <v>629</v>
      </c>
    </row>
    <row r="566" spans="1:1" x14ac:dyDescent="0.25">
      <c r="A566" t="s">
        <v>630</v>
      </c>
    </row>
    <row r="567" spans="1:1" x14ac:dyDescent="0.25">
      <c r="A567" t="s">
        <v>631</v>
      </c>
    </row>
    <row r="568" spans="1:1" x14ac:dyDescent="0.25">
      <c r="A568" t="s">
        <v>632</v>
      </c>
    </row>
    <row r="569" spans="1:1" x14ac:dyDescent="0.25">
      <c r="A569" t="s">
        <v>633</v>
      </c>
    </row>
    <row r="570" spans="1:1" x14ac:dyDescent="0.25">
      <c r="A570" t="s">
        <v>634</v>
      </c>
    </row>
    <row r="571" spans="1:1" x14ac:dyDescent="0.25">
      <c r="A571" t="s">
        <v>635</v>
      </c>
    </row>
    <row r="572" spans="1:1" x14ac:dyDescent="0.25">
      <c r="A572" t="s">
        <v>636</v>
      </c>
    </row>
    <row r="573" spans="1:1" x14ac:dyDescent="0.25">
      <c r="A573" t="s">
        <v>637</v>
      </c>
    </row>
    <row r="574" spans="1:1" x14ac:dyDescent="0.25">
      <c r="A574" t="s">
        <v>638</v>
      </c>
    </row>
    <row r="575" spans="1:1" x14ac:dyDescent="0.25">
      <c r="A575" t="s">
        <v>639</v>
      </c>
    </row>
    <row r="576" spans="1:1" x14ac:dyDescent="0.25">
      <c r="A576" t="s">
        <v>640</v>
      </c>
    </row>
    <row r="577" spans="1:1" x14ac:dyDescent="0.25">
      <c r="A577" t="s">
        <v>641</v>
      </c>
    </row>
    <row r="578" spans="1:1" x14ac:dyDescent="0.25">
      <c r="A578" t="s">
        <v>642</v>
      </c>
    </row>
    <row r="579" spans="1:1" x14ac:dyDescent="0.25">
      <c r="A579" t="s">
        <v>643</v>
      </c>
    </row>
    <row r="580" spans="1:1" x14ac:dyDescent="0.25">
      <c r="A580" t="s">
        <v>644</v>
      </c>
    </row>
    <row r="581" spans="1:1" x14ac:dyDescent="0.25">
      <c r="A581" t="s">
        <v>645</v>
      </c>
    </row>
    <row r="582" spans="1:1" x14ac:dyDescent="0.25">
      <c r="A582" t="s">
        <v>646</v>
      </c>
    </row>
    <row r="583" spans="1:1" x14ac:dyDescent="0.25">
      <c r="A583" t="s">
        <v>647</v>
      </c>
    </row>
    <row r="584" spans="1:1" x14ac:dyDescent="0.25">
      <c r="A584" t="s">
        <v>648</v>
      </c>
    </row>
    <row r="585" spans="1:1" x14ac:dyDescent="0.25">
      <c r="A585" t="s">
        <v>649</v>
      </c>
    </row>
    <row r="586" spans="1:1" x14ac:dyDescent="0.25">
      <c r="A586" t="s">
        <v>650</v>
      </c>
    </row>
    <row r="587" spans="1:1" x14ac:dyDescent="0.25">
      <c r="A587" t="s">
        <v>651</v>
      </c>
    </row>
    <row r="588" spans="1:1" x14ac:dyDescent="0.25">
      <c r="A588" t="s">
        <v>652</v>
      </c>
    </row>
    <row r="589" spans="1:1" x14ac:dyDescent="0.25">
      <c r="A589" t="s">
        <v>653</v>
      </c>
    </row>
    <row r="590" spans="1:1" x14ac:dyDescent="0.25">
      <c r="A590" t="s">
        <v>654</v>
      </c>
    </row>
    <row r="591" spans="1:1" x14ac:dyDescent="0.25">
      <c r="A591" t="s">
        <v>655</v>
      </c>
    </row>
    <row r="592" spans="1:1" x14ac:dyDescent="0.25">
      <c r="A592" t="s">
        <v>656</v>
      </c>
    </row>
    <row r="593" spans="1:1" x14ac:dyDescent="0.25">
      <c r="A593" t="s">
        <v>657</v>
      </c>
    </row>
    <row r="594" spans="1:1" x14ac:dyDescent="0.25">
      <c r="A594" t="s">
        <v>658</v>
      </c>
    </row>
    <row r="595" spans="1:1" x14ac:dyDescent="0.25">
      <c r="A595" t="s">
        <v>659</v>
      </c>
    </row>
    <row r="596" spans="1:1" x14ac:dyDescent="0.25">
      <c r="A596" t="s">
        <v>660</v>
      </c>
    </row>
    <row r="597" spans="1:1" x14ac:dyDescent="0.25">
      <c r="A597" t="s">
        <v>661</v>
      </c>
    </row>
    <row r="598" spans="1:1" x14ac:dyDescent="0.25">
      <c r="A598" t="s">
        <v>662</v>
      </c>
    </row>
    <row r="599" spans="1:1" x14ac:dyDescent="0.25">
      <c r="A599" t="s">
        <v>663</v>
      </c>
    </row>
    <row r="600" spans="1:1" x14ac:dyDescent="0.25">
      <c r="A600" t="s">
        <v>664</v>
      </c>
    </row>
    <row r="601" spans="1:1" x14ac:dyDescent="0.25">
      <c r="A601" t="s">
        <v>665</v>
      </c>
    </row>
    <row r="602" spans="1:1" x14ac:dyDescent="0.25">
      <c r="A602" t="s">
        <v>666</v>
      </c>
    </row>
    <row r="603" spans="1:1" x14ac:dyDescent="0.25">
      <c r="A603" t="s">
        <v>667</v>
      </c>
    </row>
    <row r="604" spans="1:1" x14ac:dyDescent="0.25">
      <c r="A604" t="s">
        <v>668</v>
      </c>
    </row>
    <row r="605" spans="1:1" x14ac:dyDescent="0.25">
      <c r="A605" t="s">
        <v>669</v>
      </c>
    </row>
    <row r="606" spans="1:1" x14ac:dyDescent="0.25">
      <c r="A606" t="s">
        <v>670</v>
      </c>
    </row>
    <row r="607" spans="1:1" x14ac:dyDescent="0.25">
      <c r="A607" t="s">
        <v>671</v>
      </c>
    </row>
    <row r="608" spans="1:1" x14ac:dyDescent="0.25">
      <c r="A608" t="s">
        <v>672</v>
      </c>
    </row>
    <row r="609" spans="1:1" x14ac:dyDescent="0.25">
      <c r="A609" t="s">
        <v>673</v>
      </c>
    </row>
    <row r="610" spans="1:1" x14ac:dyDescent="0.25">
      <c r="A610" t="s">
        <v>674</v>
      </c>
    </row>
    <row r="611" spans="1:1" x14ac:dyDescent="0.25">
      <c r="A611" t="s">
        <v>675</v>
      </c>
    </row>
    <row r="612" spans="1:1" x14ac:dyDescent="0.25">
      <c r="A612" t="s">
        <v>676</v>
      </c>
    </row>
    <row r="613" spans="1:1" x14ac:dyDescent="0.25">
      <c r="A613" t="s">
        <v>677</v>
      </c>
    </row>
    <row r="614" spans="1:1" x14ac:dyDescent="0.25">
      <c r="A614" t="s">
        <v>678</v>
      </c>
    </row>
    <row r="615" spans="1:1" x14ac:dyDescent="0.25">
      <c r="A615" t="s">
        <v>679</v>
      </c>
    </row>
    <row r="616" spans="1:1" x14ac:dyDescent="0.25">
      <c r="A616" t="s">
        <v>680</v>
      </c>
    </row>
    <row r="617" spans="1:1" x14ac:dyDescent="0.25">
      <c r="A617" t="s">
        <v>681</v>
      </c>
    </row>
    <row r="618" spans="1:1" x14ac:dyDescent="0.25">
      <c r="A618" t="s">
        <v>682</v>
      </c>
    </row>
    <row r="619" spans="1:1" x14ac:dyDescent="0.25">
      <c r="A619" t="s">
        <v>683</v>
      </c>
    </row>
    <row r="620" spans="1:1" x14ac:dyDescent="0.25">
      <c r="A620" t="s">
        <v>684</v>
      </c>
    </row>
    <row r="621" spans="1:1" x14ac:dyDescent="0.25">
      <c r="A621" t="s">
        <v>685</v>
      </c>
    </row>
    <row r="622" spans="1:1" x14ac:dyDescent="0.25">
      <c r="A622" t="s">
        <v>686</v>
      </c>
    </row>
    <row r="623" spans="1:1" x14ac:dyDescent="0.25">
      <c r="A623" t="s">
        <v>687</v>
      </c>
    </row>
    <row r="624" spans="1:1" x14ac:dyDescent="0.25">
      <c r="A624" t="s">
        <v>688</v>
      </c>
    </row>
    <row r="625" spans="1:1" x14ac:dyDescent="0.25">
      <c r="A625" t="s">
        <v>689</v>
      </c>
    </row>
    <row r="626" spans="1:1" x14ac:dyDescent="0.25">
      <c r="A626" t="s">
        <v>690</v>
      </c>
    </row>
    <row r="627" spans="1:1" x14ac:dyDescent="0.25">
      <c r="A627" t="s">
        <v>691</v>
      </c>
    </row>
    <row r="628" spans="1:1" x14ac:dyDescent="0.25">
      <c r="A628" t="s">
        <v>692</v>
      </c>
    </row>
    <row r="629" spans="1:1" x14ac:dyDescent="0.25">
      <c r="A629" t="s">
        <v>693</v>
      </c>
    </row>
    <row r="630" spans="1:1" x14ac:dyDescent="0.25">
      <c r="A630" t="s">
        <v>694</v>
      </c>
    </row>
    <row r="631" spans="1:1" x14ac:dyDescent="0.25">
      <c r="A631" t="s">
        <v>695</v>
      </c>
    </row>
    <row r="632" spans="1:1" x14ac:dyDescent="0.25">
      <c r="A632" t="s">
        <v>696</v>
      </c>
    </row>
    <row r="633" spans="1:1" x14ac:dyDescent="0.25">
      <c r="A633" t="s">
        <v>697</v>
      </c>
    </row>
    <row r="634" spans="1:1" x14ac:dyDescent="0.25">
      <c r="A634" t="s">
        <v>698</v>
      </c>
    </row>
    <row r="635" spans="1:1" x14ac:dyDescent="0.25">
      <c r="A635" t="s">
        <v>699</v>
      </c>
    </row>
    <row r="636" spans="1:1" x14ac:dyDescent="0.25">
      <c r="A636" t="s">
        <v>700</v>
      </c>
    </row>
    <row r="637" spans="1:1" x14ac:dyDescent="0.25">
      <c r="A637" t="s">
        <v>701</v>
      </c>
    </row>
    <row r="638" spans="1:1" x14ac:dyDescent="0.25">
      <c r="A638" t="s">
        <v>702</v>
      </c>
    </row>
    <row r="639" spans="1:1" x14ac:dyDescent="0.25">
      <c r="A639" t="s">
        <v>703</v>
      </c>
    </row>
    <row r="640" spans="1:1" x14ac:dyDescent="0.25">
      <c r="A640" t="s">
        <v>704</v>
      </c>
    </row>
    <row r="641" spans="1:1" x14ac:dyDescent="0.25">
      <c r="A641" t="s">
        <v>705</v>
      </c>
    </row>
    <row r="642" spans="1:1" x14ac:dyDescent="0.25">
      <c r="A642" t="s">
        <v>706</v>
      </c>
    </row>
    <row r="643" spans="1:1" x14ac:dyDescent="0.25">
      <c r="A643" t="s">
        <v>707</v>
      </c>
    </row>
    <row r="644" spans="1:1" x14ac:dyDescent="0.25">
      <c r="A644" t="s">
        <v>708</v>
      </c>
    </row>
    <row r="645" spans="1:1" x14ac:dyDescent="0.25">
      <c r="A645" t="s">
        <v>709</v>
      </c>
    </row>
    <row r="646" spans="1:1" x14ac:dyDescent="0.25">
      <c r="A646" t="s">
        <v>710</v>
      </c>
    </row>
    <row r="647" spans="1:1" x14ac:dyDescent="0.25">
      <c r="A647" t="s">
        <v>711</v>
      </c>
    </row>
    <row r="648" spans="1:1" x14ac:dyDescent="0.25">
      <c r="A648" t="s">
        <v>712</v>
      </c>
    </row>
    <row r="649" spans="1:1" x14ac:dyDescent="0.25">
      <c r="A649" t="s">
        <v>713</v>
      </c>
    </row>
    <row r="650" spans="1:1" x14ac:dyDescent="0.25">
      <c r="A650" t="s">
        <v>714</v>
      </c>
    </row>
    <row r="651" spans="1:1" x14ac:dyDescent="0.25">
      <c r="A651" t="s">
        <v>715</v>
      </c>
    </row>
    <row r="652" spans="1:1" x14ac:dyDescent="0.25">
      <c r="A652" t="s">
        <v>716</v>
      </c>
    </row>
    <row r="653" spans="1:1" x14ac:dyDescent="0.25">
      <c r="A653" t="s">
        <v>717</v>
      </c>
    </row>
    <row r="654" spans="1:1" x14ac:dyDescent="0.25">
      <c r="A654" t="s">
        <v>718</v>
      </c>
    </row>
    <row r="655" spans="1:1" x14ac:dyDescent="0.25">
      <c r="A655" t="s">
        <v>719</v>
      </c>
    </row>
    <row r="656" spans="1:1" x14ac:dyDescent="0.25">
      <c r="A656" t="s">
        <v>720</v>
      </c>
    </row>
    <row r="657" spans="1:1" x14ac:dyDescent="0.25">
      <c r="A657" t="s">
        <v>721</v>
      </c>
    </row>
    <row r="658" spans="1:1" x14ac:dyDescent="0.25">
      <c r="A658" t="s">
        <v>722</v>
      </c>
    </row>
    <row r="659" spans="1:1" x14ac:dyDescent="0.25">
      <c r="A659" t="s">
        <v>723</v>
      </c>
    </row>
    <row r="660" spans="1:1" x14ac:dyDescent="0.25">
      <c r="A660" t="s">
        <v>724</v>
      </c>
    </row>
    <row r="661" spans="1:1" x14ac:dyDescent="0.25">
      <c r="A661" t="s">
        <v>725</v>
      </c>
    </row>
    <row r="662" spans="1:1" x14ac:dyDescent="0.25">
      <c r="A662" t="s">
        <v>726</v>
      </c>
    </row>
    <row r="663" spans="1:1" x14ac:dyDescent="0.25">
      <c r="A663" t="s">
        <v>727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733</v>
      </c>
    </row>
    <row r="670" spans="1:1" x14ac:dyDescent="0.25">
      <c r="A670" t="s">
        <v>734</v>
      </c>
    </row>
    <row r="671" spans="1:1" x14ac:dyDescent="0.25">
      <c r="A671" t="s">
        <v>735</v>
      </c>
    </row>
    <row r="672" spans="1:1" x14ac:dyDescent="0.25">
      <c r="A672" t="s">
        <v>736</v>
      </c>
    </row>
    <row r="673" spans="1:1" x14ac:dyDescent="0.25">
      <c r="A673" t="s">
        <v>737</v>
      </c>
    </row>
    <row r="674" spans="1:1" x14ac:dyDescent="0.25">
      <c r="A674" t="s">
        <v>738</v>
      </c>
    </row>
    <row r="675" spans="1:1" x14ac:dyDescent="0.25">
      <c r="A675" t="s">
        <v>739</v>
      </c>
    </row>
    <row r="676" spans="1:1" x14ac:dyDescent="0.25">
      <c r="A676" t="s">
        <v>740</v>
      </c>
    </row>
    <row r="677" spans="1:1" x14ac:dyDescent="0.25">
      <c r="A677" t="s">
        <v>741</v>
      </c>
    </row>
    <row r="678" spans="1:1" x14ac:dyDescent="0.25">
      <c r="A678" t="s">
        <v>742</v>
      </c>
    </row>
    <row r="679" spans="1:1" x14ac:dyDescent="0.25">
      <c r="A679" t="s">
        <v>743</v>
      </c>
    </row>
    <row r="680" spans="1:1" x14ac:dyDescent="0.25">
      <c r="A680" t="s">
        <v>744</v>
      </c>
    </row>
    <row r="681" spans="1:1" x14ac:dyDescent="0.25">
      <c r="A681" t="s">
        <v>745</v>
      </c>
    </row>
    <row r="682" spans="1:1" x14ac:dyDescent="0.25">
      <c r="A682" t="s">
        <v>746</v>
      </c>
    </row>
    <row r="683" spans="1:1" x14ac:dyDescent="0.25">
      <c r="A683" t="s">
        <v>747</v>
      </c>
    </row>
    <row r="684" spans="1:1" x14ac:dyDescent="0.25">
      <c r="A684" t="s">
        <v>748</v>
      </c>
    </row>
    <row r="685" spans="1:1" x14ac:dyDescent="0.25">
      <c r="A685" t="s">
        <v>749</v>
      </c>
    </row>
    <row r="686" spans="1:1" x14ac:dyDescent="0.25">
      <c r="A686" t="s">
        <v>750</v>
      </c>
    </row>
    <row r="687" spans="1:1" x14ac:dyDescent="0.25">
      <c r="A687" t="s">
        <v>751</v>
      </c>
    </row>
    <row r="688" spans="1:1" x14ac:dyDescent="0.25">
      <c r="A688" t="s">
        <v>752</v>
      </c>
    </row>
    <row r="689" spans="1:1" x14ac:dyDescent="0.25">
      <c r="A689" t="s">
        <v>753</v>
      </c>
    </row>
    <row r="690" spans="1:1" x14ac:dyDescent="0.25">
      <c r="A690" t="s">
        <v>754</v>
      </c>
    </row>
    <row r="691" spans="1:1" x14ac:dyDescent="0.25">
      <c r="A691" t="s">
        <v>755</v>
      </c>
    </row>
    <row r="692" spans="1:1" x14ac:dyDescent="0.25">
      <c r="A692" t="s">
        <v>756</v>
      </c>
    </row>
    <row r="693" spans="1:1" x14ac:dyDescent="0.25">
      <c r="A693" t="s">
        <v>757</v>
      </c>
    </row>
    <row r="694" spans="1:1" x14ac:dyDescent="0.25">
      <c r="A694" t="s">
        <v>758</v>
      </c>
    </row>
    <row r="695" spans="1:1" x14ac:dyDescent="0.25">
      <c r="A695" t="s">
        <v>759</v>
      </c>
    </row>
    <row r="696" spans="1:1" x14ac:dyDescent="0.25">
      <c r="A696" t="s">
        <v>760</v>
      </c>
    </row>
    <row r="697" spans="1:1" x14ac:dyDescent="0.25">
      <c r="A697" t="s">
        <v>761</v>
      </c>
    </row>
    <row r="698" spans="1:1" x14ac:dyDescent="0.25">
      <c r="A698" t="s">
        <v>762</v>
      </c>
    </row>
    <row r="699" spans="1:1" x14ac:dyDescent="0.25">
      <c r="A699" t="s">
        <v>763</v>
      </c>
    </row>
    <row r="700" spans="1:1" x14ac:dyDescent="0.25">
      <c r="A700" t="s">
        <v>764</v>
      </c>
    </row>
    <row r="701" spans="1:1" x14ac:dyDescent="0.25">
      <c r="A701" t="s">
        <v>765</v>
      </c>
    </row>
    <row r="702" spans="1:1" x14ac:dyDescent="0.25">
      <c r="A702" t="s">
        <v>766</v>
      </c>
    </row>
    <row r="703" spans="1:1" x14ac:dyDescent="0.25">
      <c r="A703" t="s">
        <v>767</v>
      </c>
    </row>
    <row r="704" spans="1:1" x14ac:dyDescent="0.25">
      <c r="A704" t="s">
        <v>768</v>
      </c>
    </row>
    <row r="705" spans="1:1" x14ac:dyDescent="0.25">
      <c r="A705" t="s">
        <v>769</v>
      </c>
    </row>
    <row r="706" spans="1:1" x14ac:dyDescent="0.25">
      <c r="A706" t="s">
        <v>770</v>
      </c>
    </row>
    <row r="707" spans="1:1" x14ac:dyDescent="0.25">
      <c r="A707" t="s">
        <v>771</v>
      </c>
    </row>
    <row r="708" spans="1:1" x14ac:dyDescent="0.25">
      <c r="A708" t="s">
        <v>772</v>
      </c>
    </row>
    <row r="709" spans="1:1" x14ac:dyDescent="0.25">
      <c r="A709" t="s">
        <v>773</v>
      </c>
    </row>
    <row r="710" spans="1:1" x14ac:dyDescent="0.25">
      <c r="A710" t="s">
        <v>774</v>
      </c>
    </row>
    <row r="711" spans="1:1" x14ac:dyDescent="0.25">
      <c r="A711" t="s">
        <v>775</v>
      </c>
    </row>
    <row r="712" spans="1:1" x14ac:dyDescent="0.25">
      <c r="A712" t="s">
        <v>776</v>
      </c>
    </row>
    <row r="713" spans="1:1" x14ac:dyDescent="0.25">
      <c r="A713" t="s">
        <v>777</v>
      </c>
    </row>
    <row r="714" spans="1:1" x14ac:dyDescent="0.25">
      <c r="A714" t="s">
        <v>778</v>
      </c>
    </row>
    <row r="715" spans="1:1" x14ac:dyDescent="0.25">
      <c r="A715" t="s">
        <v>779</v>
      </c>
    </row>
    <row r="716" spans="1:1" x14ac:dyDescent="0.25">
      <c r="A716" t="s">
        <v>780</v>
      </c>
    </row>
    <row r="717" spans="1:1" x14ac:dyDescent="0.25">
      <c r="A717" t="s">
        <v>781</v>
      </c>
    </row>
    <row r="718" spans="1:1" x14ac:dyDescent="0.25">
      <c r="A718" t="s">
        <v>782</v>
      </c>
    </row>
    <row r="719" spans="1:1" x14ac:dyDescent="0.25">
      <c r="A719" t="s">
        <v>783</v>
      </c>
    </row>
    <row r="720" spans="1:1" x14ac:dyDescent="0.25">
      <c r="A720" t="s">
        <v>784</v>
      </c>
    </row>
    <row r="721" spans="1:1" x14ac:dyDescent="0.25">
      <c r="A721" t="s">
        <v>785</v>
      </c>
    </row>
    <row r="722" spans="1:1" x14ac:dyDescent="0.25">
      <c r="A722" t="s">
        <v>786</v>
      </c>
    </row>
    <row r="723" spans="1:1" x14ac:dyDescent="0.25">
      <c r="A723" t="s">
        <v>787</v>
      </c>
    </row>
    <row r="724" spans="1:1" x14ac:dyDescent="0.25">
      <c r="A724" t="s">
        <v>788</v>
      </c>
    </row>
    <row r="725" spans="1:1" x14ac:dyDescent="0.25">
      <c r="A725" t="s">
        <v>789</v>
      </c>
    </row>
    <row r="726" spans="1:1" x14ac:dyDescent="0.25">
      <c r="A726" t="s">
        <v>790</v>
      </c>
    </row>
    <row r="727" spans="1:1" x14ac:dyDescent="0.25">
      <c r="A727" t="s">
        <v>791</v>
      </c>
    </row>
    <row r="728" spans="1:1" x14ac:dyDescent="0.25">
      <c r="A728" t="s">
        <v>792</v>
      </c>
    </row>
    <row r="729" spans="1:1" x14ac:dyDescent="0.25">
      <c r="A729" t="s">
        <v>793</v>
      </c>
    </row>
    <row r="730" spans="1:1" x14ac:dyDescent="0.25">
      <c r="A730" t="s">
        <v>794</v>
      </c>
    </row>
    <row r="731" spans="1:1" x14ac:dyDescent="0.25">
      <c r="A731" t="s">
        <v>795</v>
      </c>
    </row>
    <row r="732" spans="1:1" x14ac:dyDescent="0.25">
      <c r="A732" t="s">
        <v>796</v>
      </c>
    </row>
    <row r="733" spans="1:1" x14ac:dyDescent="0.25">
      <c r="A733" t="s">
        <v>797</v>
      </c>
    </row>
    <row r="734" spans="1:1" x14ac:dyDescent="0.25">
      <c r="A734" t="s">
        <v>798</v>
      </c>
    </row>
    <row r="735" spans="1:1" x14ac:dyDescent="0.25">
      <c r="A735" t="s">
        <v>799</v>
      </c>
    </row>
    <row r="736" spans="1:1" x14ac:dyDescent="0.25">
      <c r="A736" t="s">
        <v>800</v>
      </c>
    </row>
    <row r="737" spans="1:1" x14ac:dyDescent="0.25">
      <c r="A737" t="s">
        <v>801</v>
      </c>
    </row>
    <row r="738" spans="1:1" x14ac:dyDescent="0.25">
      <c r="A738" t="s">
        <v>802</v>
      </c>
    </row>
    <row r="739" spans="1:1" x14ac:dyDescent="0.25">
      <c r="A739" t="s">
        <v>803</v>
      </c>
    </row>
    <row r="740" spans="1:1" x14ac:dyDescent="0.25">
      <c r="A740" t="s">
        <v>804</v>
      </c>
    </row>
    <row r="741" spans="1:1" x14ac:dyDescent="0.25">
      <c r="A741" t="s">
        <v>805</v>
      </c>
    </row>
    <row r="742" spans="1:1" x14ac:dyDescent="0.25">
      <c r="A742" t="s">
        <v>806</v>
      </c>
    </row>
    <row r="743" spans="1:1" x14ac:dyDescent="0.25">
      <c r="A743" t="s">
        <v>807</v>
      </c>
    </row>
    <row r="744" spans="1:1" x14ac:dyDescent="0.25">
      <c r="A744" t="s">
        <v>808</v>
      </c>
    </row>
    <row r="745" spans="1:1" x14ac:dyDescent="0.25">
      <c r="A745" t="s">
        <v>809</v>
      </c>
    </row>
    <row r="746" spans="1:1" x14ac:dyDescent="0.25">
      <c r="A746" t="s">
        <v>810</v>
      </c>
    </row>
    <row r="747" spans="1:1" x14ac:dyDescent="0.25">
      <c r="A747" t="s">
        <v>811</v>
      </c>
    </row>
    <row r="748" spans="1:1" x14ac:dyDescent="0.25">
      <c r="A748" t="s">
        <v>812</v>
      </c>
    </row>
    <row r="749" spans="1:1" x14ac:dyDescent="0.25">
      <c r="A749" t="s">
        <v>813</v>
      </c>
    </row>
    <row r="750" spans="1:1" x14ac:dyDescent="0.25">
      <c r="A750" t="s">
        <v>814</v>
      </c>
    </row>
    <row r="751" spans="1:1" x14ac:dyDescent="0.25">
      <c r="A751" t="s">
        <v>815</v>
      </c>
    </row>
    <row r="752" spans="1:1" x14ac:dyDescent="0.25">
      <c r="A752" t="s">
        <v>816</v>
      </c>
    </row>
    <row r="753" spans="1:1" x14ac:dyDescent="0.25">
      <c r="A753" t="s">
        <v>817</v>
      </c>
    </row>
    <row r="754" spans="1:1" x14ac:dyDescent="0.25">
      <c r="A754" t="s">
        <v>818</v>
      </c>
    </row>
    <row r="755" spans="1:1" x14ac:dyDescent="0.25">
      <c r="A755" t="s">
        <v>819</v>
      </c>
    </row>
    <row r="756" spans="1:1" x14ac:dyDescent="0.25">
      <c r="A756" t="s">
        <v>820</v>
      </c>
    </row>
    <row r="757" spans="1:1" x14ac:dyDescent="0.25">
      <c r="A757" t="s">
        <v>821</v>
      </c>
    </row>
    <row r="758" spans="1:1" x14ac:dyDescent="0.25">
      <c r="A758" t="s">
        <v>822</v>
      </c>
    </row>
    <row r="759" spans="1:1" x14ac:dyDescent="0.25">
      <c r="A759" t="s">
        <v>823</v>
      </c>
    </row>
    <row r="760" spans="1:1" x14ac:dyDescent="0.25">
      <c r="A760" t="s">
        <v>824</v>
      </c>
    </row>
    <row r="761" spans="1:1" x14ac:dyDescent="0.25">
      <c r="A761" t="s">
        <v>825</v>
      </c>
    </row>
    <row r="762" spans="1:1" x14ac:dyDescent="0.25">
      <c r="A762" t="s">
        <v>826</v>
      </c>
    </row>
    <row r="763" spans="1:1" x14ac:dyDescent="0.25">
      <c r="A763" t="s">
        <v>827</v>
      </c>
    </row>
    <row r="764" spans="1:1" x14ac:dyDescent="0.25">
      <c r="A764" t="s">
        <v>828</v>
      </c>
    </row>
    <row r="765" spans="1:1" x14ac:dyDescent="0.25">
      <c r="A765" t="s">
        <v>829</v>
      </c>
    </row>
    <row r="766" spans="1:1" x14ac:dyDescent="0.25">
      <c r="A766" t="s">
        <v>830</v>
      </c>
    </row>
    <row r="767" spans="1:1" x14ac:dyDescent="0.25">
      <c r="A767" t="s">
        <v>831</v>
      </c>
    </row>
    <row r="768" spans="1:1" x14ac:dyDescent="0.25">
      <c r="A768" t="s">
        <v>832</v>
      </c>
    </row>
    <row r="769" spans="1:1" x14ac:dyDescent="0.25">
      <c r="A769" t="s">
        <v>833</v>
      </c>
    </row>
    <row r="770" spans="1:1" x14ac:dyDescent="0.25">
      <c r="A770" t="s">
        <v>834</v>
      </c>
    </row>
    <row r="771" spans="1:1" x14ac:dyDescent="0.25">
      <c r="A771" t="s">
        <v>835</v>
      </c>
    </row>
    <row r="772" spans="1:1" x14ac:dyDescent="0.25">
      <c r="A772" t="s">
        <v>836</v>
      </c>
    </row>
    <row r="773" spans="1:1" x14ac:dyDescent="0.25">
      <c r="A773" t="s">
        <v>837</v>
      </c>
    </row>
    <row r="774" spans="1:1" x14ac:dyDescent="0.25">
      <c r="A774" t="s">
        <v>838</v>
      </c>
    </row>
    <row r="775" spans="1:1" x14ac:dyDescent="0.25">
      <c r="A775" t="s">
        <v>839</v>
      </c>
    </row>
    <row r="776" spans="1:1" x14ac:dyDescent="0.25">
      <c r="A776" t="s">
        <v>840</v>
      </c>
    </row>
    <row r="777" spans="1:1" x14ac:dyDescent="0.25">
      <c r="A777" t="s">
        <v>841</v>
      </c>
    </row>
    <row r="778" spans="1:1" x14ac:dyDescent="0.25">
      <c r="A778" t="s">
        <v>842</v>
      </c>
    </row>
    <row r="779" spans="1:1" x14ac:dyDescent="0.25">
      <c r="A779" t="s">
        <v>843</v>
      </c>
    </row>
    <row r="780" spans="1:1" x14ac:dyDescent="0.25">
      <c r="A780" t="s">
        <v>844</v>
      </c>
    </row>
    <row r="781" spans="1:1" x14ac:dyDescent="0.25">
      <c r="A781" t="s">
        <v>845</v>
      </c>
    </row>
    <row r="782" spans="1:1" x14ac:dyDescent="0.25">
      <c r="A782" t="s">
        <v>846</v>
      </c>
    </row>
    <row r="783" spans="1:1" x14ac:dyDescent="0.25">
      <c r="A783" t="s">
        <v>847</v>
      </c>
    </row>
    <row r="784" spans="1:1" x14ac:dyDescent="0.25">
      <c r="A784" t="s">
        <v>848</v>
      </c>
    </row>
    <row r="785" spans="1:1" x14ac:dyDescent="0.25">
      <c r="A785" t="s">
        <v>849</v>
      </c>
    </row>
    <row r="786" spans="1:1" x14ac:dyDescent="0.25">
      <c r="A786" t="s">
        <v>850</v>
      </c>
    </row>
    <row r="787" spans="1:1" x14ac:dyDescent="0.25">
      <c r="A787" t="s">
        <v>851</v>
      </c>
    </row>
    <row r="788" spans="1:1" x14ac:dyDescent="0.25">
      <c r="A788" t="s">
        <v>852</v>
      </c>
    </row>
    <row r="789" spans="1:1" x14ac:dyDescent="0.25">
      <c r="A789" t="s">
        <v>853</v>
      </c>
    </row>
    <row r="790" spans="1:1" x14ac:dyDescent="0.25">
      <c r="A790" t="s">
        <v>854</v>
      </c>
    </row>
    <row r="791" spans="1:1" x14ac:dyDescent="0.25">
      <c r="A791" t="s">
        <v>855</v>
      </c>
    </row>
    <row r="792" spans="1:1" x14ac:dyDescent="0.25">
      <c r="A792" t="s">
        <v>856</v>
      </c>
    </row>
    <row r="793" spans="1:1" x14ac:dyDescent="0.25">
      <c r="A793" t="s">
        <v>857</v>
      </c>
    </row>
    <row r="794" spans="1:1" x14ac:dyDescent="0.25">
      <c r="A794" t="s">
        <v>858</v>
      </c>
    </row>
    <row r="795" spans="1:1" x14ac:dyDescent="0.25">
      <c r="A795" t="s">
        <v>859</v>
      </c>
    </row>
    <row r="796" spans="1:1" x14ac:dyDescent="0.25">
      <c r="A796" t="s">
        <v>860</v>
      </c>
    </row>
    <row r="797" spans="1:1" x14ac:dyDescent="0.25">
      <c r="A797" t="s">
        <v>861</v>
      </c>
    </row>
    <row r="798" spans="1:1" x14ac:dyDescent="0.25">
      <c r="A798" t="s">
        <v>862</v>
      </c>
    </row>
    <row r="799" spans="1:1" x14ac:dyDescent="0.25">
      <c r="A799" t="s">
        <v>863</v>
      </c>
    </row>
    <row r="800" spans="1:1" x14ac:dyDescent="0.25">
      <c r="A800" t="s">
        <v>864</v>
      </c>
    </row>
    <row r="801" spans="1:1" x14ac:dyDescent="0.25">
      <c r="A801" t="s">
        <v>865</v>
      </c>
    </row>
    <row r="802" spans="1:1" x14ac:dyDescent="0.25">
      <c r="A802" t="s">
        <v>866</v>
      </c>
    </row>
    <row r="803" spans="1:1" x14ac:dyDescent="0.25">
      <c r="A803" t="s">
        <v>867</v>
      </c>
    </row>
    <row r="804" spans="1:1" x14ac:dyDescent="0.25">
      <c r="A804" t="s">
        <v>868</v>
      </c>
    </row>
    <row r="805" spans="1:1" x14ac:dyDescent="0.25">
      <c r="A805" t="s">
        <v>869</v>
      </c>
    </row>
    <row r="806" spans="1:1" x14ac:dyDescent="0.25">
      <c r="A806" t="s">
        <v>870</v>
      </c>
    </row>
    <row r="807" spans="1:1" x14ac:dyDescent="0.25">
      <c r="A807" t="s">
        <v>871</v>
      </c>
    </row>
    <row r="808" spans="1:1" x14ac:dyDescent="0.25">
      <c r="A808" t="s">
        <v>872</v>
      </c>
    </row>
    <row r="809" spans="1:1" x14ac:dyDescent="0.25">
      <c r="A809" t="s">
        <v>873</v>
      </c>
    </row>
    <row r="810" spans="1:1" x14ac:dyDescent="0.25">
      <c r="A810" t="s">
        <v>874</v>
      </c>
    </row>
    <row r="811" spans="1:1" x14ac:dyDescent="0.25">
      <c r="A811" t="s">
        <v>875</v>
      </c>
    </row>
    <row r="812" spans="1:1" x14ac:dyDescent="0.25">
      <c r="A812" t="s">
        <v>876</v>
      </c>
    </row>
    <row r="813" spans="1:1" x14ac:dyDescent="0.25">
      <c r="A813" t="s">
        <v>877</v>
      </c>
    </row>
    <row r="814" spans="1:1" x14ac:dyDescent="0.25">
      <c r="A814" t="s">
        <v>878</v>
      </c>
    </row>
    <row r="815" spans="1:1" x14ac:dyDescent="0.25">
      <c r="A815" t="s">
        <v>879</v>
      </c>
    </row>
    <row r="816" spans="1:1" x14ac:dyDescent="0.25">
      <c r="A816" t="s">
        <v>880</v>
      </c>
    </row>
    <row r="817" spans="1:1" x14ac:dyDescent="0.25">
      <c r="A817" t="s">
        <v>881</v>
      </c>
    </row>
    <row r="818" spans="1:1" x14ac:dyDescent="0.25">
      <c r="A818" t="s">
        <v>882</v>
      </c>
    </row>
    <row r="819" spans="1:1" x14ac:dyDescent="0.25">
      <c r="A819" t="s">
        <v>883</v>
      </c>
    </row>
    <row r="820" spans="1:1" x14ac:dyDescent="0.25">
      <c r="A820" t="s">
        <v>884</v>
      </c>
    </row>
    <row r="821" spans="1:1" x14ac:dyDescent="0.25">
      <c r="A821" t="s">
        <v>885</v>
      </c>
    </row>
    <row r="822" spans="1:1" x14ac:dyDescent="0.25">
      <c r="A822" t="s">
        <v>886</v>
      </c>
    </row>
    <row r="823" spans="1:1" x14ac:dyDescent="0.25">
      <c r="A823" t="s">
        <v>887</v>
      </c>
    </row>
    <row r="824" spans="1:1" x14ac:dyDescent="0.25">
      <c r="A824" t="s">
        <v>888</v>
      </c>
    </row>
    <row r="825" spans="1:1" x14ac:dyDescent="0.25">
      <c r="A825" t="s">
        <v>889</v>
      </c>
    </row>
    <row r="826" spans="1:1" x14ac:dyDescent="0.25">
      <c r="A826" t="s">
        <v>890</v>
      </c>
    </row>
    <row r="827" spans="1:1" x14ac:dyDescent="0.25">
      <c r="A827" t="s">
        <v>891</v>
      </c>
    </row>
    <row r="828" spans="1:1" x14ac:dyDescent="0.25">
      <c r="A828" t="s">
        <v>892</v>
      </c>
    </row>
    <row r="829" spans="1:1" x14ac:dyDescent="0.25">
      <c r="A829" t="s">
        <v>893</v>
      </c>
    </row>
    <row r="830" spans="1:1" x14ac:dyDescent="0.25">
      <c r="A830" t="s">
        <v>894</v>
      </c>
    </row>
    <row r="831" spans="1:1" x14ac:dyDescent="0.25">
      <c r="A831" t="s">
        <v>895</v>
      </c>
    </row>
    <row r="832" spans="1:1" x14ac:dyDescent="0.25">
      <c r="A832" t="s">
        <v>896</v>
      </c>
    </row>
    <row r="833" spans="1:1" x14ac:dyDescent="0.25">
      <c r="A833" t="s">
        <v>897</v>
      </c>
    </row>
    <row r="834" spans="1:1" x14ac:dyDescent="0.25">
      <c r="A834" t="s">
        <v>898</v>
      </c>
    </row>
    <row r="835" spans="1:1" x14ac:dyDescent="0.25">
      <c r="A835" t="s">
        <v>899</v>
      </c>
    </row>
    <row r="836" spans="1:1" x14ac:dyDescent="0.25">
      <c r="A836" t="s">
        <v>900</v>
      </c>
    </row>
    <row r="837" spans="1:1" x14ac:dyDescent="0.25">
      <c r="A837" t="s">
        <v>901</v>
      </c>
    </row>
    <row r="838" spans="1:1" x14ac:dyDescent="0.25">
      <c r="A838" t="s">
        <v>902</v>
      </c>
    </row>
    <row r="839" spans="1:1" x14ac:dyDescent="0.25">
      <c r="A839" t="s">
        <v>903</v>
      </c>
    </row>
    <row r="840" spans="1:1" x14ac:dyDescent="0.25">
      <c r="A840" t="s">
        <v>904</v>
      </c>
    </row>
    <row r="841" spans="1:1" x14ac:dyDescent="0.25">
      <c r="A841" t="s">
        <v>905</v>
      </c>
    </row>
    <row r="842" spans="1:1" x14ac:dyDescent="0.25">
      <c r="A842" t="s">
        <v>906</v>
      </c>
    </row>
    <row r="843" spans="1:1" x14ac:dyDescent="0.25">
      <c r="A843" t="s">
        <v>907</v>
      </c>
    </row>
    <row r="844" spans="1:1" x14ac:dyDescent="0.25">
      <c r="A844" t="s">
        <v>908</v>
      </c>
    </row>
    <row r="845" spans="1:1" x14ac:dyDescent="0.25">
      <c r="A845" t="s">
        <v>909</v>
      </c>
    </row>
    <row r="846" spans="1:1" x14ac:dyDescent="0.25">
      <c r="A846" t="s">
        <v>910</v>
      </c>
    </row>
    <row r="847" spans="1:1" x14ac:dyDescent="0.25">
      <c r="A847" t="s">
        <v>911</v>
      </c>
    </row>
    <row r="848" spans="1:1" x14ac:dyDescent="0.25">
      <c r="A848" t="s">
        <v>912</v>
      </c>
    </row>
    <row r="849" spans="1:1" x14ac:dyDescent="0.25">
      <c r="A849" t="s">
        <v>913</v>
      </c>
    </row>
    <row r="850" spans="1:1" x14ac:dyDescent="0.25">
      <c r="A850" t="s">
        <v>914</v>
      </c>
    </row>
    <row r="851" spans="1:1" x14ac:dyDescent="0.25">
      <c r="A851" t="s">
        <v>915</v>
      </c>
    </row>
    <row r="852" spans="1:1" x14ac:dyDescent="0.25">
      <c r="A852" t="s">
        <v>916</v>
      </c>
    </row>
    <row r="853" spans="1:1" x14ac:dyDescent="0.25">
      <c r="A853" t="s">
        <v>917</v>
      </c>
    </row>
    <row r="854" spans="1:1" x14ac:dyDescent="0.25">
      <c r="A854" t="s">
        <v>918</v>
      </c>
    </row>
    <row r="855" spans="1:1" x14ac:dyDescent="0.25">
      <c r="A855" t="s">
        <v>919</v>
      </c>
    </row>
    <row r="856" spans="1:1" x14ac:dyDescent="0.25">
      <c r="A856" t="s">
        <v>920</v>
      </c>
    </row>
    <row r="857" spans="1:1" x14ac:dyDescent="0.25">
      <c r="A857" t="s">
        <v>921</v>
      </c>
    </row>
    <row r="858" spans="1:1" x14ac:dyDescent="0.25">
      <c r="A858" t="s">
        <v>922</v>
      </c>
    </row>
    <row r="859" spans="1:1" x14ac:dyDescent="0.25">
      <c r="A859" t="s">
        <v>923</v>
      </c>
    </row>
    <row r="860" spans="1:1" x14ac:dyDescent="0.25">
      <c r="A860" t="s">
        <v>924</v>
      </c>
    </row>
    <row r="861" spans="1:1" x14ac:dyDescent="0.25">
      <c r="A861" t="s">
        <v>925</v>
      </c>
    </row>
    <row r="862" spans="1:1" x14ac:dyDescent="0.25">
      <c r="A862" t="s">
        <v>926</v>
      </c>
    </row>
    <row r="863" spans="1:1" x14ac:dyDescent="0.25">
      <c r="A863" t="s">
        <v>927</v>
      </c>
    </row>
    <row r="864" spans="1:1" x14ac:dyDescent="0.25">
      <c r="A864" t="s">
        <v>928</v>
      </c>
    </row>
    <row r="865" spans="1:1" x14ac:dyDescent="0.25">
      <c r="A865" t="s">
        <v>929</v>
      </c>
    </row>
    <row r="866" spans="1:1" x14ac:dyDescent="0.25">
      <c r="A866" t="s">
        <v>930</v>
      </c>
    </row>
    <row r="867" spans="1:1" x14ac:dyDescent="0.25">
      <c r="A867" t="s">
        <v>931</v>
      </c>
    </row>
    <row r="868" spans="1:1" x14ac:dyDescent="0.25">
      <c r="A868" t="s">
        <v>932</v>
      </c>
    </row>
    <row r="869" spans="1:1" x14ac:dyDescent="0.25">
      <c r="A869" t="s">
        <v>933</v>
      </c>
    </row>
    <row r="870" spans="1:1" x14ac:dyDescent="0.25">
      <c r="A870" t="s">
        <v>934</v>
      </c>
    </row>
    <row r="871" spans="1:1" x14ac:dyDescent="0.25">
      <c r="A871" t="s">
        <v>935</v>
      </c>
    </row>
    <row r="872" spans="1:1" x14ac:dyDescent="0.25">
      <c r="A872" t="s">
        <v>936</v>
      </c>
    </row>
    <row r="873" spans="1:1" x14ac:dyDescent="0.25">
      <c r="A873" t="s">
        <v>937</v>
      </c>
    </row>
    <row r="874" spans="1:1" x14ac:dyDescent="0.25">
      <c r="A874" t="s">
        <v>938</v>
      </c>
    </row>
    <row r="875" spans="1:1" x14ac:dyDescent="0.25">
      <c r="A875" t="s">
        <v>939</v>
      </c>
    </row>
    <row r="876" spans="1:1" x14ac:dyDescent="0.25">
      <c r="A876" t="s">
        <v>940</v>
      </c>
    </row>
    <row r="877" spans="1:1" x14ac:dyDescent="0.25">
      <c r="A877" t="s">
        <v>941</v>
      </c>
    </row>
    <row r="878" spans="1:1" x14ac:dyDescent="0.25">
      <c r="A878" t="s">
        <v>942</v>
      </c>
    </row>
    <row r="879" spans="1:1" x14ac:dyDescent="0.25">
      <c r="A879" t="s">
        <v>943</v>
      </c>
    </row>
    <row r="880" spans="1:1" x14ac:dyDescent="0.25">
      <c r="A880" t="s">
        <v>944</v>
      </c>
    </row>
    <row r="881" spans="1:1" x14ac:dyDescent="0.25">
      <c r="A881" t="s">
        <v>945</v>
      </c>
    </row>
    <row r="882" spans="1:1" x14ac:dyDescent="0.25">
      <c r="A882" t="s">
        <v>946</v>
      </c>
    </row>
    <row r="883" spans="1:1" x14ac:dyDescent="0.25">
      <c r="A883" t="s">
        <v>947</v>
      </c>
    </row>
    <row r="884" spans="1:1" x14ac:dyDescent="0.25">
      <c r="A884" t="s">
        <v>948</v>
      </c>
    </row>
    <row r="885" spans="1:1" x14ac:dyDescent="0.25">
      <c r="A885" t="s">
        <v>949</v>
      </c>
    </row>
    <row r="886" spans="1:1" x14ac:dyDescent="0.25">
      <c r="A886" t="s">
        <v>950</v>
      </c>
    </row>
    <row r="887" spans="1:1" x14ac:dyDescent="0.25">
      <c r="A887" t="s">
        <v>951</v>
      </c>
    </row>
    <row r="888" spans="1:1" x14ac:dyDescent="0.25">
      <c r="A888" t="s">
        <v>952</v>
      </c>
    </row>
    <row r="889" spans="1:1" x14ac:dyDescent="0.25">
      <c r="A889" t="s">
        <v>953</v>
      </c>
    </row>
    <row r="890" spans="1:1" x14ac:dyDescent="0.25">
      <c r="A890" t="s">
        <v>954</v>
      </c>
    </row>
    <row r="891" spans="1:1" x14ac:dyDescent="0.25">
      <c r="A891" t="s">
        <v>955</v>
      </c>
    </row>
    <row r="892" spans="1:1" x14ac:dyDescent="0.25">
      <c r="A892" t="s">
        <v>956</v>
      </c>
    </row>
    <row r="893" spans="1:1" x14ac:dyDescent="0.25">
      <c r="A893" t="s">
        <v>957</v>
      </c>
    </row>
    <row r="894" spans="1:1" x14ac:dyDescent="0.25">
      <c r="A894" t="s">
        <v>958</v>
      </c>
    </row>
    <row r="895" spans="1:1" x14ac:dyDescent="0.25">
      <c r="A895" t="s">
        <v>959</v>
      </c>
    </row>
    <row r="896" spans="1:1" x14ac:dyDescent="0.25">
      <c r="A896" t="s">
        <v>960</v>
      </c>
    </row>
    <row r="897" spans="1:1" x14ac:dyDescent="0.25">
      <c r="A897" t="s">
        <v>961</v>
      </c>
    </row>
    <row r="898" spans="1:1" x14ac:dyDescent="0.25">
      <c r="A898" t="s">
        <v>962</v>
      </c>
    </row>
    <row r="899" spans="1:1" x14ac:dyDescent="0.25">
      <c r="A899" t="s">
        <v>963</v>
      </c>
    </row>
    <row r="900" spans="1:1" x14ac:dyDescent="0.25">
      <c r="A900" t="s">
        <v>964</v>
      </c>
    </row>
    <row r="901" spans="1:1" x14ac:dyDescent="0.25">
      <c r="A901" t="s">
        <v>965</v>
      </c>
    </row>
    <row r="902" spans="1:1" x14ac:dyDescent="0.25">
      <c r="A902" t="s">
        <v>966</v>
      </c>
    </row>
    <row r="903" spans="1:1" x14ac:dyDescent="0.25">
      <c r="A903" t="s">
        <v>967</v>
      </c>
    </row>
    <row r="904" spans="1:1" x14ac:dyDescent="0.25">
      <c r="A904" t="s">
        <v>968</v>
      </c>
    </row>
    <row r="905" spans="1:1" x14ac:dyDescent="0.25">
      <c r="A905" t="s">
        <v>969</v>
      </c>
    </row>
    <row r="906" spans="1:1" x14ac:dyDescent="0.25">
      <c r="A906" t="s">
        <v>970</v>
      </c>
    </row>
    <row r="907" spans="1:1" x14ac:dyDescent="0.25">
      <c r="A907" t="s">
        <v>971</v>
      </c>
    </row>
    <row r="908" spans="1:1" x14ac:dyDescent="0.25">
      <c r="A908" t="s">
        <v>972</v>
      </c>
    </row>
    <row r="909" spans="1:1" x14ac:dyDescent="0.25">
      <c r="A909" t="s">
        <v>973</v>
      </c>
    </row>
    <row r="910" spans="1:1" x14ac:dyDescent="0.25">
      <c r="A910" t="s">
        <v>974</v>
      </c>
    </row>
    <row r="911" spans="1:1" x14ac:dyDescent="0.25">
      <c r="A911" t="s">
        <v>975</v>
      </c>
    </row>
    <row r="912" spans="1:1" x14ac:dyDescent="0.25">
      <c r="A912" t="s">
        <v>976</v>
      </c>
    </row>
    <row r="913" spans="1:1" x14ac:dyDescent="0.25">
      <c r="A913" t="s">
        <v>977</v>
      </c>
    </row>
    <row r="914" spans="1:1" x14ac:dyDescent="0.25">
      <c r="A914" t="s">
        <v>978</v>
      </c>
    </row>
    <row r="915" spans="1:1" x14ac:dyDescent="0.25">
      <c r="A915" t="s">
        <v>979</v>
      </c>
    </row>
    <row r="916" spans="1:1" x14ac:dyDescent="0.25">
      <c r="A916" t="s">
        <v>980</v>
      </c>
    </row>
    <row r="917" spans="1:1" x14ac:dyDescent="0.25">
      <c r="A917" t="s">
        <v>981</v>
      </c>
    </row>
    <row r="918" spans="1:1" x14ac:dyDescent="0.25">
      <c r="A918" t="s">
        <v>982</v>
      </c>
    </row>
    <row r="919" spans="1:1" x14ac:dyDescent="0.25">
      <c r="A919" t="s">
        <v>983</v>
      </c>
    </row>
    <row r="920" spans="1:1" x14ac:dyDescent="0.25">
      <c r="A920" t="s">
        <v>984</v>
      </c>
    </row>
    <row r="921" spans="1:1" x14ac:dyDescent="0.25">
      <c r="A921" t="s">
        <v>985</v>
      </c>
    </row>
    <row r="922" spans="1:1" x14ac:dyDescent="0.25">
      <c r="A922" t="s">
        <v>986</v>
      </c>
    </row>
    <row r="923" spans="1:1" x14ac:dyDescent="0.25">
      <c r="A923" t="s">
        <v>987</v>
      </c>
    </row>
    <row r="924" spans="1:1" x14ac:dyDescent="0.25">
      <c r="A924" t="s">
        <v>988</v>
      </c>
    </row>
    <row r="925" spans="1:1" x14ac:dyDescent="0.25">
      <c r="A925" t="s">
        <v>989</v>
      </c>
    </row>
    <row r="926" spans="1:1" x14ac:dyDescent="0.25">
      <c r="A926" t="s">
        <v>990</v>
      </c>
    </row>
    <row r="927" spans="1:1" x14ac:dyDescent="0.25">
      <c r="A927" t="s">
        <v>991</v>
      </c>
    </row>
    <row r="928" spans="1:1" x14ac:dyDescent="0.25">
      <c r="A928" t="s">
        <v>992</v>
      </c>
    </row>
    <row r="929" spans="1:1" x14ac:dyDescent="0.25">
      <c r="A929" t="s">
        <v>993</v>
      </c>
    </row>
    <row r="930" spans="1:1" x14ac:dyDescent="0.25">
      <c r="A930" t="s">
        <v>994</v>
      </c>
    </row>
    <row r="931" spans="1:1" x14ac:dyDescent="0.25">
      <c r="A931" t="s">
        <v>995</v>
      </c>
    </row>
    <row r="932" spans="1:1" x14ac:dyDescent="0.25">
      <c r="A932" t="s">
        <v>996</v>
      </c>
    </row>
    <row r="933" spans="1:1" x14ac:dyDescent="0.25">
      <c r="A933" t="s">
        <v>997</v>
      </c>
    </row>
    <row r="934" spans="1:1" x14ac:dyDescent="0.25">
      <c r="A934" t="s">
        <v>998</v>
      </c>
    </row>
    <row r="935" spans="1:1" x14ac:dyDescent="0.25">
      <c r="A935" t="s">
        <v>999</v>
      </c>
    </row>
    <row r="936" spans="1:1" x14ac:dyDescent="0.25">
      <c r="A936" t="s">
        <v>1000</v>
      </c>
    </row>
    <row r="937" spans="1:1" x14ac:dyDescent="0.25">
      <c r="A937" t="s">
        <v>1001</v>
      </c>
    </row>
    <row r="938" spans="1:1" x14ac:dyDescent="0.25">
      <c r="A938" t="s">
        <v>1002</v>
      </c>
    </row>
    <row r="939" spans="1:1" x14ac:dyDescent="0.25">
      <c r="A939" t="s">
        <v>1003</v>
      </c>
    </row>
    <row r="940" spans="1:1" x14ac:dyDescent="0.25">
      <c r="A940" t="s">
        <v>1004</v>
      </c>
    </row>
    <row r="941" spans="1:1" x14ac:dyDescent="0.25">
      <c r="A941" t="s">
        <v>1005</v>
      </c>
    </row>
    <row r="942" spans="1:1" x14ac:dyDescent="0.25">
      <c r="A942" t="s">
        <v>1006</v>
      </c>
    </row>
    <row r="943" spans="1:1" x14ac:dyDescent="0.25">
      <c r="A943" t="s">
        <v>1007</v>
      </c>
    </row>
    <row r="944" spans="1:1" x14ac:dyDescent="0.25">
      <c r="A944" t="s">
        <v>1008</v>
      </c>
    </row>
    <row r="945" spans="1:1" x14ac:dyDescent="0.25">
      <c r="A945" t="s">
        <v>1009</v>
      </c>
    </row>
    <row r="946" spans="1:1" x14ac:dyDescent="0.25">
      <c r="A946" t="s">
        <v>1010</v>
      </c>
    </row>
    <row r="947" spans="1:1" x14ac:dyDescent="0.25">
      <c r="A947" t="s">
        <v>1011</v>
      </c>
    </row>
    <row r="948" spans="1:1" x14ac:dyDescent="0.25">
      <c r="A948" t="s">
        <v>1012</v>
      </c>
    </row>
    <row r="949" spans="1:1" x14ac:dyDescent="0.25">
      <c r="A949" t="s">
        <v>1013</v>
      </c>
    </row>
    <row r="950" spans="1:1" x14ac:dyDescent="0.25">
      <c r="A950" t="s">
        <v>1014</v>
      </c>
    </row>
    <row r="951" spans="1:1" x14ac:dyDescent="0.25">
      <c r="A951" t="s">
        <v>1015</v>
      </c>
    </row>
    <row r="952" spans="1:1" x14ac:dyDescent="0.25">
      <c r="A952" t="s">
        <v>1016</v>
      </c>
    </row>
    <row r="953" spans="1:1" x14ac:dyDescent="0.25">
      <c r="A953" t="s">
        <v>1017</v>
      </c>
    </row>
    <row r="954" spans="1:1" x14ac:dyDescent="0.25">
      <c r="A954" t="s">
        <v>1018</v>
      </c>
    </row>
    <row r="955" spans="1:1" x14ac:dyDescent="0.25">
      <c r="A955" t="s">
        <v>1019</v>
      </c>
    </row>
    <row r="956" spans="1:1" x14ac:dyDescent="0.25">
      <c r="A956" t="s">
        <v>1020</v>
      </c>
    </row>
    <row r="957" spans="1:1" x14ac:dyDescent="0.25">
      <c r="A957" t="s">
        <v>1021</v>
      </c>
    </row>
    <row r="958" spans="1:1" x14ac:dyDescent="0.25">
      <c r="A958" t="s">
        <v>1022</v>
      </c>
    </row>
    <row r="959" spans="1:1" x14ac:dyDescent="0.25">
      <c r="A959" t="s">
        <v>1023</v>
      </c>
    </row>
    <row r="960" spans="1:1" x14ac:dyDescent="0.25">
      <c r="A960" t="s">
        <v>1024</v>
      </c>
    </row>
    <row r="961" spans="1:1" x14ac:dyDescent="0.25">
      <c r="A961" t="s">
        <v>1025</v>
      </c>
    </row>
    <row r="962" spans="1:1" x14ac:dyDescent="0.25">
      <c r="A962" t="s">
        <v>1026</v>
      </c>
    </row>
    <row r="963" spans="1:1" x14ac:dyDescent="0.25">
      <c r="A963" t="s">
        <v>1027</v>
      </c>
    </row>
    <row r="964" spans="1:1" x14ac:dyDescent="0.25">
      <c r="A964" t="s">
        <v>1028</v>
      </c>
    </row>
    <row r="965" spans="1:1" x14ac:dyDescent="0.25">
      <c r="A965" t="s">
        <v>1029</v>
      </c>
    </row>
    <row r="966" spans="1:1" x14ac:dyDescent="0.25">
      <c r="A966" t="s">
        <v>1030</v>
      </c>
    </row>
    <row r="967" spans="1:1" x14ac:dyDescent="0.25">
      <c r="A967" t="s">
        <v>1031</v>
      </c>
    </row>
    <row r="968" spans="1:1" x14ac:dyDescent="0.25">
      <c r="A968" t="s">
        <v>1032</v>
      </c>
    </row>
    <row r="969" spans="1:1" x14ac:dyDescent="0.25">
      <c r="A969" t="s">
        <v>1033</v>
      </c>
    </row>
    <row r="970" spans="1:1" x14ac:dyDescent="0.25">
      <c r="A970" t="s">
        <v>1034</v>
      </c>
    </row>
    <row r="971" spans="1:1" x14ac:dyDescent="0.25">
      <c r="A971" t="s">
        <v>1035</v>
      </c>
    </row>
    <row r="972" spans="1:1" x14ac:dyDescent="0.25">
      <c r="A972" t="s">
        <v>1036</v>
      </c>
    </row>
    <row r="973" spans="1:1" x14ac:dyDescent="0.25">
      <c r="A973" t="s">
        <v>1037</v>
      </c>
    </row>
    <row r="974" spans="1:1" x14ac:dyDescent="0.25">
      <c r="A974" t="s">
        <v>1038</v>
      </c>
    </row>
    <row r="975" spans="1:1" x14ac:dyDescent="0.25">
      <c r="A975" t="s">
        <v>1039</v>
      </c>
    </row>
    <row r="976" spans="1:1" x14ac:dyDescent="0.25">
      <c r="A976" t="s">
        <v>1040</v>
      </c>
    </row>
    <row r="977" spans="1:1" x14ac:dyDescent="0.25">
      <c r="A977" t="s">
        <v>1041</v>
      </c>
    </row>
    <row r="978" spans="1:1" x14ac:dyDescent="0.25">
      <c r="A978" t="s">
        <v>1042</v>
      </c>
    </row>
    <row r="979" spans="1:1" x14ac:dyDescent="0.25">
      <c r="A979" t="s">
        <v>1043</v>
      </c>
    </row>
    <row r="980" spans="1:1" x14ac:dyDescent="0.25">
      <c r="A980" t="s">
        <v>1044</v>
      </c>
    </row>
    <row r="981" spans="1:1" x14ac:dyDescent="0.25">
      <c r="A981" t="s">
        <v>1045</v>
      </c>
    </row>
    <row r="982" spans="1:1" x14ac:dyDescent="0.25">
      <c r="A982" t="s">
        <v>1046</v>
      </c>
    </row>
    <row r="983" spans="1:1" x14ac:dyDescent="0.25">
      <c r="A983" t="s">
        <v>1047</v>
      </c>
    </row>
    <row r="984" spans="1:1" x14ac:dyDescent="0.25">
      <c r="A984" t="s">
        <v>1048</v>
      </c>
    </row>
    <row r="985" spans="1:1" x14ac:dyDescent="0.25">
      <c r="A985" t="s">
        <v>1049</v>
      </c>
    </row>
    <row r="986" spans="1:1" x14ac:dyDescent="0.25">
      <c r="A986" t="s">
        <v>1050</v>
      </c>
    </row>
    <row r="987" spans="1:1" x14ac:dyDescent="0.25">
      <c r="A987" t="s">
        <v>1051</v>
      </c>
    </row>
    <row r="988" spans="1:1" x14ac:dyDescent="0.25">
      <c r="A988" t="s">
        <v>1052</v>
      </c>
    </row>
    <row r="989" spans="1:1" x14ac:dyDescent="0.25">
      <c r="A989" t="s">
        <v>1053</v>
      </c>
    </row>
    <row r="990" spans="1:1" x14ac:dyDescent="0.25">
      <c r="A990" t="s">
        <v>1054</v>
      </c>
    </row>
    <row r="991" spans="1:1" x14ac:dyDescent="0.25">
      <c r="A991" t="s">
        <v>1055</v>
      </c>
    </row>
    <row r="992" spans="1:1" x14ac:dyDescent="0.25">
      <c r="A992" t="s">
        <v>1056</v>
      </c>
    </row>
    <row r="993" spans="1:1" x14ac:dyDescent="0.25">
      <c r="A993" t="s">
        <v>1057</v>
      </c>
    </row>
    <row r="994" spans="1:1" x14ac:dyDescent="0.25">
      <c r="A994" t="s">
        <v>1058</v>
      </c>
    </row>
    <row r="995" spans="1:1" x14ac:dyDescent="0.25">
      <c r="A995" t="s">
        <v>1059</v>
      </c>
    </row>
    <row r="996" spans="1:1" x14ac:dyDescent="0.25">
      <c r="A996" t="s">
        <v>1060</v>
      </c>
    </row>
    <row r="997" spans="1:1" x14ac:dyDescent="0.25">
      <c r="A997" t="s">
        <v>1061</v>
      </c>
    </row>
    <row r="998" spans="1:1" x14ac:dyDescent="0.25">
      <c r="A998" t="s">
        <v>1062</v>
      </c>
    </row>
    <row r="999" spans="1:1" x14ac:dyDescent="0.25">
      <c r="A999" t="s">
        <v>1063</v>
      </c>
    </row>
    <row r="1000" spans="1:1" x14ac:dyDescent="0.25">
      <c r="A1000" t="s">
        <v>1064</v>
      </c>
    </row>
    <row r="1001" spans="1:1" x14ac:dyDescent="0.25">
      <c r="A1001" t="s">
        <v>1065</v>
      </c>
    </row>
    <row r="1002" spans="1:1" x14ac:dyDescent="0.25">
      <c r="A1002" t="s">
        <v>1066</v>
      </c>
    </row>
    <row r="1003" spans="1:1" x14ac:dyDescent="0.25">
      <c r="A1003" t="s">
        <v>1067</v>
      </c>
    </row>
    <row r="1004" spans="1:1" x14ac:dyDescent="0.25">
      <c r="A1004" t="s">
        <v>1068</v>
      </c>
    </row>
    <row r="1005" spans="1:1" x14ac:dyDescent="0.25">
      <c r="A1005" t="s">
        <v>1069</v>
      </c>
    </row>
    <row r="1006" spans="1:1" x14ac:dyDescent="0.25">
      <c r="A1006" t="s">
        <v>1070</v>
      </c>
    </row>
    <row r="1007" spans="1:1" x14ac:dyDescent="0.25">
      <c r="A1007" t="s">
        <v>1071</v>
      </c>
    </row>
    <row r="1008" spans="1:1" x14ac:dyDescent="0.25">
      <c r="A1008" t="s">
        <v>1072</v>
      </c>
    </row>
    <row r="1009" spans="1:1" x14ac:dyDescent="0.25">
      <c r="A1009" t="s">
        <v>1073</v>
      </c>
    </row>
    <row r="1010" spans="1:1" x14ac:dyDescent="0.25">
      <c r="A1010" t="s">
        <v>1074</v>
      </c>
    </row>
    <row r="1011" spans="1:1" x14ac:dyDescent="0.25">
      <c r="A1011" t="s">
        <v>1075</v>
      </c>
    </row>
    <row r="1012" spans="1:1" x14ac:dyDescent="0.25">
      <c r="A1012" t="s">
        <v>1076</v>
      </c>
    </row>
    <row r="1013" spans="1:1" x14ac:dyDescent="0.25">
      <c r="A1013" t="s">
        <v>1077</v>
      </c>
    </row>
    <row r="1014" spans="1:1" x14ac:dyDescent="0.25">
      <c r="A1014" t="s">
        <v>1078</v>
      </c>
    </row>
    <row r="1015" spans="1:1" x14ac:dyDescent="0.25">
      <c r="A1015" t="s">
        <v>1079</v>
      </c>
    </row>
    <row r="1016" spans="1:1" x14ac:dyDescent="0.25">
      <c r="A1016" t="s">
        <v>1080</v>
      </c>
    </row>
    <row r="1017" spans="1:1" x14ac:dyDescent="0.25">
      <c r="A1017" t="s">
        <v>1081</v>
      </c>
    </row>
    <row r="1018" spans="1:1" x14ac:dyDescent="0.25">
      <c r="A1018" t="s">
        <v>1082</v>
      </c>
    </row>
    <row r="1019" spans="1:1" x14ac:dyDescent="0.25">
      <c r="A1019" t="s">
        <v>1083</v>
      </c>
    </row>
    <row r="1020" spans="1:1" x14ac:dyDescent="0.25">
      <c r="A1020" t="s">
        <v>1084</v>
      </c>
    </row>
    <row r="1021" spans="1:1" x14ac:dyDescent="0.25">
      <c r="A1021" t="s">
        <v>1085</v>
      </c>
    </row>
    <row r="1022" spans="1:1" x14ac:dyDescent="0.25">
      <c r="A1022" t="s">
        <v>1086</v>
      </c>
    </row>
    <row r="1023" spans="1:1" x14ac:dyDescent="0.25">
      <c r="A1023" t="s">
        <v>1087</v>
      </c>
    </row>
    <row r="1024" spans="1:1" x14ac:dyDescent="0.25">
      <c r="A1024" t="s">
        <v>1088</v>
      </c>
    </row>
    <row r="1025" spans="1:1" x14ac:dyDescent="0.25">
      <c r="A1025" t="s">
        <v>1089</v>
      </c>
    </row>
    <row r="1026" spans="1:1" x14ac:dyDescent="0.25">
      <c r="A1026" t="s">
        <v>1090</v>
      </c>
    </row>
    <row r="1027" spans="1:1" x14ac:dyDescent="0.25">
      <c r="A1027" t="s">
        <v>1091</v>
      </c>
    </row>
    <row r="1028" spans="1:1" x14ac:dyDescent="0.25">
      <c r="A1028" t="s">
        <v>1092</v>
      </c>
    </row>
    <row r="1029" spans="1:1" x14ac:dyDescent="0.25">
      <c r="A1029" t="s">
        <v>1093</v>
      </c>
    </row>
    <row r="1030" spans="1:1" x14ac:dyDescent="0.25">
      <c r="A1030" t="s">
        <v>1094</v>
      </c>
    </row>
    <row r="1031" spans="1:1" x14ac:dyDescent="0.25">
      <c r="A1031" t="s">
        <v>1095</v>
      </c>
    </row>
    <row r="1032" spans="1:1" x14ac:dyDescent="0.25">
      <c r="A1032" t="s">
        <v>1096</v>
      </c>
    </row>
    <row r="1033" spans="1:1" x14ac:dyDescent="0.25">
      <c r="A1033" t="s">
        <v>1097</v>
      </c>
    </row>
    <row r="1034" spans="1:1" x14ac:dyDescent="0.25">
      <c r="A1034" t="s">
        <v>1098</v>
      </c>
    </row>
    <row r="1035" spans="1:1" x14ac:dyDescent="0.25">
      <c r="A1035" t="s">
        <v>1099</v>
      </c>
    </row>
    <row r="1036" spans="1:1" x14ac:dyDescent="0.25">
      <c r="A1036" t="s">
        <v>1100</v>
      </c>
    </row>
    <row r="1037" spans="1:1" x14ac:dyDescent="0.25">
      <c r="A1037" t="s">
        <v>1101</v>
      </c>
    </row>
    <row r="1038" spans="1:1" x14ac:dyDescent="0.25">
      <c r="A1038" t="s">
        <v>1102</v>
      </c>
    </row>
    <row r="1039" spans="1:1" x14ac:dyDescent="0.25">
      <c r="A1039" t="s">
        <v>1103</v>
      </c>
    </row>
    <row r="1040" spans="1:1" x14ac:dyDescent="0.25">
      <c r="A1040" t="s">
        <v>1104</v>
      </c>
    </row>
    <row r="1041" spans="1:1" x14ac:dyDescent="0.25">
      <c r="A1041" t="s">
        <v>1105</v>
      </c>
    </row>
    <row r="1042" spans="1:1" x14ac:dyDescent="0.25">
      <c r="A1042" t="s">
        <v>1106</v>
      </c>
    </row>
    <row r="1043" spans="1:1" x14ac:dyDescent="0.25">
      <c r="A1043" t="s">
        <v>1107</v>
      </c>
    </row>
    <row r="1044" spans="1:1" x14ac:dyDescent="0.25">
      <c r="A1044" t="s">
        <v>1108</v>
      </c>
    </row>
    <row r="1045" spans="1:1" x14ac:dyDescent="0.25">
      <c r="A1045" t="s">
        <v>1109</v>
      </c>
    </row>
    <row r="1046" spans="1:1" x14ac:dyDescent="0.25">
      <c r="A1046" t="s">
        <v>1110</v>
      </c>
    </row>
    <row r="1047" spans="1:1" x14ac:dyDescent="0.25">
      <c r="A1047" t="s">
        <v>1111</v>
      </c>
    </row>
    <row r="1048" spans="1:1" x14ac:dyDescent="0.25">
      <c r="A1048" t="s">
        <v>1112</v>
      </c>
    </row>
    <row r="1049" spans="1:1" x14ac:dyDescent="0.25">
      <c r="A1049" t="s">
        <v>1113</v>
      </c>
    </row>
    <row r="1050" spans="1:1" x14ac:dyDescent="0.25">
      <c r="A1050" t="s">
        <v>1114</v>
      </c>
    </row>
    <row r="1051" spans="1:1" x14ac:dyDescent="0.25">
      <c r="A1051" t="s">
        <v>1115</v>
      </c>
    </row>
    <row r="1052" spans="1:1" x14ac:dyDescent="0.25">
      <c r="A1052" t="s">
        <v>1116</v>
      </c>
    </row>
    <row r="1053" spans="1:1" x14ac:dyDescent="0.25">
      <c r="A1053" t="s">
        <v>1117</v>
      </c>
    </row>
    <row r="1054" spans="1:1" x14ac:dyDescent="0.25">
      <c r="A1054" t="s">
        <v>1118</v>
      </c>
    </row>
    <row r="1055" spans="1:1" x14ac:dyDescent="0.25">
      <c r="A1055" t="s">
        <v>1119</v>
      </c>
    </row>
    <row r="1056" spans="1:1" x14ac:dyDescent="0.25">
      <c r="A1056" t="s">
        <v>1120</v>
      </c>
    </row>
    <row r="1057" spans="1:1" x14ac:dyDescent="0.25">
      <c r="A1057" t="s">
        <v>1121</v>
      </c>
    </row>
    <row r="1058" spans="1:1" x14ac:dyDescent="0.25">
      <c r="A1058" t="s">
        <v>1122</v>
      </c>
    </row>
    <row r="1059" spans="1:1" x14ac:dyDescent="0.25">
      <c r="A1059" t="s">
        <v>1123</v>
      </c>
    </row>
    <row r="1060" spans="1:1" x14ac:dyDescent="0.25">
      <c r="A1060" t="s">
        <v>1124</v>
      </c>
    </row>
    <row r="1061" spans="1:1" x14ac:dyDescent="0.25">
      <c r="A1061" t="s">
        <v>1125</v>
      </c>
    </row>
    <row r="1062" spans="1:1" x14ac:dyDescent="0.25">
      <c r="A1062" t="s">
        <v>1126</v>
      </c>
    </row>
    <row r="1063" spans="1:1" x14ac:dyDescent="0.25">
      <c r="A1063" t="s">
        <v>1127</v>
      </c>
    </row>
    <row r="1064" spans="1:1" x14ac:dyDescent="0.25">
      <c r="A1064" t="s">
        <v>1128</v>
      </c>
    </row>
    <row r="1065" spans="1:1" x14ac:dyDescent="0.25">
      <c r="A1065" t="s">
        <v>1129</v>
      </c>
    </row>
    <row r="1066" spans="1:1" x14ac:dyDescent="0.25">
      <c r="A1066" t="s">
        <v>1130</v>
      </c>
    </row>
    <row r="1067" spans="1:1" x14ac:dyDescent="0.25">
      <c r="A1067" t="s">
        <v>1131</v>
      </c>
    </row>
    <row r="1068" spans="1:1" x14ac:dyDescent="0.25">
      <c r="A1068" t="s">
        <v>1132</v>
      </c>
    </row>
    <row r="1069" spans="1:1" x14ac:dyDescent="0.25">
      <c r="A1069" t="s">
        <v>1133</v>
      </c>
    </row>
    <row r="1070" spans="1:1" x14ac:dyDescent="0.25">
      <c r="A1070" t="s">
        <v>1134</v>
      </c>
    </row>
    <row r="1071" spans="1:1" x14ac:dyDescent="0.25">
      <c r="A1071" t="s">
        <v>1135</v>
      </c>
    </row>
    <row r="1072" spans="1:1" x14ac:dyDescent="0.25">
      <c r="A1072" t="s">
        <v>1136</v>
      </c>
    </row>
    <row r="1073" spans="1:1" x14ac:dyDescent="0.25">
      <c r="A1073" t="s">
        <v>1137</v>
      </c>
    </row>
    <row r="1074" spans="1:1" x14ac:dyDescent="0.25">
      <c r="A1074" t="s">
        <v>1138</v>
      </c>
    </row>
    <row r="1075" spans="1:1" x14ac:dyDescent="0.25">
      <c r="A1075" t="s">
        <v>1139</v>
      </c>
    </row>
    <row r="1076" spans="1:1" x14ac:dyDescent="0.25">
      <c r="A1076" t="s">
        <v>1140</v>
      </c>
    </row>
    <row r="1077" spans="1:1" x14ac:dyDescent="0.25">
      <c r="A1077" t="s">
        <v>1141</v>
      </c>
    </row>
    <row r="1078" spans="1:1" x14ac:dyDescent="0.25">
      <c r="A1078" t="s">
        <v>1142</v>
      </c>
    </row>
    <row r="1079" spans="1:1" x14ac:dyDescent="0.25">
      <c r="A1079" t="s">
        <v>1143</v>
      </c>
    </row>
    <row r="1080" spans="1:1" x14ac:dyDescent="0.25">
      <c r="A1080" t="s">
        <v>1144</v>
      </c>
    </row>
    <row r="1081" spans="1:1" x14ac:dyDescent="0.25">
      <c r="A1081" t="s">
        <v>1145</v>
      </c>
    </row>
    <row r="1082" spans="1:1" x14ac:dyDescent="0.25">
      <c r="A1082" t="s">
        <v>1146</v>
      </c>
    </row>
    <row r="1083" spans="1:1" x14ac:dyDescent="0.25">
      <c r="A1083" t="s">
        <v>1147</v>
      </c>
    </row>
    <row r="1084" spans="1:1" x14ac:dyDescent="0.25">
      <c r="A1084" t="s">
        <v>1148</v>
      </c>
    </row>
    <row r="1085" spans="1:1" x14ac:dyDescent="0.25">
      <c r="A1085" t="s">
        <v>1149</v>
      </c>
    </row>
    <row r="1086" spans="1:1" x14ac:dyDescent="0.25">
      <c r="A1086" t="s">
        <v>1150</v>
      </c>
    </row>
    <row r="1087" spans="1:1" x14ac:dyDescent="0.25">
      <c r="A1087" t="s">
        <v>1151</v>
      </c>
    </row>
    <row r="1088" spans="1:1" x14ac:dyDescent="0.25">
      <c r="A1088" t="s">
        <v>1152</v>
      </c>
    </row>
    <row r="1089" spans="1:1" x14ac:dyDescent="0.25">
      <c r="A1089" t="s">
        <v>1153</v>
      </c>
    </row>
    <row r="1090" spans="1:1" x14ac:dyDescent="0.25">
      <c r="A1090" t="s">
        <v>1154</v>
      </c>
    </row>
    <row r="1091" spans="1:1" x14ac:dyDescent="0.25">
      <c r="A1091" t="s">
        <v>1155</v>
      </c>
    </row>
    <row r="1092" spans="1:1" x14ac:dyDescent="0.25">
      <c r="A1092" t="s">
        <v>1156</v>
      </c>
    </row>
    <row r="1093" spans="1:1" x14ac:dyDescent="0.25">
      <c r="A1093" t="s">
        <v>1157</v>
      </c>
    </row>
    <row r="1094" spans="1:1" x14ac:dyDescent="0.25">
      <c r="A1094" t="s">
        <v>1158</v>
      </c>
    </row>
    <row r="1095" spans="1:1" x14ac:dyDescent="0.25">
      <c r="A1095" t="s">
        <v>1159</v>
      </c>
    </row>
    <row r="1096" spans="1:1" x14ac:dyDescent="0.25">
      <c r="A1096" t="s">
        <v>1160</v>
      </c>
    </row>
    <row r="1097" spans="1:1" x14ac:dyDescent="0.25">
      <c r="A1097" t="s">
        <v>1161</v>
      </c>
    </row>
    <row r="1098" spans="1:1" x14ac:dyDescent="0.25">
      <c r="A1098" t="s">
        <v>1162</v>
      </c>
    </row>
    <row r="1099" spans="1:1" x14ac:dyDescent="0.25">
      <c r="A1099" t="s">
        <v>1163</v>
      </c>
    </row>
    <row r="1100" spans="1:1" x14ac:dyDescent="0.25">
      <c r="A1100" t="s">
        <v>1164</v>
      </c>
    </row>
    <row r="1101" spans="1:1" x14ac:dyDescent="0.25">
      <c r="A1101" t="s">
        <v>1165</v>
      </c>
    </row>
    <row r="1102" spans="1:1" x14ac:dyDescent="0.25">
      <c r="A1102" t="s">
        <v>1166</v>
      </c>
    </row>
    <row r="1103" spans="1:1" x14ac:dyDescent="0.25">
      <c r="A1103" t="s">
        <v>1167</v>
      </c>
    </row>
    <row r="1104" spans="1:1" x14ac:dyDescent="0.25">
      <c r="A1104" t="s">
        <v>1168</v>
      </c>
    </row>
    <row r="1105" spans="1:1" x14ac:dyDescent="0.25">
      <c r="A1105" t="s">
        <v>1169</v>
      </c>
    </row>
    <row r="1106" spans="1:1" x14ac:dyDescent="0.25">
      <c r="A1106" t="s">
        <v>1170</v>
      </c>
    </row>
    <row r="1107" spans="1:1" x14ac:dyDescent="0.25">
      <c r="A1107" t="s">
        <v>1171</v>
      </c>
    </row>
    <row r="1108" spans="1:1" x14ac:dyDescent="0.25">
      <c r="A1108" t="s">
        <v>1172</v>
      </c>
    </row>
    <row r="1109" spans="1:1" x14ac:dyDescent="0.25">
      <c r="A1109" t="s">
        <v>1173</v>
      </c>
    </row>
    <row r="1110" spans="1:1" x14ac:dyDescent="0.25">
      <c r="A1110" t="s">
        <v>1174</v>
      </c>
    </row>
    <row r="1111" spans="1:1" x14ac:dyDescent="0.25">
      <c r="A1111" t="s">
        <v>1175</v>
      </c>
    </row>
    <row r="1112" spans="1:1" x14ac:dyDescent="0.25">
      <c r="A1112" t="s">
        <v>1176</v>
      </c>
    </row>
    <row r="1113" spans="1:1" x14ac:dyDescent="0.25">
      <c r="A1113" t="s">
        <v>1177</v>
      </c>
    </row>
    <row r="1114" spans="1:1" x14ac:dyDescent="0.25">
      <c r="A1114" t="s">
        <v>1178</v>
      </c>
    </row>
    <row r="1115" spans="1:1" x14ac:dyDescent="0.25">
      <c r="A1115" t="s">
        <v>1179</v>
      </c>
    </row>
    <row r="1116" spans="1:1" x14ac:dyDescent="0.25">
      <c r="A1116" t="s">
        <v>1180</v>
      </c>
    </row>
    <row r="1117" spans="1:1" x14ac:dyDescent="0.25">
      <c r="A1117" t="s">
        <v>1181</v>
      </c>
    </row>
    <row r="1118" spans="1:1" x14ac:dyDescent="0.25">
      <c r="A1118" t="s">
        <v>1182</v>
      </c>
    </row>
    <row r="1119" spans="1:1" x14ac:dyDescent="0.25">
      <c r="A1119" t="s">
        <v>1183</v>
      </c>
    </row>
    <row r="1120" spans="1:1" x14ac:dyDescent="0.25">
      <c r="A1120" t="s">
        <v>1184</v>
      </c>
    </row>
    <row r="1121" spans="1:1" x14ac:dyDescent="0.25">
      <c r="A1121" t="s">
        <v>1185</v>
      </c>
    </row>
    <row r="1122" spans="1:1" x14ac:dyDescent="0.25">
      <c r="A1122" t="s">
        <v>1186</v>
      </c>
    </row>
    <row r="1123" spans="1:1" x14ac:dyDescent="0.25">
      <c r="A1123" t="s">
        <v>1187</v>
      </c>
    </row>
    <row r="1124" spans="1:1" x14ac:dyDescent="0.25">
      <c r="A1124" t="s">
        <v>1188</v>
      </c>
    </row>
    <row r="1125" spans="1:1" x14ac:dyDescent="0.25">
      <c r="A1125" t="s">
        <v>1189</v>
      </c>
    </row>
    <row r="1126" spans="1:1" x14ac:dyDescent="0.25">
      <c r="A1126" t="s">
        <v>1190</v>
      </c>
    </row>
    <row r="1127" spans="1:1" x14ac:dyDescent="0.25">
      <c r="A1127" t="s">
        <v>1191</v>
      </c>
    </row>
    <row r="1128" spans="1:1" x14ac:dyDescent="0.25">
      <c r="A1128" t="s">
        <v>1192</v>
      </c>
    </row>
    <row r="1129" spans="1:1" x14ac:dyDescent="0.25">
      <c r="A1129" t="s">
        <v>1193</v>
      </c>
    </row>
    <row r="1130" spans="1:1" x14ac:dyDescent="0.25">
      <c r="A1130" t="s">
        <v>1194</v>
      </c>
    </row>
    <row r="1131" spans="1:1" x14ac:dyDescent="0.25">
      <c r="A1131" t="s">
        <v>1195</v>
      </c>
    </row>
    <row r="1132" spans="1:1" x14ac:dyDescent="0.25">
      <c r="A1132" t="s">
        <v>1196</v>
      </c>
    </row>
    <row r="1133" spans="1:1" x14ac:dyDescent="0.25">
      <c r="A1133" t="s">
        <v>1197</v>
      </c>
    </row>
    <row r="1134" spans="1:1" x14ac:dyDescent="0.25">
      <c r="A1134" t="s">
        <v>1198</v>
      </c>
    </row>
    <row r="1135" spans="1:1" x14ac:dyDescent="0.25">
      <c r="A1135" t="s">
        <v>1199</v>
      </c>
    </row>
    <row r="1136" spans="1:1" x14ac:dyDescent="0.25">
      <c r="A1136" t="s">
        <v>1200</v>
      </c>
    </row>
    <row r="1137" spans="1:1" x14ac:dyDescent="0.25">
      <c r="A1137" t="s">
        <v>1201</v>
      </c>
    </row>
    <row r="1138" spans="1:1" x14ac:dyDescent="0.25">
      <c r="A1138" t="s">
        <v>1202</v>
      </c>
    </row>
    <row r="1139" spans="1:1" x14ac:dyDescent="0.25">
      <c r="A1139" t="s">
        <v>1203</v>
      </c>
    </row>
    <row r="1140" spans="1:1" x14ac:dyDescent="0.25">
      <c r="A1140" t="s">
        <v>1204</v>
      </c>
    </row>
    <row r="1141" spans="1:1" x14ac:dyDescent="0.25">
      <c r="A1141" t="s">
        <v>1205</v>
      </c>
    </row>
    <row r="1142" spans="1:1" x14ac:dyDescent="0.25">
      <c r="A1142" t="s">
        <v>1206</v>
      </c>
    </row>
    <row r="1143" spans="1:1" x14ac:dyDescent="0.25">
      <c r="A1143" t="s">
        <v>1207</v>
      </c>
    </row>
    <row r="1144" spans="1:1" x14ac:dyDescent="0.25">
      <c r="A1144" t="s">
        <v>1208</v>
      </c>
    </row>
    <row r="1145" spans="1:1" x14ac:dyDescent="0.25">
      <c r="A1145" t="s">
        <v>1209</v>
      </c>
    </row>
    <row r="1146" spans="1:1" x14ac:dyDescent="0.25">
      <c r="A1146" t="s">
        <v>1210</v>
      </c>
    </row>
    <row r="1147" spans="1:1" x14ac:dyDescent="0.25">
      <c r="A1147" t="s">
        <v>1211</v>
      </c>
    </row>
    <row r="1148" spans="1:1" x14ac:dyDescent="0.25">
      <c r="A1148" t="s">
        <v>1212</v>
      </c>
    </row>
    <row r="1149" spans="1:1" x14ac:dyDescent="0.25">
      <c r="A1149" t="s">
        <v>1213</v>
      </c>
    </row>
    <row r="1150" spans="1:1" x14ac:dyDescent="0.25">
      <c r="A1150" t="s">
        <v>1214</v>
      </c>
    </row>
    <row r="1151" spans="1:1" x14ac:dyDescent="0.25">
      <c r="A1151" t="s">
        <v>1215</v>
      </c>
    </row>
    <row r="1152" spans="1:1" x14ac:dyDescent="0.25">
      <c r="A1152" t="s">
        <v>1216</v>
      </c>
    </row>
    <row r="1153" spans="1:1" x14ac:dyDescent="0.25">
      <c r="A1153" t="s">
        <v>1217</v>
      </c>
    </row>
    <row r="1154" spans="1:1" x14ac:dyDescent="0.25">
      <c r="A1154" t="s">
        <v>1218</v>
      </c>
    </row>
    <row r="1155" spans="1:1" x14ac:dyDescent="0.25">
      <c r="A1155" t="s">
        <v>1219</v>
      </c>
    </row>
    <row r="1156" spans="1:1" x14ac:dyDescent="0.25">
      <c r="A1156" t="s">
        <v>1220</v>
      </c>
    </row>
    <row r="1157" spans="1:1" x14ac:dyDescent="0.25">
      <c r="A1157" t="s">
        <v>1221</v>
      </c>
    </row>
    <row r="1158" spans="1:1" x14ac:dyDescent="0.25">
      <c r="A1158" t="s">
        <v>1222</v>
      </c>
    </row>
    <row r="1159" spans="1:1" x14ac:dyDescent="0.25">
      <c r="A1159" t="s">
        <v>1223</v>
      </c>
    </row>
    <row r="1160" spans="1:1" x14ac:dyDescent="0.25">
      <c r="A1160" t="s">
        <v>1224</v>
      </c>
    </row>
    <row r="1161" spans="1:1" x14ac:dyDescent="0.25">
      <c r="A1161" t="s">
        <v>1225</v>
      </c>
    </row>
    <row r="1162" spans="1:1" x14ac:dyDescent="0.25">
      <c r="A1162" t="s">
        <v>1226</v>
      </c>
    </row>
    <row r="1163" spans="1:1" x14ac:dyDescent="0.25">
      <c r="A1163" t="s">
        <v>1227</v>
      </c>
    </row>
    <row r="1164" spans="1:1" x14ac:dyDescent="0.25">
      <c r="A1164" t="s">
        <v>1228</v>
      </c>
    </row>
    <row r="1165" spans="1:1" x14ac:dyDescent="0.25">
      <c r="A1165" t="s">
        <v>1229</v>
      </c>
    </row>
    <row r="1166" spans="1:1" x14ac:dyDescent="0.25">
      <c r="A1166" t="s">
        <v>1230</v>
      </c>
    </row>
    <row r="1167" spans="1:1" x14ac:dyDescent="0.25">
      <c r="A1167" t="s">
        <v>1231</v>
      </c>
    </row>
    <row r="1168" spans="1:1" x14ac:dyDescent="0.25">
      <c r="A1168" t="s">
        <v>1232</v>
      </c>
    </row>
    <row r="1169" spans="1:1" x14ac:dyDescent="0.25">
      <c r="A1169" t="s">
        <v>1233</v>
      </c>
    </row>
    <row r="1170" spans="1:1" x14ac:dyDescent="0.25">
      <c r="A1170" t="s">
        <v>1234</v>
      </c>
    </row>
    <row r="1171" spans="1:1" x14ac:dyDescent="0.25">
      <c r="A1171" t="s">
        <v>1235</v>
      </c>
    </row>
    <row r="1172" spans="1:1" x14ac:dyDescent="0.25">
      <c r="A1172" t="s">
        <v>1236</v>
      </c>
    </row>
    <row r="1173" spans="1:1" x14ac:dyDescent="0.25">
      <c r="A1173" t="s">
        <v>1237</v>
      </c>
    </row>
    <row r="1174" spans="1:1" x14ac:dyDescent="0.25">
      <c r="A1174" t="s">
        <v>1238</v>
      </c>
    </row>
    <row r="1175" spans="1:1" x14ac:dyDescent="0.25">
      <c r="A1175" t="s">
        <v>1239</v>
      </c>
    </row>
    <row r="1176" spans="1:1" x14ac:dyDescent="0.25">
      <c r="A1176" t="s">
        <v>1240</v>
      </c>
    </row>
    <row r="1177" spans="1:1" x14ac:dyDescent="0.25">
      <c r="A1177" t="s">
        <v>1241</v>
      </c>
    </row>
    <row r="1178" spans="1:1" x14ac:dyDescent="0.25">
      <c r="A1178" t="s">
        <v>1242</v>
      </c>
    </row>
    <row r="1179" spans="1:1" x14ac:dyDescent="0.25">
      <c r="A1179" t="s">
        <v>1243</v>
      </c>
    </row>
    <row r="1180" spans="1:1" x14ac:dyDescent="0.25">
      <c r="A1180" t="s">
        <v>1244</v>
      </c>
    </row>
    <row r="1181" spans="1:1" x14ac:dyDescent="0.25">
      <c r="A1181" t="s">
        <v>1245</v>
      </c>
    </row>
    <row r="1182" spans="1:1" x14ac:dyDescent="0.25">
      <c r="A1182" t="s">
        <v>1246</v>
      </c>
    </row>
    <row r="1183" spans="1:1" x14ac:dyDescent="0.25">
      <c r="A1183" t="s">
        <v>1247</v>
      </c>
    </row>
    <row r="1184" spans="1:1" x14ac:dyDescent="0.25">
      <c r="A1184" t="s">
        <v>1248</v>
      </c>
    </row>
    <row r="1185" spans="1:1" x14ac:dyDescent="0.25">
      <c r="A1185" t="s">
        <v>1249</v>
      </c>
    </row>
    <row r="1186" spans="1:1" x14ac:dyDescent="0.25">
      <c r="A1186" t="s">
        <v>1250</v>
      </c>
    </row>
    <row r="1187" spans="1:1" x14ac:dyDescent="0.25">
      <c r="A1187" t="s">
        <v>1251</v>
      </c>
    </row>
    <row r="1188" spans="1:1" x14ac:dyDescent="0.25">
      <c r="A1188" t="s">
        <v>1252</v>
      </c>
    </row>
    <row r="1189" spans="1:1" x14ac:dyDescent="0.25">
      <c r="A1189" t="s">
        <v>1253</v>
      </c>
    </row>
    <row r="1190" spans="1:1" x14ac:dyDescent="0.25">
      <c r="A1190" t="s">
        <v>1254</v>
      </c>
    </row>
    <row r="1191" spans="1:1" x14ac:dyDescent="0.25">
      <c r="A1191" t="s">
        <v>1255</v>
      </c>
    </row>
    <row r="1192" spans="1:1" x14ac:dyDescent="0.25">
      <c r="A1192" t="s">
        <v>1256</v>
      </c>
    </row>
    <row r="1193" spans="1:1" x14ac:dyDescent="0.25">
      <c r="A1193" t="s">
        <v>1257</v>
      </c>
    </row>
    <row r="1194" spans="1:1" x14ac:dyDescent="0.25">
      <c r="A1194" t="s">
        <v>1258</v>
      </c>
    </row>
    <row r="1195" spans="1:1" x14ac:dyDescent="0.25">
      <c r="A1195" t="s">
        <v>1259</v>
      </c>
    </row>
    <row r="1196" spans="1:1" x14ac:dyDescent="0.25">
      <c r="A1196" t="s">
        <v>1260</v>
      </c>
    </row>
    <row r="1197" spans="1:1" x14ac:dyDescent="0.25">
      <c r="A1197" t="s">
        <v>1261</v>
      </c>
    </row>
    <row r="1198" spans="1:1" x14ac:dyDescent="0.25">
      <c r="A1198" t="s">
        <v>1262</v>
      </c>
    </row>
    <row r="1199" spans="1:1" x14ac:dyDescent="0.25">
      <c r="A1199" t="s">
        <v>1263</v>
      </c>
    </row>
    <row r="1200" spans="1:1" x14ac:dyDescent="0.25">
      <c r="A1200" t="s">
        <v>1264</v>
      </c>
    </row>
    <row r="1201" spans="1:1" x14ac:dyDescent="0.25">
      <c r="A1201" t="s">
        <v>1265</v>
      </c>
    </row>
    <row r="1202" spans="1:1" x14ac:dyDescent="0.25">
      <c r="A1202" t="s">
        <v>1266</v>
      </c>
    </row>
    <row r="1203" spans="1:1" x14ac:dyDescent="0.25">
      <c r="A1203" t="s">
        <v>1267</v>
      </c>
    </row>
    <row r="1204" spans="1:1" x14ac:dyDescent="0.25">
      <c r="A1204" t="s">
        <v>1268</v>
      </c>
    </row>
    <row r="1205" spans="1:1" x14ac:dyDescent="0.25">
      <c r="A1205" t="s">
        <v>1269</v>
      </c>
    </row>
    <row r="1206" spans="1:1" x14ac:dyDescent="0.25">
      <c r="A1206" t="s">
        <v>1270</v>
      </c>
    </row>
    <row r="1207" spans="1:1" x14ac:dyDescent="0.25">
      <c r="A1207" t="s">
        <v>1271</v>
      </c>
    </row>
    <row r="1208" spans="1:1" x14ac:dyDescent="0.25">
      <c r="A1208" t="s">
        <v>1272</v>
      </c>
    </row>
    <row r="1209" spans="1:1" x14ac:dyDescent="0.25">
      <c r="A1209" t="s">
        <v>1273</v>
      </c>
    </row>
    <row r="1210" spans="1:1" x14ac:dyDescent="0.25">
      <c r="A1210" t="s">
        <v>1274</v>
      </c>
    </row>
    <row r="1211" spans="1:1" x14ac:dyDescent="0.25">
      <c r="A1211" t="s">
        <v>1275</v>
      </c>
    </row>
    <row r="1212" spans="1:1" x14ac:dyDescent="0.25">
      <c r="A1212" t="s">
        <v>1276</v>
      </c>
    </row>
    <row r="1213" spans="1:1" x14ac:dyDescent="0.25">
      <c r="A1213" t="s">
        <v>1277</v>
      </c>
    </row>
    <row r="1214" spans="1:1" x14ac:dyDescent="0.25">
      <c r="A1214" t="s">
        <v>1278</v>
      </c>
    </row>
    <row r="1215" spans="1:1" x14ac:dyDescent="0.25">
      <c r="A1215" t="s">
        <v>1279</v>
      </c>
    </row>
    <row r="1216" spans="1:1" x14ac:dyDescent="0.25">
      <c r="A1216" t="s">
        <v>1280</v>
      </c>
    </row>
    <row r="1217" spans="1:1" x14ac:dyDescent="0.25">
      <c r="A1217" t="s">
        <v>1281</v>
      </c>
    </row>
    <row r="1218" spans="1:1" x14ac:dyDescent="0.25">
      <c r="A1218" t="s">
        <v>1282</v>
      </c>
    </row>
    <row r="1219" spans="1:1" x14ac:dyDescent="0.25">
      <c r="A1219" t="s">
        <v>1283</v>
      </c>
    </row>
    <row r="1220" spans="1:1" x14ac:dyDescent="0.25">
      <c r="A1220" t="s">
        <v>1284</v>
      </c>
    </row>
    <row r="1221" spans="1:1" x14ac:dyDescent="0.25">
      <c r="A1221" t="s">
        <v>1285</v>
      </c>
    </row>
    <row r="1222" spans="1:1" x14ac:dyDescent="0.25">
      <c r="A1222" t="s">
        <v>1286</v>
      </c>
    </row>
    <row r="1223" spans="1:1" x14ac:dyDescent="0.25">
      <c r="A1223" t="s">
        <v>1287</v>
      </c>
    </row>
    <row r="1224" spans="1:1" x14ac:dyDescent="0.25">
      <c r="A1224" t="s">
        <v>1288</v>
      </c>
    </row>
    <row r="1225" spans="1:1" x14ac:dyDescent="0.25">
      <c r="A1225" t="s">
        <v>1289</v>
      </c>
    </row>
    <row r="1226" spans="1:1" x14ac:dyDescent="0.25">
      <c r="A1226" t="s">
        <v>1290</v>
      </c>
    </row>
    <row r="1227" spans="1:1" x14ac:dyDescent="0.25">
      <c r="A1227" t="s">
        <v>1291</v>
      </c>
    </row>
    <row r="1228" spans="1:1" x14ac:dyDescent="0.25">
      <c r="A1228" t="s">
        <v>1292</v>
      </c>
    </row>
    <row r="1229" spans="1:1" x14ac:dyDescent="0.25">
      <c r="A1229" t="s">
        <v>1293</v>
      </c>
    </row>
    <row r="1230" spans="1:1" x14ac:dyDescent="0.25">
      <c r="A1230" t="s">
        <v>1294</v>
      </c>
    </row>
    <row r="1231" spans="1:1" x14ac:dyDescent="0.25">
      <c r="A1231" t="s">
        <v>1295</v>
      </c>
    </row>
    <row r="1232" spans="1:1" x14ac:dyDescent="0.25">
      <c r="A1232" t="s">
        <v>1296</v>
      </c>
    </row>
    <row r="1233" spans="1:1" x14ac:dyDescent="0.25">
      <c r="A1233" t="s">
        <v>1297</v>
      </c>
    </row>
    <row r="1234" spans="1:1" x14ac:dyDescent="0.25">
      <c r="A1234" t="s">
        <v>1298</v>
      </c>
    </row>
    <row r="1235" spans="1:1" x14ac:dyDescent="0.25">
      <c r="A1235" t="s">
        <v>1299</v>
      </c>
    </row>
    <row r="1236" spans="1:1" x14ac:dyDescent="0.25">
      <c r="A1236" t="s">
        <v>1300</v>
      </c>
    </row>
    <row r="1237" spans="1:1" x14ac:dyDescent="0.25">
      <c r="A1237" t="s">
        <v>1301</v>
      </c>
    </row>
    <row r="1238" spans="1:1" x14ac:dyDescent="0.25">
      <c r="A1238" t="s">
        <v>1302</v>
      </c>
    </row>
    <row r="1239" spans="1:1" x14ac:dyDescent="0.25">
      <c r="A1239" t="s">
        <v>1303</v>
      </c>
    </row>
    <row r="1240" spans="1:1" x14ac:dyDescent="0.25">
      <c r="A1240" t="s">
        <v>1304</v>
      </c>
    </row>
    <row r="1241" spans="1:1" x14ac:dyDescent="0.25">
      <c r="A1241" t="s">
        <v>1305</v>
      </c>
    </row>
    <row r="1242" spans="1:1" x14ac:dyDescent="0.25">
      <c r="A1242" t="s">
        <v>1306</v>
      </c>
    </row>
    <row r="1243" spans="1:1" x14ac:dyDescent="0.25">
      <c r="A1243" t="s">
        <v>1307</v>
      </c>
    </row>
    <row r="1244" spans="1:1" x14ac:dyDescent="0.25">
      <c r="A1244" t="s">
        <v>1308</v>
      </c>
    </row>
    <row r="1245" spans="1:1" x14ac:dyDescent="0.25">
      <c r="A1245" t="s">
        <v>1309</v>
      </c>
    </row>
    <row r="1246" spans="1:1" x14ac:dyDescent="0.25">
      <c r="A1246" t="s">
        <v>1310</v>
      </c>
    </row>
    <row r="1247" spans="1:1" x14ac:dyDescent="0.25">
      <c r="A1247" t="s">
        <v>1311</v>
      </c>
    </row>
    <row r="1248" spans="1:1" x14ac:dyDescent="0.25">
      <c r="A1248" t="s">
        <v>1312</v>
      </c>
    </row>
    <row r="1249" spans="1:1" x14ac:dyDescent="0.25">
      <c r="A1249" t="s">
        <v>1313</v>
      </c>
    </row>
    <row r="1250" spans="1:1" x14ac:dyDescent="0.25">
      <c r="A1250" t="s">
        <v>1314</v>
      </c>
    </row>
    <row r="1251" spans="1:1" x14ac:dyDescent="0.25">
      <c r="A1251" t="s">
        <v>1315</v>
      </c>
    </row>
    <row r="1252" spans="1:1" x14ac:dyDescent="0.25">
      <c r="A1252" t="s">
        <v>1316</v>
      </c>
    </row>
    <row r="1253" spans="1:1" x14ac:dyDescent="0.25">
      <c r="A1253" t="s">
        <v>1317</v>
      </c>
    </row>
    <row r="1254" spans="1:1" x14ac:dyDescent="0.25">
      <c r="A1254" t="s">
        <v>1318</v>
      </c>
    </row>
    <row r="1255" spans="1:1" x14ac:dyDescent="0.25">
      <c r="A1255" t="s">
        <v>1319</v>
      </c>
    </row>
    <row r="1256" spans="1:1" x14ac:dyDescent="0.25">
      <c r="A1256" t="s">
        <v>1320</v>
      </c>
    </row>
    <row r="1257" spans="1:1" x14ac:dyDescent="0.25">
      <c r="A1257" t="s">
        <v>1321</v>
      </c>
    </row>
    <row r="1258" spans="1:1" x14ac:dyDescent="0.25">
      <c r="A1258" t="s">
        <v>1322</v>
      </c>
    </row>
    <row r="1259" spans="1:1" x14ac:dyDescent="0.25">
      <c r="A1259" t="s">
        <v>1323</v>
      </c>
    </row>
    <row r="1260" spans="1:1" x14ac:dyDescent="0.25">
      <c r="A1260" t="s">
        <v>1324</v>
      </c>
    </row>
    <row r="1261" spans="1:1" x14ac:dyDescent="0.25">
      <c r="A1261" t="s">
        <v>1325</v>
      </c>
    </row>
    <row r="1262" spans="1:1" x14ac:dyDescent="0.25">
      <c r="A1262" t="s">
        <v>1326</v>
      </c>
    </row>
    <row r="1263" spans="1:1" x14ac:dyDescent="0.25">
      <c r="A1263" t="s">
        <v>1327</v>
      </c>
    </row>
    <row r="1264" spans="1:1" x14ac:dyDescent="0.25">
      <c r="A1264" t="s">
        <v>1328</v>
      </c>
    </row>
    <row r="1265" spans="1:1" x14ac:dyDescent="0.25">
      <c r="A1265" t="s">
        <v>1329</v>
      </c>
    </row>
    <row r="1266" spans="1:1" x14ac:dyDescent="0.25">
      <c r="A1266" t="s">
        <v>1330</v>
      </c>
    </row>
    <row r="1267" spans="1:1" x14ac:dyDescent="0.25">
      <c r="A1267" t="s">
        <v>1331</v>
      </c>
    </row>
    <row r="1268" spans="1:1" x14ac:dyDescent="0.25">
      <c r="A1268" t="s">
        <v>1332</v>
      </c>
    </row>
    <row r="1269" spans="1:1" x14ac:dyDescent="0.25">
      <c r="A1269" t="s">
        <v>1333</v>
      </c>
    </row>
    <row r="1270" spans="1:1" x14ac:dyDescent="0.25">
      <c r="A1270" t="s">
        <v>1334</v>
      </c>
    </row>
    <row r="1271" spans="1:1" x14ac:dyDescent="0.25">
      <c r="A1271" t="s">
        <v>1335</v>
      </c>
    </row>
    <row r="1272" spans="1:1" x14ac:dyDescent="0.25">
      <c r="A1272" t="s">
        <v>1336</v>
      </c>
    </row>
    <row r="1273" spans="1:1" x14ac:dyDescent="0.25">
      <c r="A1273" t="s">
        <v>1337</v>
      </c>
    </row>
    <row r="1274" spans="1:1" x14ac:dyDescent="0.25">
      <c r="A1274" t="s">
        <v>1338</v>
      </c>
    </row>
    <row r="1275" spans="1:1" x14ac:dyDescent="0.25">
      <c r="A1275" t="s">
        <v>1339</v>
      </c>
    </row>
    <row r="1276" spans="1:1" x14ac:dyDescent="0.25">
      <c r="A1276" t="s">
        <v>1340</v>
      </c>
    </row>
    <row r="1277" spans="1:1" x14ac:dyDescent="0.25">
      <c r="A1277" t="s">
        <v>1341</v>
      </c>
    </row>
    <row r="1278" spans="1:1" x14ac:dyDescent="0.25">
      <c r="A1278" t="s">
        <v>1342</v>
      </c>
    </row>
    <row r="1279" spans="1:1" x14ac:dyDescent="0.25">
      <c r="A1279" t="s">
        <v>1343</v>
      </c>
    </row>
    <row r="1280" spans="1:1" x14ac:dyDescent="0.25">
      <c r="A1280" t="s">
        <v>1344</v>
      </c>
    </row>
    <row r="1281" spans="1:1" x14ac:dyDescent="0.25">
      <c r="A1281" t="s">
        <v>1345</v>
      </c>
    </row>
    <row r="1282" spans="1:1" x14ac:dyDescent="0.25">
      <c r="A1282" t="s">
        <v>1346</v>
      </c>
    </row>
    <row r="1283" spans="1:1" x14ac:dyDescent="0.25">
      <c r="A1283" t="s">
        <v>1347</v>
      </c>
    </row>
    <row r="1284" spans="1:1" x14ac:dyDescent="0.25">
      <c r="A1284" t="s">
        <v>1348</v>
      </c>
    </row>
    <row r="1285" spans="1:1" x14ac:dyDescent="0.25">
      <c r="A1285" t="s">
        <v>1349</v>
      </c>
    </row>
    <row r="1286" spans="1:1" x14ac:dyDescent="0.25">
      <c r="A1286" t="s">
        <v>1350</v>
      </c>
    </row>
    <row r="1287" spans="1:1" x14ac:dyDescent="0.25">
      <c r="A1287" t="s">
        <v>1351</v>
      </c>
    </row>
    <row r="1288" spans="1:1" x14ac:dyDescent="0.25">
      <c r="A1288" t="s">
        <v>1352</v>
      </c>
    </row>
    <row r="1289" spans="1:1" x14ac:dyDescent="0.25">
      <c r="A1289" t="s">
        <v>1353</v>
      </c>
    </row>
    <row r="1290" spans="1:1" x14ac:dyDescent="0.25">
      <c r="A1290" t="s">
        <v>1354</v>
      </c>
    </row>
    <row r="1291" spans="1:1" x14ac:dyDescent="0.25">
      <c r="A1291" t="s">
        <v>1355</v>
      </c>
    </row>
    <row r="1292" spans="1:1" x14ac:dyDescent="0.25">
      <c r="A1292" t="s">
        <v>1356</v>
      </c>
    </row>
    <row r="1293" spans="1:1" x14ac:dyDescent="0.25">
      <c r="A1293" t="s">
        <v>1357</v>
      </c>
    </row>
    <row r="1294" spans="1:1" x14ac:dyDescent="0.25">
      <c r="A1294" t="s">
        <v>1358</v>
      </c>
    </row>
    <row r="1295" spans="1:1" x14ac:dyDescent="0.25">
      <c r="A1295" t="s">
        <v>1359</v>
      </c>
    </row>
    <row r="1296" spans="1:1" x14ac:dyDescent="0.25">
      <c r="A1296" t="s">
        <v>1360</v>
      </c>
    </row>
    <row r="1297" spans="1:1" x14ac:dyDescent="0.25">
      <c r="A1297" t="s">
        <v>1361</v>
      </c>
    </row>
    <row r="1298" spans="1:1" x14ac:dyDescent="0.25">
      <c r="A1298" t="s">
        <v>1362</v>
      </c>
    </row>
    <row r="1299" spans="1:1" x14ac:dyDescent="0.25">
      <c r="A1299" t="s">
        <v>1363</v>
      </c>
    </row>
    <row r="1300" spans="1:1" x14ac:dyDescent="0.25">
      <c r="A1300" t="s">
        <v>1364</v>
      </c>
    </row>
    <row r="1301" spans="1:1" x14ac:dyDescent="0.25">
      <c r="A1301" t="s">
        <v>1365</v>
      </c>
    </row>
    <row r="1302" spans="1:1" x14ac:dyDescent="0.25">
      <c r="A1302" t="s">
        <v>1366</v>
      </c>
    </row>
    <row r="1303" spans="1:1" x14ac:dyDescent="0.25">
      <c r="A1303" t="s">
        <v>1367</v>
      </c>
    </row>
    <row r="1304" spans="1:1" x14ac:dyDescent="0.25">
      <c r="A1304" t="s">
        <v>1368</v>
      </c>
    </row>
    <row r="1305" spans="1:1" x14ac:dyDescent="0.25">
      <c r="A1305" t="s">
        <v>1369</v>
      </c>
    </row>
    <row r="1306" spans="1:1" x14ac:dyDescent="0.25">
      <c r="A1306" t="s">
        <v>1370</v>
      </c>
    </row>
    <row r="1307" spans="1:1" x14ac:dyDescent="0.25">
      <c r="A1307" t="s">
        <v>1371</v>
      </c>
    </row>
    <row r="1308" spans="1:1" x14ac:dyDescent="0.25">
      <c r="A1308" t="s">
        <v>1372</v>
      </c>
    </row>
    <row r="1309" spans="1:1" x14ac:dyDescent="0.25">
      <c r="A1309" t="s">
        <v>1373</v>
      </c>
    </row>
    <row r="1310" spans="1:1" x14ac:dyDescent="0.25">
      <c r="A1310" t="s">
        <v>1374</v>
      </c>
    </row>
    <row r="1311" spans="1:1" x14ac:dyDescent="0.25">
      <c r="A1311" t="s">
        <v>1375</v>
      </c>
    </row>
    <row r="1312" spans="1:1" x14ac:dyDescent="0.25">
      <c r="A1312" t="s">
        <v>1376</v>
      </c>
    </row>
    <row r="1313" spans="1:1" x14ac:dyDescent="0.25">
      <c r="A1313" t="s">
        <v>1377</v>
      </c>
    </row>
    <row r="1314" spans="1:1" x14ac:dyDescent="0.25">
      <c r="A1314" t="s">
        <v>1378</v>
      </c>
    </row>
    <row r="1315" spans="1:1" x14ac:dyDescent="0.25">
      <c r="A1315" t="s">
        <v>1379</v>
      </c>
    </row>
    <row r="1316" spans="1:1" x14ac:dyDescent="0.25">
      <c r="A1316" t="s">
        <v>1380</v>
      </c>
    </row>
    <row r="1317" spans="1:1" x14ac:dyDescent="0.25">
      <c r="A1317" t="s">
        <v>1381</v>
      </c>
    </row>
    <row r="1318" spans="1:1" x14ac:dyDescent="0.25">
      <c r="A1318" t="s">
        <v>1382</v>
      </c>
    </row>
    <row r="1319" spans="1:1" x14ac:dyDescent="0.25">
      <c r="A1319" t="s">
        <v>1383</v>
      </c>
    </row>
    <row r="1320" spans="1:1" x14ac:dyDescent="0.25">
      <c r="A1320" t="s">
        <v>1384</v>
      </c>
    </row>
    <row r="1321" spans="1:1" x14ac:dyDescent="0.25">
      <c r="A1321" t="s">
        <v>1385</v>
      </c>
    </row>
    <row r="1322" spans="1:1" x14ac:dyDescent="0.25">
      <c r="A1322" t="s">
        <v>1386</v>
      </c>
    </row>
    <row r="1323" spans="1:1" x14ac:dyDescent="0.25">
      <c r="A1323" t="s">
        <v>1387</v>
      </c>
    </row>
    <row r="1324" spans="1:1" x14ac:dyDescent="0.25">
      <c r="A1324" t="s">
        <v>1388</v>
      </c>
    </row>
    <row r="1325" spans="1:1" x14ac:dyDescent="0.25">
      <c r="A1325" t="s">
        <v>1389</v>
      </c>
    </row>
    <row r="1326" spans="1:1" x14ac:dyDescent="0.25">
      <c r="A1326" t="s">
        <v>1390</v>
      </c>
    </row>
    <row r="1327" spans="1:1" x14ac:dyDescent="0.25">
      <c r="A1327" t="s">
        <v>1391</v>
      </c>
    </row>
    <row r="1328" spans="1:1" x14ac:dyDescent="0.25">
      <c r="A1328" t="s">
        <v>1392</v>
      </c>
    </row>
    <row r="1329" spans="1:1" x14ac:dyDescent="0.25">
      <c r="A1329" t="s">
        <v>1393</v>
      </c>
    </row>
    <row r="1330" spans="1:1" x14ac:dyDescent="0.25">
      <c r="A1330" t="s">
        <v>1394</v>
      </c>
    </row>
    <row r="1331" spans="1:1" x14ac:dyDescent="0.25">
      <c r="A1331" t="s">
        <v>1395</v>
      </c>
    </row>
    <row r="1332" spans="1:1" x14ac:dyDescent="0.25">
      <c r="A1332" t="s">
        <v>1396</v>
      </c>
    </row>
    <row r="1333" spans="1:1" x14ac:dyDescent="0.25">
      <c r="A1333" t="s">
        <v>1397</v>
      </c>
    </row>
    <row r="1334" spans="1:1" x14ac:dyDescent="0.25">
      <c r="A1334" t="s">
        <v>1398</v>
      </c>
    </row>
    <row r="1335" spans="1:1" x14ac:dyDescent="0.25">
      <c r="A1335" t="s">
        <v>1399</v>
      </c>
    </row>
    <row r="1336" spans="1:1" x14ac:dyDescent="0.25">
      <c r="A1336" t="s">
        <v>1400</v>
      </c>
    </row>
    <row r="1337" spans="1:1" x14ac:dyDescent="0.25">
      <c r="A1337" t="s">
        <v>1401</v>
      </c>
    </row>
    <row r="1338" spans="1:1" x14ac:dyDescent="0.25">
      <c r="A1338" t="s">
        <v>1402</v>
      </c>
    </row>
    <row r="1339" spans="1:1" x14ac:dyDescent="0.25">
      <c r="A1339" t="s">
        <v>1403</v>
      </c>
    </row>
    <row r="1340" spans="1:1" x14ac:dyDescent="0.25">
      <c r="A1340" t="s">
        <v>1404</v>
      </c>
    </row>
    <row r="1341" spans="1:1" x14ac:dyDescent="0.25">
      <c r="A1341" t="s">
        <v>1405</v>
      </c>
    </row>
    <row r="1342" spans="1:1" x14ac:dyDescent="0.25">
      <c r="A1342" t="s">
        <v>1406</v>
      </c>
    </row>
    <row r="1343" spans="1:1" x14ac:dyDescent="0.25">
      <c r="A1343" t="s">
        <v>1407</v>
      </c>
    </row>
    <row r="1344" spans="1:1" x14ac:dyDescent="0.25">
      <c r="A1344" t="s">
        <v>1408</v>
      </c>
    </row>
    <row r="1345" spans="1:1" x14ac:dyDescent="0.25">
      <c r="A1345" t="s">
        <v>1409</v>
      </c>
    </row>
    <row r="1346" spans="1:1" x14ac:dyDescent="0.25">
      <c r="A1346" t="s">
        <v>1410</v>
      </c>
    </row>
    <row r="1347" spans="1:1" x14ac:dyDescent="0.25">
      <c r="A1347" t="s">
        <v>1411</v>
      </c>
    </row>
    <row r="1348" spans="1:1" x14ac:dyDescent="0.25">
      <c r="A1348" t="s">
        <v>1412</v>
      </c>
    </row>
    <row r="1349" spans="1:1" x14ac:dyDescent="0.25">
      <c r="A1349" t="s">
        <v>1413</v>
      </c>
    </row>
    <row r="1350" spans="1:1" x14ac:dyDescent="0.25">
      <c r="A1350" t="s">
        <v>1414</v>
      </c>
    </row>
    <row r="1351" spans="1:1" x14ac:dyDescent="0.25">
      <c r="A1351" t="s">
        <v>1415</v>
      </c>
    </row>
    <row r="1352" spans="1:1" x14ac:dyDescent="0.25">
      <c r="A1352" t="s">
        <v>1416</v>
      </c>
    </row>
    <row r="1353" spans="1:1" x14ac:dyDescent="0.25">
      <c r="A1353" t="s">
        <v>1417</v>
      </c>
    </row>
    <row r="1354" spans="1:1" x14ac:dyDescent="0.25">
      <c r="A1354" t="s">
        <v>1418</v>
      </c>
    </row>
    <row r="1355" spans="1:1" x14ac:dyDescent="0.25">
      <c r="A1355" t="s">
        <v>1419</v>
      </c>
    </row>
    <row r="1356" spans="1:1" x14ac:dyDescent="0.25">
      <c r="A1356" t="s">
        <v>1420</v>
      </c>
    </row>
    <row r="1357" spans="1:1" x14ac:dyDescent="0.25">
      <c r="A1357" t="s">
        <v>1421</v>
      </c>
    </row>
    <row r="1358" spans="1:1" x14ac:dyDescent="0.25">
      <c r="A1358" t="s">
        <v>1422</v>
      </c>
    </row>
    <row r="1359" spans="1:1" x14ac:dyDescent="0.25">
      <c r="A1359" t="s">
        <v>1423</v>
      </c>
    </row>
    <row r="1360" spans="1:1" x14ac:dyDescent="0.25">
      <c r="A1360" t="s">
        <v>1424</v>
      </c>
    </row>
    <row r="1361" spans="1:1" x14ac:dyDescent="0.25">
      <c r="A1361" t="s">
        <v>1425</v>
      </c>
    </row>
    <row r="1362" spans="1:1" x14ac:dyDescent="0.25">
      <c r="A1362" t="s">
        <v>1426</v>
      </c>
    </row>
    <row r="1363" spans="1:1" x14ac:dyDescent="0.25">
      <c r="A1363" t="s">
        <v>1427</v>
      </c>
    </row>
    <row r="1364" spans="1:1" x14ac:dyDescent="0.25">
      <c r="A1364" t="s">
        <v>1428</v>
      </c>
    </row>
    <row r="1365" spans="1:1" x14ac:dyDescent="0.25">
      <c r="A1365" t="s">
        <v>1429</v>
      </c>
    </row>
    <row r="1366" spans="1:1" x14ac:dyDescent="0.25">
      <c r="A1366" t="s">
        <v>1430</v>
      </c>
    </row>
    <row r="1367" spans="1:1" x14ac:dyDescent="0.25">
      <c r="A1367" t="s">
        <v>1431</v>
      </c>
    </row>
    <row r="1368" spans="1:1" x14ac:dyDescent="0.25">
      <c r="A1368" t="s">
        <v>1432</v>
      </c>
    </row>
    <row r="1369" spans="1:1" x14ac:dyDescent="0.25">
      <c r="A1369" t="s">
        <v>1433</v>
      </c>
    </row>
    <row r="1370" spans="1:1" x14ac:dyDescent="0.25">
      <c r="A1370" t="s">
        <v>1434</v>
      </c>
    </row>
    <row r="1371" spans="1:1" x14ac:dyDescent="0.25">
      <c r="A1371" t="s">
        <v>1435</v>
      </c>
    </row>
    <row r="1372" spans="1:1" x14ac:dyDescent="0.25">
      <c r="A1372" t="s">
        <v>1436</v>
      </c>
    </row>
    <row r="1373" spans="1:1" x14ac:dyDescent="0.25">
      <c r="A1373" t="s">
        <v>1437</v>
      </c>
    </row>
    <row r="1374" spans="1:1" x14ac:dyDescent="0.25">
      <c r="A1374" t="s">
        <v>1438</v>
      </c>
    </row>
    <row r="1375" spans="1:1" x14ac:dyDescent="0.25">
      <c r="A1375" t="s">
        <v>1439</v>
      </c>
    </row>
    <row r="1376" spans="1:1" x14ac:dyDescent="0.25">
      <c r="A1376" t="s">
        <v>1440</v>
      </c>
    </row>
    <row r="1377" spans="1:1" x14ac:dyDescent="0.25">
      <c r="A1377" t="s">
        <v>1441</v>
      </c>
    </row>
    <row r="1378" spans="1:1" x14ac:dyDescent="0.25">
      <c r="A1378" t="s">
        <v>1442</v>
      </c>
    </row>
    <row r="1379" spans="1:1" x14ac:dyDescent="0.25">
      <c r="A1379" t="s">
        <v>1443</v>
      </c>
    </row>
    <row r="1380" spans="1:1" x14ac:dyDescent="0.25">
      <c r="A1380" t="s">
        <v>1444</v>
      </c>
    </row>
    <row r="1381" spans="1:1" x14ac:dyDescent="0.25">
      <c r="A1381" t="s">
        <v>1445</v>
      </c>
    </row>
    <row r="1382" spans="1:1" x14ac:dyDescent="0.25">
      <c r="A1382" t="s">
        <v>1446</v>
      </c>
    </row>
    <row r="1383" spans="1:1" x14ac:dyDescent="0.25">
      <c r="A1383" t="s">
        <v>1447</v>
      </c>
    </row>
    <row r="1384" spans="1:1" x14ac:dyDescent="0.25">
      <c r="A1384" t="s">
        <v>1448</v>
      </c>
    </row>
    <row r="1385" spans="1:1" x14ac:dyDescent="0.25">
      <c r="A1385" t="s">
        <v>1449</v>
      </c>
    </row>
    <row r="1386" spans="1:1" x14ac:dyDescent="0.25">
      <c r="A1386" t="s">
        <v>1450</v>
      </c>
    </row>
    <row r="1387" spans="1:1" x14ac:dyDescent="0.25">
      <c r="A1387" t="s">
        <v>1451</v>
      </c>
    </row>
    <row r="1388" spans="1:1" x14ac:dyDescent="0.25">
      <c r="A1388" t="s">
        <v>1452</v>
      </c>
    </row>
    <row r="1389" spans="1:1" x14ac:dyDescent="0.25">
      <c r="A1389" t="s">
        <v>1453</v>
      </c>
    </row>
    <row r="1390" spans="1:1" x14ac:dyDescent="0.25">
      <c r="A1390" t="s">
        <v>1454</v>
      </c>
    </row>
    <row r="1391" spans="1:1" x14ac:dyDescent="0.25">
      <c r="A1391" t="s">
        <v>1455</v>
      </c>
    </row>
    <row r="1392" spans="1:1" x14ac:dyDescent="0.25">
      <c r="A1392" t="s">
        <v>1456</v>
      </c>
    </row>
    <row r="1393" spans="1:1" x14ac:dyDescent="0.25">
      <c r="A1393" t="s">
        <v>1457</v>
      </c>
    </row>
    <row r="1394" spans="1:1" x14ac:dyDescent="0.25">
      <c r="A1394" t="s">
        <v>1458</v>
      </c>
    </row>
    <row r="1395" spans="1:1" x14ac:dyDescent="0.25">
      <c r="A1395" t="s">
        <v>1459</v>
      </c>
    </row>
    <row r="1396" spans="1:1" x14ac:dyDescent="0.25">
      <c r="A1396" t="s">
        <v>1460</v>
      </c>
    </row>
    <row r="1397" spans="1:1" x14ac:dyDescent="0.25">
      <c r="A1397" t="s">
        <v>1461</v>
      </c>
    </row>
    <row r="1398" spans="1:1" x14ac:dyDescent="0.25">
      <c r="A1398" t="s">
        <v>1462</v>
      </c>
    </row>
    <row r="1399" spans="1:1" x14ac:dyDescent="0.25">
      <c r="A1399" t="s">
        <v>1463</v>
      </c>
    </row>
    <row r="1400" spans="1:1" x14ac:dyDescent="0.25">
      <c r="A1400" t="s">
        <v>1464</v>
      </c>
    </row>
    <row r="1401" spans="1:1" x14ac:dyDescent="0.25">
      <c r="A1401" t="s">
        <v>1465</v>
      </c>
    </row>
    <row r="1402" spans="1:1" x14ac:dyDescent="0.25">
      <c r="A1402" t="s">
        <v>1466</v>
      </c>
    </row>
    <row r="1403" spans="1:1" x14ac:dyDescent="0.25">
      <c r="A1403" t="s">
        <v>1467</v>
      </c>
    </row>
    <row r="1404" spans="1:1" x14ac:dyDescent="0.25">
      <c r="A1404" t="s">
        <v>1468</v>
      </c>
    </row>
    <row r="1405" spans="1:1" x14ac:dyDescent="0.25">
      <c r="A1405" t="s">
        <v>1469</v>
      </c>
    </row>
    <row r="1406" spans="1:1" x14ac:dyDescent="0.25">
      <c r="A1406" t="s">
        <v>1470</v>
      </c>
    </row>
    <row r="1407" spans="1:1" x14ac:dyDescent="0.25">
      <c r="A1407" t="s">
        <v>1471</v>
      </c>
    </row>
    <row r="1408" spans="1:1" x14ac:dyDescent="0.25">
      <c r="A1408" t="s">
        <v>1472</v>
      </c>
    </row>
    <row r="1409" spans="1:1" x14ac:dyDescent="0.25">
      <c r="A1409" t="s">
        <v>1473</v>
      </c>
    </row>
    <row r="1410" spans="1:1" x14ac:dyDescent="0.25">
      <c r="A1410" t="s">
        <v>1474</v>
      </c>
    </row>
    <row r="1411" spans="1:1" x14ac:dyDescent="0.25">
      <c r="A1411" t="s">
        <v>1475</v>
      </c>
    </row>
    <row r="1412" spans="1:1" x14ac:dyDescent="0.25">
      <c r="A1412" t="s">
        <v>1476</v>
      </c>
    </row>
    <row r="1413" spans="1:1" x14ac:dyDescent="0.25">
      <c r="A1413" t="s">
        <v>1477</v>
      </c>
    </row>
    <row r="1414" spans="1:1" x14ac:dyDescent="0.25">
      <c r="A1414" t="s">
        <v>1478</v>
      </c>
    </row>
    <row r="1415" spans="1:1" x14ac:dyDescent="0.25">
      <c r="A1415" t="s">
        <v>1479</v>
      </c>
    </row>
    <row r="1416" spans="1:1" x14ac:dyDescent="0.25">
      <c r="A1416" t="s">
        <v>1480</v>
      </c>
    </row>
    <row r="1417" spans="1:1" x14ac:dyDescent="0.25">
      <c r="A1417" t="s">
        <v>1481</v>
      </c>
    </row>
    <row r="1418" spans="1:1" x14ac:dyDescent="0.25">
      <c r="A1418" t="s">
        <v>1482</v>
      </c>
    </row>
    <row r="1419" spans="1:1" x14ac:dyDescent="0.25">
      <c r="A1419" t="s">
        <v>1483</v>
      </c>
    </row>
    <row r="1420" spans="1:1" x14ac:dyDescent="0.25">
      <c r="A1420" t="s">
        <v>1484</v>
      </c>
    </row>
    <row r="1421" spans="1:1" x14ac:dyDescent="0.25">
      <c r="A1421" t="s">
        <v>1485</v>
      </c>
    </row>
    <row r="1422" spans="1:1" x14ac:dyDescent="0.25">
      <c r="A1422" t="s">
        <v>1486</v>
      </c>
    </row>
    <row r="1423" spans="1:1" x14ac:dyDescent="0.25">
      <c r="A1423" t="s">
        <v>1487</v>
      </c>
    </row>
    <row r="1424" spans="1:1" x14ac:dyDescent="0.25">
      <c r="A1424" t="s">
        <v>1488</v>
      </c>
    </row>
    <row r="1425" spans="1:1" x14ac:dyDescent="0.25">
      <c r="A1425" t="s">
        <v>1489</v>
      </c>
    </row>
    <row r="1426" spans="1:1" x14ac:dyDescent="0.25">
      <c r="A1426" t="s">
        <v>1490</v>
      </c>
    </row>
    <row r="1427" spans="1:1" x14ac:dyDescent="0.25">
      <c r="A1427" t="s">
        <v>1491</v>
      </c>
    </row>
    <row r="1428" spans="1:1" x14ac:dyDescent="0.25">
      <c r="A1428" t="s">
        <v>1492</v>
      </c>
    </row>
    <row r="1429" spans="1:1" x14ac:dyDescent="0.25">
      <c r="A1429" t="s">
        <v>1493</v>
      </c>
    </row>
    <row r="1430" spans="1:1" x14ac:dyDescent="0.25">
      <c r="A1430" t="s">
        <v>1494</v>
      </c>
    </row>
    <row r="1431" spans="1:1" x14ac:dyDescent="0.25">
      <c r="A1431" t="s">
        <v>1495</v>
      </c>
    </row>
    <row r="1432" spans="1:1" x14ac:dyDescent="0.25">
      <c r="A1432" t="s">
        <v>1496</v>
      </c>
    </row>
    <row r="1433" spans="1:1" x14ac:dyDescent="0.25">
      <c r="A1433" t="s">
        <v>1497</v>
      </c>
    </row>
    <row r="1434" spans="1:1" x14ac:dyDescent="0.25">
      <c r="A1434" t="s">
        <v>1498</v>
      </c>
    </row>
    <row r="1435" spans="1:1" x14ac:dyDescent="0.25">
      <c r="A1435" t="s">
        <v>1499</v>
      </c>
    </row>
    <row r="1436" spans="1:1" x14ac:dyDescent="0.25">
      <c r="A1436" t="s">
        <v>1500</v>
      </c>
    </row>
    <row r="1437" spans="1:1" x14ac:dyDescent="0.25">
      <c r="A1437" t="s">
        <v>1501</v>
      </c>
    </row>
    <row r="1438" spans="1:1" x14ac:dyDescent="0.25">
      <c r="A1438" t="s">
        <v>1502</v>
      </c>
    </row>
    <row r="1439" spans="1:1" x14ac:dyDescent="0.25">
      <c r="A1439" t="s">
        <v>1503</v>
      </c>
    </row>
    <row r="1440" spans="1:1" x14ac:dyDescent="0.25">
      <c r="A1440" t="s">
        <v>1504</v>
      </c>
    </row>
    <row r="1441" spans="1:1" x14ac:dyDescent="0.25">
      <c r="A1441" t="s">
        <v>1505</v>
      </c>
    </row>
    <row r="1442" spans="1:1" x14ac:dyDescent="0.25">
      <c r="A1442" t="s">
        <v>1506</v>
      </c>
    </row>
    <row r="1443" spans="1:1" x14ac:dyDescent="0.25">
      <c r="A1443" t="s">
        <v>1507</v>
      </c>
    </row>
    <row r="1444" spans="1:1" x14ac:dyDescent="0.25">
      <c r="A1444" t="s">
        <v>1508</v>
      </c>
    </row>
    <row r="1445" spans="1:1" x14ac:dyDescent="0.25">
      <c r="A1445" t="s">
        <v>1509</v>
      </c>
    </row>
    <row r="1446" spans="1:1" x14ac:dyDescent="0.25">
      <c r="A1446" t="s">
        <v>1510</v>
      </c>
    </row>
    <row r="1447" spans="1:1" x14ac:dyDescent="0.25">
      <c r="A1447" t="s">
        <v>1511</v>
      </c>
    </row>
    <row r="1448" spans="1:1" x14ac:dyDescent="0.25">
      <c r="A1448" t="s">
        <v>1512</v>
      </c>
    </row>
    <row r="1449" spans="1:1" x14ac:dyDescent="0.25">
      <c r="A1449" t="s">
        <v>1513</v>
      </c>
    </row>
    <row r="1450" spans="1:1" x14ac:dyDescent="0.25">
      <c r="A1450" t="s">
        <v>1514</v>
      </c>
    </row>
    <row r="1451" spans="1:1" x14ac:dyDescent="0.25">
      <c r="A1451" t="s">
        <v>1515</v>
      </c>
    </row>
    <row r="1452" spans="1:1" x14ac:dyDescent="0.25">
      <c r="A1452" t="s">
        <v>1516</v>
      </c>
    </row>
    <row r="1453" spans="1:1" x14ac:dyDescent="0.25">
      <c r="A1453" t="s">
        <v>1517</v>
      </c>
    </row>
    <row r="1454" spans="1:1" x14ac:dyDescent="0.25">
      <c r="A1454" t="s">
        <v>1518</v>
      </c>
    </row>
    <row r="1455" spans="1:1" x14ac:dyDescent="0.25">
      <c r="A1455" t="s">
        <v>1519</v>
      </c>
    </row>
    <row r="1456" spans="1:1" x14ac:dyDescent="0.25">
      <c r="A1456" t="s">
        <v>1520</v>
      </c>
    </row>
    <row r="1457" spans="1:1" x14ac:dyDescent="0.25">
      <c r="A1457" t="s">
        <v>1521</v>
      </c>
    </row>
    <row r="1458" spans="1:1" x14ac:dyDescent="0.25">
      <c r="A1458" t="s">
        <v>1522</v>
      </c>
    </row>
    <row r="1459" spans="1:1" x14ac:dyDescent="0.25">
      <c r="A1459" t="s">
        <v>1523</v>
      </c>
    </row>
    <row r="1460" spans="1:1" x14ac:dyDescent="0.25">
      <c r="A1460" t="s">
        <v>1524</v>
      </c>
    </row>
    <row r="1461" spans="1:1" x14ac:dyDescent="0.25">
      <c r="A1461" t="s">
        <v>1525</v>
      </c>
    </row>
    <row r="1462" spans="1:1" x14ac:dyDescent="0.25">
      <c r="A1462" t="s">
        <v>1526</v>
      </c>
    </row>
    <row r="1463" spans="1:1" x14ac:dyDescent="0.25">
      <c r="A1463" t="s">
        <v>1527</v>
      </c>
    </row>
    <row r="1464" spans="1:1" x14ac:dyDescent="0.25">
      <c r="A1464" t="s">
        <v>1528</v>
      </c>
    </row>
    <row r="1465" spans="1:1" x14ac:dyDescent="0.25">
      <c r="A1465" t="s">
        <v>1529</v>
      </c>
    </row>
    <row r="1466" spans="1:1" x14ac:dyDescent="0.25">
      <c r="A1466" t="s">
        <v>1530</v>
      </c>
    </row>
    <row r="1467" spans="1:1" x14ac:dyDescent="0.25">
      <c r="A1467" t="s">
        <v>1531</v>
      </c>
    </row>
    <row r="1468" spans="1:1" x14ac:dyDescent="0.25">
      <c r="A1468" t="s">
        <v>1532</v>
      </c>
    </row>
    <row r="1469" spans="1:1" x14ac:dyDescent="0.25">
      <c r="A1469" t="s">
        <v>1533</v>
      </c>
    </row>
    <row r="1470" spans="1:1" x14ac:dyDescent="0.25">
      <c r="A1470" t="s">
        <v>1534</v>
      </c>
    </row>
    <row r="1471" spans="1:1" x14ac:dyDescent="0.25">
      <c r="A1471" t="s">
        <v>1535</v>
      </c>
    </row>
    <row r="1472" spans="1:1" x14ac:dyDescent="0.25">
      <c r="A1472" t="s">
        <v>1536</v>
      </c>
    </row>
    <row r="1473" spans="1:1" x14ac:dyDescent="0.25">
      <c r="A1473" t="s">
        <v>1537</v>
      </c>
    </row>
    <row r="1474" spans="1:1" x14ac:dyDescent="0.25">
      <c r="A1474" t="s">
        <v>1538</v>
      </c>
    </row>
    <row r="1475" spans="1:1" x14ac:dyDescent="0.25">
      <c r="A1475" t="s">
        <v>1539</v>
      </c>
    </row>
    <row r="1476" spans="1:1" x14ac:dyDescent="0.25">
      <c r="A1476" t="s">
        <v>1540</v>
      </c>
    </row>
    <row r="1477" spans="1:1" x14ac:dyDescent="0.25">
      <c r="A1477" t="s">
        <v>1541</v>
      </c>
    </row>
    <row r="1478" spans="1:1" x14ac:dyDescent="0.25">
      <c r="A1478" t="s">
        <v>1542</v>
      </c>
    </row>
    <row r="1479" spans="1:1" x14ac:dyDescent="0.25">
      <c r="A1479" t="s">
        <v>1543</v>
      </c>
    </row>
    <row r="1480" spans="1:1" x14ac:dyDescent="0.25">
      <c r="A1480" t="s">
        <v>1544</v>
      </c>
    </row>
    <row r="1481" spans="1:1" x14ac:dyDescent="0.25">
      <c r="A1481" t="s">
        <v>1545</v>
      </c>
    </row>
    <row r="1482" spans="1:1" x14ac:dyDescent="0.25">
      <c r="A1482" t="s">
        <v>1546</v>
      </c>
    </row>
    <row r="1483" spans="1:1" x14ac:dyDescent="0.25">
      <c r="A1483" t="s">
        <v>1547</v>
      </c>
    </row>
    <row r="1484" spans="1:1" x14ac:dyDescent="0.25">
      <c r="A1484" t="s">
        <v>1548</v>
      </c>
    </row>
    <row r="1485" spans="1:1" x14ac:dyDescent="0.25">
      <c r="A1485" t="s">
        <v>1549</v>
      </c>
    </row>
    <row r="1486" spans="1:1" x14ac:dyDescent="0.25">
      <c r="A1486" t="s">
        <v>1550</v>
      </c>
    </row>
    <row r="1487" spans="1:1" x14ac:dyDescent="0.25">
      <c r="A1487" t="s">
        <v>1551</v>
      </c>
    </row>
    <row r="1488" spans="1:1" x14ac:dyDescent="0.25">
      <c r="A1488" t="s">
        <v>1552</v>
      </c>
    </row>
    <row r="1489" spans="1:1" x14ac:dyDescent="0.25">
      <c r="A1489" t="s">
        <v>1553</v>
      </c>
    </row>
    <row r="1490" spans="1:1" x14ac:dyDescent="0.25">
      <c r="A1490" t="s">
        <v>1554</v>
      </c>
    </row>
    <row r="1491" spans="1:1" x14ac:dyDescent="0.25">
      <c r="A1491" t="s">
        <v>1555</v>
      </c>
    </row>
    <row r="1492" spans="1:1" x14ac:dyDescent="0.25">
      <c r="A1492" t="s">
        <v>1556</v>
      </c>
    </row>
    <row r="1493" spans="1:1" x14ac:dyDescent="0.25">
      <c r="A1493" t="s">
        <v>1557</v>
      </c>
    </row>
    <row r="1494" spans="1:1" x14ac:dyDescent="0.25">
      <c r="A1494" t="s">
        <v>1558</v>
      </c>
    </row>
    <row r="1495" spans="1:1" x14ac:dyDescent="0.25">
      <c r="A1495" t="s">
        <v>1559</v>
      </c>
    </row>
    <row r="1496" spans="1:1" x14ac:dyDescent="0.25">
      <c r="A1496" t="s">
        <v>1560</v>
      </c>
    </row>
    <row r="1497" spans="1:1" x14ac:dyDescent="0.25">
      <c r="A1497" t="s">
        <v>1561</v>
      </c>
    </row>
    <row r="1498" spans="1:1" x14ac:dyDescent="0.25">
      <c r="A1498" t="s">
        <v>1562</v>
      </c>
    </row>
    <row r="1499" spans="1:1" x14ac:dyDescent="0.25">
      <c r="A1499" t="s">
        <v>1563</v>
      </c>
    </row>
    <row r="1500" spans="1:1" x14ac:dyDescent="0.25">
      <c r="A1500" t="s">
        <v>1564</v>
      </c>
    </row>
    <row r="1501" spans="1:1" x14ac:dyDescent="0.25">
      <c r="A1501" t="s">
        <v>1565</v>
      </c>
    </row>
    <row r="1502" spans="1:1" x14ac:dyDescent="0.25">
      <c r="A1502" t="s">
        <v>1566</v>
      </c>
    </row>
    <row r="1503" spans="1:1" x14ac:dyDescent="0.25">
      <c r="A1503" t="s">
        <v>1567</v>
      </c>
    </row>
    <row r="1504" spans="1:1" x14ac:dyDescent="0.25">
      <c r="A1504" t="s">
        <v>1568</v>
      </c>
    </row>
    <row r="1505" spans="1:1" x14ac:dyDescent="0.25">
      <c r="A1505" t="s">
        <v>1569</v>
      </c>
    </row>
    <row r="1506" spans="1:1" x14ac:dyDescent="0.25">
      <c r="A1506" t="s">
        <v>1570</v>
      </c>
    </row>
    <row r="1507" spans="1:1" x14ac:dyDescent="0.25">
      <c r="A1507" t="s">
        <v>1571</v>
      </c>
    </row>
    <row r="1508" spans="1:1" x14ac:dyDescent="0.25">
      <c r="A1508" t="s">
        <v>1572</v>
      </c>
    </row>
    <row r="1509" spans="1:1" x14ac:dyDescent="0.25">
      <c r="A1509" t="s">
        <v>1573</v>
      </c>
    </row>
    <row r="1510" spans="1:1" x14ac:dyDescent="0.25">
      <c r="A1510" t="s">
        <v>1574</v>
      </c>
    </row>
    <row r="1511" spans="1:1" x14ac:dyDescent="0.25">
      <c r="A1511" t="s">
        <v>1575</v>
      </c>
    </row>
    <row r="1512" spans="1:1" x14ac:dyDescent="0.25">
      <c r="A1512" t="s">
        <v>1576</v>
      </c>
    </row>
    <row r="1513" spans="1:1" x14ac:dyDescent="0.25">
      <c r="A1513" t="s">
        <v>1577</v>
      </c>
    </row>
    <row r="1514" spans="1:1" x14ac:dyDescent="0.25">
      <c r="A1514" t="s">
        <v>1578</v>
      </c>
    </row>
    <row r="1515" spans="1:1" x14ac:dyDescent="0.25">
      <c r="A1515" t="s">
        <v>1579</v>
      </c>
    </row>
    <row r="1516" spans="1:1" x14ac:dyDescent="0.25">
      <c r="A1516" t="s">
        <v>1580</v>
      </c>
    </row>
    <row r="1517" spans="1:1" x14ac:dyDescent="0.25">
      <c r="A1517" t="s">
        <v>1581</v>
      </c>
    </row>
    <row r="1518" spans="1:1" x14ac:dyDescent="0.25">
      <c r="A1518" t="s">
        <v>1582</v>
      </c>
    </row>
    <row r="1519" spans="1:1" x14ac:dyDescent="0.25">
      <c r="A1519" t="s">
        <v>1583</v>
      </c>
    </row>
    <row r="1520" spans="1:1" x14ac:dyDescent="0.25">
      <c r="A1520" t="s">
        <v>1584</v>
      </c>
    </row>
    <row r="1521" spans="1:1" x14ac:dyDescent="0.25">
      <c r="A1521" t="s">
        <v>1585</v>
      </c>
    </row>
    <row r="1522" spans="1:1" x14ac:dyDescent="0.25">
      <c r="A1522" t="s">
        <v>1586</v>
      </c>
    </row>
    <row r="1523" spans="1:1" x14ac:dyDescent="0.25">
      <c r="A1523" t="s">
        <v>1587</v>
      </c>
    </row>
    <row r="1524" spans="1:1" x14ac:dyDescent="0.25">
      <c r="A1524" t="s">
        <v>1588</v>
      </c>
    </row>
    <row r="1525" spans="1:1" x14ac:dyDescent="0.25">
      <c r="A1525" t="s">
        <v>1589</v>
      </c>
    </row>
    <row r="1526" spans="1:1" x14ac:dyDescent="0.25">
      <c r="A1526" t="s">
        <v>1590</v>
      </c>
    </row>
    <row r="1527" spans="1:1" x14ac:dyDescent="0.25">
      <c r="A1527" t="s">
        <v>1591</v>
      </c>
    </row>
    <row r="1528" spans="1:1" x14ac:dyDescent="0.25">
      <c r="A1528" t="s">
        <v>1592</v>
      </c>
    </row>
    <row r="1529" spans="1:1" x14ac:dyDescent="0.25">
      <c r="A1529" t="s">
        <v>1593</v>
      </c>
    </row>
    <row r="1530" spans="1:1" x14ac:dyDescent="0.25">
      <c r="A1530" t="s">
        <v>1594</v>
      </c>
    </row>
    <row r="1531" spans="1:1" x14ac:dyDescent="0.25">
      <c r="A1531" t="s">
        <v>1595</v>
      </c>
    </row>
    <row r="1532" spans="1:1" x14ac:dyDescent="0.25">
      <c r="A1532" t="s">
        <v>1596</v>
      </c>
    </row>
    <row r="1533" spans="1:1" x14ac:dyDescent="0.25">
      <c r="A1533" t="s">
        <v>1597</v>
      </c>
    </row>
    <row r="1534" spans="1:1" x14ac:dyDescent="0.25">
      <c r="A1534" t="s">
        <v>1598</v>
      </c>
    </row>
    <row r="1535" spans="1:1" x14ac:dyDescent="0.25">
      <c r="A1535" t="s">
        <v>1599</v>
      </c>
    </row>
    <row r="1536" spans="1:1" x14ac:dyDescent="0.25">
      <c r="A1536" t="s">
        <v>1600</v>
      </c>
    </row>
    <row r="1537" spans="1:1" x14ac:dyDescent="0.25">
      <c r="A1537" t="s">
        <v>1601</v>
      </c>
    </row>
    <row r="1538" spans="1:1" x14ac:dyDescent="0.25">
      <c r="A1538" t="s">
        <v>1602</v>
      </c>
    </row>
    <row r="1539" spans="1:1" x14ac:dyDescent="0.25">
      <c r="A1539" t="s">
        <v>1603</v>
      </c>
    </row>
    <row r="1540" spans="1:1" x14ac:dyDescent="0.25">
      <c r="A1540" t="s">
        <v>1604</v>
      </c>
    </row>
    <row r="1541" spans="1:1" x14ac:dyDescent="0.25">
      <c r="A1541" t="s">
        <v>1605</v>
      </c>
    </row>
    <row r="1542" spans="1:1" x14ac:dyDescent="0.25">
      <c r="A1542" t="s">
        <v>1606</v>
      </c>
    </row>
    <row r="1543" spans="1:1" x14ac:dyDescent="0.25">
      <c r="A1543" t="s">
        <v>1607</v>
      </c>
    </row>
    <row r="1544" spans="1:1" x14ac:dyDescent="0.25">
      <c r="A1544" t="s">
        <v>1608</v>
      </c>
    </row>
    <row r="1545" spans="1:1" x14ac:dyDescent="0.25">
      <c r="A1545" t="s">
        <v>1609</v>
      </c>
    </row>
    <row r="1546" spans="1:1" x14ac:dyDescent="0.25">
      <c r="A1546" t="s">
        <v>1610</v>
      </c>
    </row>
    <row r="1547" spans="1:1" x14ac:dyDescent="0.25">
      <c r="A1547" t="s">
        <v>1611</v>
      </c>
    </row>
    <row r="1548" spans="1:1" x14ac:dyDescent="0.25">
      <c r="A1548" t="s">
        <v>1612</v>
      </c>
    </row>
    <row r="1549" spans="1:1" x14ac:dyDescent="0.25">
      <c r="A1549" t="s">
        <v>1613</v>
      </c>
    </row>
    <row r="1550" spans="1:1" x14ac:dyDescent="0.25">
      <c r="A1550" t="s">
        <v>1614</v>
      </c>
    </row>
    <row r="1551" spans="1:1" x14ac:dyDescent="0.25">
      <c r="A1551" t="s">
        <v>1615</v>
      </c>
    </row>
    <row r="1552" spans="1:1" x14ac:dyDescent="0.25">
      <c r="A1552" t="s">
        <v>1616</v>
      </c>
    </row>
    <row r="1553" spans="1:1" x14ac:dyDescent="0.25">
      <c r="A1553" t="s">
        <v>1617</v>
      </c>
    </row>
    <row r="1554" spans="1:1" x14ac:dyDescent="0.25">
      <c r="A1554" t="s">
        <v>1618</v>
      </c>
    </row>
    <row r="1555" spans="1:1" x14ac:dyDescent="0.25">
      <c r="A1555" t="s">
        <v>1619</v>
      </c>
    </row>
    <row r="1556" spans="1:1" x14ac:dyDescent="0.25">
      <c r="A1556" t="s">
        <v>1620</v>
      </c>
    </row>
    <row r="1557" spans="1:1" x14ac:dyDescent="0.25">
      <c r="A1557" t="s">
        <v>1621</v>
      </c>
    </row>
    <row r="1558" spans="1:1" x14ac:dyDescent="0.25">
      <c r="A1558" t="s">
        <v>1622</v>
      </c>
    </row>
    <row r="1559" spans="1:1" x14ac:dyDescent="0.25">
      <c r="A1559" t="s">
        <v>1623</v>
      </c>
    </row>
    <row r="1560" spans="1:1" x14ac:dyDescent="0.25">
      <c r="A1560" t="s">
        <v>1624</v>
      </c>
    </row>
    <row r="1561" spans="1:1" x14ac:dyDescent="0.25">
      <c r="A1561" t="s">
        <v>1625</v>
      </c>
    </row>
    <row r="1562" spans="1:1" x14ac:dyDescent="0.25">
      <c r="A1562" t="s">
        <v>1626</v>
      </c>
    </row>
    <row r="1563" spans="1:1" x14ac:dyDescent="0.25">
      <c r="A1563" t="s">
        <v>1627</v>
      </c>
    </row>
    <row r="1564" spans="1:1" x14ac:dyDescent="0.25">
      <c r="A1564" t="s">
        <v>1628</v>
      </c>
    </row>
    <row r="1565" spans="1:1" x14ac:dyDescent="0.25">
      <c r="A1565" t="s">
        <v>1629</v>
      </c>
    </row>
    <row r="1566" spans="1:1" x14ac:dyDescent="0.25">
      <c r="A1566" t="s">
        <v>1630</v>
      </c>
    </row>
    <row r="1567" spans="1:1" x14ac:dyDescent="0.25">
      <c r="A1567" t="s">
        <v>1631</v>
      </c>
    </row>
    <row r="1568" spans="1:1" x14ac:dyDescent="0.25">
      <c r="A1568" t="s">
        <v>1632</v>
      </c>
    </row>
    <row r="1569" spans="1:1" x14ac:dyDescent="0.25">
      <c r="A1569" t="s">
        <v>1633</v>
      </c>
    </row>
    <row r="1570" spans="1:1" x14ac:dyDescent="0.25">
      <c r="A1570" t="s">
        <v>1634</v>
      </c>
    </row>
    <row r="1571" spans="1:1" x14ac:dyDescent="0.25">
      <c r="A1571" t="s">
        <v>1635</v>
      </c>
    </row>
    <row r="1572" spans="1:1" x14ac:dyDescent="0.25">
      <c r="A1572" t="s">
        <v>1636</v>
      </c>
    </row>
    <row r="1573" spans="1:1" x14ac:dyDescent="0.25">
      <c r="A1573" t="s">
        <v>1637</v>
      </c>
    </row>
    <row r="1574" spans="1:1" x14ac:dyDescent="0.25">
      <c r="A1574" t="s">
        <v>1638</v>
      </c>
    </row>
    <row r="1575" spans="1:1" x14ac:dyDescent="0.25">
      <c r="A1575" t="s">
        <v>1639</v>
      </c>
    </row>
    <row r="1576" spans="1:1" x14ac:dyDescent="0.25">
      <c r="A1576" t="s">
        <v>1640</v>
      </c>
    </row>
    <row r="1577" spans="1:1" x14ac:dyDescent="0.25">
      <c r="A1577" t="s">
        <v>1641</v>
      </c>
    </row>
    <row r="1578" spans="1:1" x14ac:dyDescent="0.25">
      <c r="A1578" t="s">
        <v>1642</v>
      </c>
    </row>
    <row r="1579" spans="1:1" x14ac:dyDescent="0.25">
      <c r="A1579" t="s">
        <v>1643</v>
      </c>
    </row>
    <row r="1580" spans="1:1" x14ac:dyDescent="0.25">
      <c r="A1580" t="s">
        <v>1644</v>
      </c>
    </row>
    <row r="1581" spans="1:1" x14ac:dyDescent="0.25">
      <c r="A1581" t="s">
        <v>1645</v>
      </c>
    </row>
    <row r="1582" spans="1:1" x14ac:dyDescent="0.25">
      <c r="A1582" t="s">
        <v>1646</v>
      </c>
    </row>
    <row r="1583" spans="1:1" x14ac:dyDescent="0.25">
      <c r="A1583" t="s">
        <v>1647</v>
      </c>
    </row>
    <row r="1584" spans="1:1" x14ac:dyDescent="0.25">
      <c r="A1584" t="s">
        <v>1648</v>
      </c>
    </row>
    <row r="1585" spans="1:1" x14ac:dyDescent="0.25">
      <c r="A1585" t="s">
        <v>1649</v>
      </c>
    </row>
    <row r="1586" spans="1:1" x14ac:dyDescent="0.25">
      <c r="A1586" t="s">
        <v>1650</v>
      </c>
    </row>
    <row r="1587" spans="1:1" x14ac:dyDescent="0.25">
      <c r="A1587" t="s">
        <v>1651</v>
      </c>
    </row>
    <row r="1588" spans="1:1" x14ac:dyDescent="0.25">
      <c r="A1588" t="s">
        <v>1652</v>
      </c>
    </row>
    <row r="1589" spans="1:1" x14ac:dyDescent="0.25">
      <c r="A1589" t="s">
        <v>1653</v>
      </c>
    </row>
    <row r="1590" spans="1:1" x14ac:dyDescent="0.25">
      <c r="A1590" t="s">
        <v>1654</v>
      </c>
    </row>
    <row r="1591" spans="1:1" x14ac:dyDescent="0.25">
      <c r="A1591" t="s">
        <v>1655</v>
      </c>
    </row>
    <row r="1592" spans="1:1" x14ac:dyDescent="0.25">
      <c r="A1592" t="s">
        <v>1656</v>
      </c>
    </row>
    <row r="1593" spans="1:1" x14ac:dyDescent="0.25">
      <c r="A1593" t="s">
        <v>1657</v>
      </c>
    </row>
    <row r="1594" spans="1:1" x14ac:dyDescent="0.25">
      <c r="A1594" t="s">
        <v>1658</v>
      </c>
    </row>
    <row r="1595" spans="1:1" x14ac:dyDescent="0.25">
      <c r="A1595" t="s">
        <v>1659</v>
      </c>
    </row>
    <row r="1596" spans="1:1" x14ac:dyDescent="0.25">
      <c r="A1596" t="s">
        <v>1660</v>
      </c>
    </row>
    <row r="1597" spans="1:1" x14ac:dyDescent="0.25">
      <c r="A1597" t="s">
        <v>1661</v>
      </c>
    </row>
    <row r="1598" spans="1:1" x14ac:dyDescent="0.25">
      <c r="A1598" t="s">
        <v>1662</v>
      </c>
    </row>
    <row r="1599" spans="1:1" x14ac:dyDescent="0.25">
      <c r="A1599" t="s">
        <v>1663</v>
      </c>
    </row>
    <row r="1600" spans="1:1" x14ac:dyDescent="0.25">
      <c r="A1600" t="s">
        <v>1664</v>
      </c>
    </row>
    <row r="1601" spans="1:1" x14ac:dyDescent="0.25">
      <c r="A1601" t="s">
        <v>1665</v>
      </c>
    </row>
    <row r="1602" spans="1:1" x14ac:dyDescent="0.25">
      <c r="A1602" t="s">
        <v>1666</v>
      </c>
    </row>
    <row r="1603" spans="1:1" x14ac:dyDescent="0.25">
      <c r="A1603" t="s">
        <v>1667</v>
      </c>
    </row>
    <row r="1604" spans="1:1" x14ac:dyDescent="0.25">
      <c r="A1604" t="s">
        <v>1668</v>
      </c>
    </row>
    <row r="1605" spans="1:1" x14ac:dyDescent="0.25">
      <c r="A1605" t="s">
        <v>1669</v>
      </c>
    </row>
    <row r="1606" spans="1:1" x14ac:dyDescent="0.25">
      <c r="A1606" t="s">
        <v>1670</v>
      </c>
    </row>
    <row r="1607" spans="1:1" x14ac:dyDescent="0.25">
      <c r="A1607" t="s">
        <v>1671</v>
      </c>
    </row>
    <row r="1608" spans="1:1" x14ac:dyDescent="0.25">
      <c r="A1608" t="s">
        <v>1672</v>
      </c>
    </row>
    <row r="1609" spans="1:1" x14ac:dyDescent="0.25">
      <c r="A1609" t="s">
        <v>1673</v>
      </c>
    </row>
    <row r="1610" spans="1:1" x14ac:dyDescent="0.25">
      <c r="A1610" t="s">
        <v>1674</v>
      </c>
    </row>
    <row r="1611" spans="1:1" x14ac:dyDescent="0.25">
      <c r="A1611" t="s">
        <v>1675</v>
      </c>
    </row>
    <row r="1612" spans="1:1" x14ac:dyDescent="0.25">
      <c r="A1612" t="s">
        <v>1676</v>
      </c>
    </row>
    <row r="1613" spans="1:1" x14ac:dyDescent="0.25">
      <c r="A1613" t="s">
        <v>1677</v>
      </c>
    </row>
    <row r="1614" spans="1:1" x14ac:dyDescent="0.25">
      <c r="A1614" t="s">
        <v>1678</v>
      </c>
    </row>
    <row r="1615" spans="1:1" x14ac:dyDescent="0.25">
      <c r="A1615" t="s">
        <v>1679</v>
      </c>
    </row>
    <row r="1616" spans="1:1" x14ac:dyDescent="0.25">
      <c r="A1616" t="s">
        <v>1680</v>
      </c>
    </row>
    <row r="1617" spans="1:1" x14ac:dyDescent="0.25">
      <c r="A1617" t="s">
        <v>1681</v>
      </c>
    </row>
    <row r="1618" spans="1:1" x14ac:dyDescent="0.25">
      <c r="A1618" t="s">
        <v>1682</v>
      </c>
    </row>
    <row r="1619" spans="1:1" x14ac:dyDescent="0.25">
      <c r="A1619" t="s">
        <v>1683</v>
      </c>
    </row>
    <row r="1620" spans="1:1" x14ac:dyDescent="0.25">
      <c r="A1620" t="s">
        <v>1684</v>
      </c>
    </row>
    <row r="1621" spans="1:1" x14ac:dyDescent="0.25">
      <c r="A1621" t="s">
        <v>1685</v>
      </c>
    </row>
    <row r="1622" spans="1:1" x14ac:dyDescent="0.25">
      <c r="A1622" t="s">
        <v>1686</v>
      </c>
    </row>
    <row r="1623" spans="1:1" x14ac:dyDescent="0.25">
      <c r="A1623" t="s">
        <v>1687</v>
      </c>
    </row>
    <row r="1624" spans="1:1" x14ac:dyDescent="0.25">
      <c r="A1624" t="s">
        <v>1688</v>
      </c>
    </row>
    <row r="1625" spans="1:1" x14ac:dyDescent="0.25">
      <c r="A1625" t="s">
        <v>1689</v>
      </c>
    </row>
    <row r="1626" spans="1:1" x14ac:dyDescent="0.25">
      <c r="A1626" t="s">
        <v>1690</v>
      </c>
    </row>
    <row r="1627" spans="1:1" x14ac:dyDescent="0.25">
      <c r="A1627" t="s">
        <v>1691</v>
      </c>
    </row>
    <row r="1628" spans="1:1" x14ac:dyDescent="0.25">
      <c r="A1628" t="s">
        <v>1692</v>
      </c>
    </row>
    <row r="1629" spans="1:1" x14ac:dyDescent="0.25">
      <c r="A1629" t="s">
        <v>1693</v>
      </c>
    </row>
    <row r="1630" spans="1:1" x14ac:dyDescent="0.25">
      <c r="A1630" t="s">
        <v>1694</v>
      </c>
    </row>
    <row r="1631" spans="1:1" x14ac:dyDescent="0.25">
      <c r="A1631" t="s">
        <v>1695</v>
      </c>
    </row>
    <row r="1632" spans="1:1" x14ac:dyDescent="0.25">
      <c r="A1632" t="s">
        <v>1696</v>
      </c>
    </row>
    <row r="1633" spans="1:1" x14ac:dyDescent="0.25">
      <c r="A1633" t="s">
        <v>1697</v>
      </c>
    </row>
    <row r="1634" spans="1:1" x14ac:dyDescent="0.25">
      <c r="A1634" t="s">
        <v>1698</v>
      </c>
    </row>
    <row r="1635" spans="1:1" x14ac:dyDescent="0.25">
      <c r="A1635" t="s">
        <v>1699</v>
      </c>
    </row>
    <row r="1636" spans="1:1" x14ac:dyDescent="0.25">
      <c r="A1636" t="s">
        <v>1700</v>
      </c>
    </row>
    <row r="1637" spans="1:1" x14ac:dyDescent="0.25">
      <c r="A1637" t="s">
        <v>1701</v>
      </c>
    </row>
    <row r="1638" spans="1:1" x14ac:dyDescent="0.25">
      <c r="A1638" t="s">
        <v>1702</v>
      </c>
    </row>
    <row r="1639" spans="1:1" x14ac:dyDescent="0.25">
      <c r="A1639" t="s">
        <v>1703</v>
      </c>
    </row>
    <row r="1640" spans="1:1" x14ac:dyDescent="0.25">
      <c r="A1640" t="s">
        <v>1704</v>
      </c>
    </row>
    <row r="1641" spans="1:1" x14ac:dyDescent="0.25">
      <c r="A1641" t="s">
        <v>1705</v>
      </c>
    </row>
    <row r="1642" spans="1:1" x14ac:dyDescent="0.25">
      <c r="A1642" t="s">
        <v>1706</v>
      </c>
    </row>
    <row r="1643" spans="1:1" x14ac:dyDescent="0.25">
      <c r="A1643" t="s">
        <v>1707</v>
      </c>
    </row>
    <row r="1644" spans="1:1" x14ac:dyDescent="0.25">
      <c r="A1644" t="s">
        <v>1708</v>
      </c>
    </row>
    <row r="1645" spans="1:1" x14ac:dyDescent="0.25">
      <c r="A1645" t="s">
        <v>1709</v>
      </c>
    </row>
    <row r="1646" spans="1:1" x14ac:dyDescent="0.25">
      <c r="A1646" t="s">
        <v>1710</v>
      </c>
    </row>
    <row r="1647" spans="1:1" x14ac:dyDescent="0.25">
      <c r="A1647" t="s">
        <v>1711</v>
      </c>
    </row>
    <row r="1648" spans="1:1" x14ac:dyDescent="0.25">
      <c r="A1648" t="s">
        <v>1712</v>
      </c>
    </row>
    <row r="1649" spans="1:1" x14ac:dyDescent="0.25">
      <c r="A1649" t="s">
        <v>1713</v>
      </c>
    </row>
    <row r="1650" spans="1:1" x14ac:dyDescent="0.25">
      <c r="A1650" t="s">
        <v>1714</v>
      </c>
    </row>
    <row r="1651" spans="1:1" x14ac:dyDescent="0.25">
      <c r="A1651" t="s">
        <v>1715</v>
      </c>
    </row>
    <row r="1652" spans="1:1" x14ac:dyDescent="0.25">
      <c r="A1652" t="s">
        <v>1716</v>
      </c>
    </row>
    <row r="1653" spans="1:1" x14ac:dyDescent="0.25">
      <c r="A1653" t="s">
        <v>1717</v>
      </c>
    </row>
    <row r="1654" spans="1:1" x14ac:dyDescent="0.25">
      <c r="A1654" t="s">
        <v>1718</v>
      </c>
    </row>
    <row r="1655" spans="1:1" x14ac:dyDescent="0.25">
      <c r="A1655" t="s">
        <v>1719</v>
      </c>
    </row>
    <row r="1656" spans="1:1" x14ac:dyDescent="0.25">
      <c r="A1656" t="s">
        <v>1720</v>
      </c>
    </row>
    <row r="1657" spans="1:1" x14ac:dyDescent="0.25">
      <c r="A1657" t="s">
        <v>1721</v>
      </c>
    </row>
    <row r="1658" spans="1:1" x14ac:dyDescent="0.25">
      <c r="A1658" t="s">
        <v>1722</v>
      </c>
    </row>
    <row r="1659" spans="1:1" x14ac:dyDescent="0.25">
      <c r="A1659" t="s">
        <v>1723</v>
      </c>
    </row>
    <row r="1660" spans="1:1" x14ac:dyDescent="0.25">
      <c r="A1660" t="s">
        <v>1724</v>
      </c>
    </row>
    <row r="1661" spans="1:1" x14ac:dyDescent="0.25">
      <c r="A1661" t="s">
        <v>1725</v>
      </c>
    </row>
    <row r="1662" spans="1:1" x14ac:dyDescent="0.25">
      <c r="A1662" t="s">
        <v>1726</v>
      </c>
    </row>
    <row r="1663" spans="1:1" x14ac:dyDescent="0.25">
      <c r="A1663" t="s">
        <v>1727</v>
      </c>
    </row>
    <row r="1664" spans="1:1" x14ac:dyDescent="0.25">
      <c r="A1664" t="s">
        <v>1728</v>
      </c>
    </row>
    <row r="1665" spans="1:1" x14ac:dyDescent="0.25">
      <c r="A1665" t="s">
        <v>1729</v>
      </c>
    </row>
    <row r="1666" spans="1:1" x14ac:dyDescent="0.25">
      <c r="A1666" t="s">
        <v>1730</v>
      </c>
    </row>
    <row r="1667" spans="1:1" x14ac:dyDescent="0.25">
      <c r="A1667" t="s">
        <v>1731</v>
      </c>
    </row>
    <row r="1668" spans="1:1" x14ac:dyDescent="0.25">
      <c r="A1668" t="s">
        <v>1732</v>
      </c>
    </row>
    <row r="1669" spans="1:1" x14ac:dyDescent="0.25">
      <c r="A1669" t="s">
        <v>1733</v>
      </c>
    </row>
    <row r="1670" spans="1:1" x14ac:dyDescent="0.25">
      <c r="A1670" t="s">
        <v>1734</v>
      </c>
    </row>
    <row r="1671" spans="1:1" x14ac:dyDescent="0.25">
      <c r="A1671" t="s">
        <v>1735</v>
      </c>
    </row>
    <row r="1672" spans="1:1" x14ac:dyDescent="0.25">
      <c r="A1672" t="s">
        <v>1736</v>
      </c>
    </row>
    <row r="1673" spans="1:1" x14ac:dyDescent="0.25">
      <c r="A1673" t="s">
        <v>1737</v>
      </c>
    </row>
    <row r="1674" spans="1:1" x14ac:dyDescent="0.25">
      <c r="A1674" t="s">
        <v>1738</v>
      </c>
    </row>
    <row r="1675" spans="1:1" x14ac:dyDescent="0.25">
      <c r="A1675" t="s">
        <v>1739</v>
      </c>
    </row>
    <row r="1676" spans="1:1" x14ac:dyDescent="0.25">
      <c r="A1676" t="s">
        <v>1740</v>
      </c>
    </row>
    <row r="1677" spans="1:1" x14ac:dyDescent="0.25">
      <c r="A1677" t="s">
        <v>1741</v>
      </c>
    </row>
    <row r="1678" spans="1:1" x14ac:dyDescent="0.25">
      <c r="A1678" t="s">
        <v>1742</v>
      </c>
    </row>
    <row r="1679" spans="1:1" x14ac:dyDescent="0.25">
      <c r="A1679" t="s">
        <v>1743</v>
      </c>
    </row>
    <row r="1680" spans="1:1" x14ac:dyDescent="0.25">
      <c r="A1680" t="s">
        <v>1744</v>
      </c>
    </row>
    <row r="1681" spans="1:1" x14ac:dyDescent="0.25">
      <c r="A1681" t="s">
        <v>1745</v>
      </c>
    </row>
    <row r="1682" spans="1:1" x14ac:dyDescent="0.25">
      <c r="A1682" t="s">
        <v>1746</v>
      </c>
    </row>
    <row r="1683" spans="1:1" x14ac:dyDescent="0.25">
      <c r="A1683" t="s">
        <v>1747</v>
      </c>
    </row>
    <row r="1684" spans="1:1" x14ac:dyDescent="0.25">
      <c r="A1684" t="s">
        <v>1748</v>
      </c>
    </row>
    <row r="1685" spans="1:1" x14ac:dyDescent="0.25">
      <c r="A1685" t="s">
        <v>1749</v>
      </c>
    </row>
    <row r="1686" spans="1:1" x14ac:dyDescent="0.25">
      <c r="A1686" t="s">
        <v>1750</v>
      </c>
    </row>
    <row r="1687" spans="1:1" x14ac:dyDescent="0.25">
      <c r="A1687" t="s">
        <v>1751</v>
      </c>
    </row>
    <row r="1688" spans="1:1" x14ac:dyDescent="0.25">
      <c r="A1688" t="s">
        <v>1752</v>
      </c>
    </row>
    <row r="1689" spans="1:1" x14ac:dyDescent="0.25">
      <c r="A1689" t="s">
        <v>1753</v>
      </c>
    </row>
    <row r="1690" spans="1:1" x14ac:dyDescent="0.25">
      <c r="A1690" t="s">
        <v>1754</v>
      </c>
    </row>
    <row r="1691" spans="1:1" x14ac:dyDescent="0.25">
      <c r="A1691" t="s">
        <v>1755</v>
      </c>
    </row>
    <row r="1692" spans="1:1" x14ac:dyDescent="0.25">
      <c r="A1692" t="s">
        <v>1756</v>
      </c>
    </row>
    <row r="1693" spans="1:1" x14ac:dyDescent="0.25">
      <c r="A1693" t="s">
        <v>1757</v>
      </c>
    </row>
    <row r="1694" spans="1:1" x14ac:dyDescent="0.25">
      <c r="A1694" t="s">
        <v>1758</v>
      </c>
    </row>
    <row r="1695" spans="1:1" x14ac:dyDescent="0.25">
      <c r="A1695" t="s">
        <v>1759</v>
      </c>
    </row>
    <row r="1696" spans="1:1" x14ac:dyDescent="0.25">
      <c r="A1696" t="s">
        <v>1760</v>
      </c>
    </row>
    <row r="1697" spans="1:1" x14ac:dyDescent="0.25">
      <c r="A1697" t="s">
        <v>1761</v>
      </c>
    </row>
    <row r="1698" spans="1:1" x14ac:dyDescent="0.25">
      <c r="A1698" t="s">
        <v>1762</v>
      </c>
    </row>
    <row r="1699" spans="1:1" x14ac:dyDescent="0.25">
      <c r="A1699" t="s">
        <v>1763</v>
      </c>
    </row>
    <row r="1700" spans="1:1" x14ac:dyDescent="0.25">
      <c r="A1700" t="s">
        <v>1764</v>
      </c>
    </row>
    <row r="1701" spans="1:1" x14ac:dyDescent="0.25">
      <c r="A1701" t="s">
        <v>1765</v>
      </c>
    </row>
    <row r="1702" spans="1:1" x14ac:dyDescent="0.25">
      <c r="A1702" t="s">
        <v>1766</v>
      </c>
    </row>
    <row r="1703" spans="1:1" x14ac:dyDescent="0.25">
      <c r="A1703" t="s">
        <v>1767</v>
      </c>
    </row>
    <row r="1704" spans="1:1" x14ac:dyDescent="0.25">
      <c r="A1704" t="s">
        <v>1768</v>
      </c>
    </row>
    <row r="1705" spans="1:1" x14ac:dyDescent="0.25">
      <c r="A1705" t="s">
        <v>1769</v>
      </c>
    </row>
    <row r="1706" spans="1:1" x14ac:dyDescent="0.25">
      <c r="A1706" t="s">
        <v>1770</v>
      </c>
    </row>
    <row r="1707" spans="1:1" x14ac:dyDescent="0.25">
      <c r="A1707" t="s">
        <v>1771</v>
      </c>
    </row>
    <row r="1708" spans="1:1" x14ac:dyDescent="0.25">
      <c r="A1708" t="s">
        <v>1772</v>
      </c>
    </row>
    <row r="1709" spans="1:1" x14ac:dyDescent="0.25">
      <c r="A1709" t="s">
        <v>1773</v>
      </c>
    </row>
    <row r="1710" spans="1:1" x14ac:dyDescent="0.25">
      <c r="A1710" t="s">
        <v>1774</v>
      </c>
    </row>
    <row r="1711" spans="1:1" x14ac:dyDescent="0.25">
      <c r="A1711" t="s">
        <v>1775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3211C-7147-43B4-B9CE-DB4CEE86E85A}">
  <sheetPr codeName="Sheet25"/>
  <dimension ref="A2:A1711"/>
  <sheetViews>
    <sheetView workbookViewId="0"/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92</v>
      </c>
    </row>
    <row r="29" spans="1:1" x14ac:dyDescent="0.25">
      <c r="A29" t="s">
        <v>93</v>
      </c>
    </row>
    <row r="30" spans="1:1" x14ac:dyDescent="0.25">
      <c r="A30" t="s">
        <v>94</v>
      </c>
    </row>
    <row r="31" spans="1:1" x14ac:dyDescent="0.25">
      <c r="A31" t="s">
        <v>95</v>
      </c>
    </row>
    <row r="32" spans="1:1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234</v>
      </c>
    </row>
    <row r="171" spans="1:1" x14ac:dyDescent="0.25">
      <c r="A171" t="s">
        <v>235</v>
      </c>
    </row>
    <row r="172" spans="1:1" x14ac:dyDescent="0.25">
      <c r="A172" t="s">
        <v>236</v>
      </c>
    </row>
    <row r="173" spans="1:1" x14ac:dyDescent="0.25">
      <c r="A173" t="s">
        <v>237</v>
      </c>
    </row>
    <row r="174" spans="1:1" x14ac:dyDescent="0.25">
      <c r="A174" t="s">
        <v>238</v>
      </c>
    </row>
    <row r="175" spans="1:1" x14ac:dyDescent="0.25">
      <c r="A175" t="s">
        <v>239</v>
      </c>
    </row>
    <row r="176" spans="1:1" x14ac:dyDescent="0.25">
      <c r="A176" t="s">
        <v>240</v>
      </c>
    </row>
    <row r="177" spans="1:1" x14ac:dyDescent="0.25">
      <c r="A177" t="s">
        <v>241</v>
      </c>
    </row>
    <row r="178" spans="1:1" x14ac:dyDescent="0.25">
      <c r="A178" t="s">
        <v>242</v>
      </c>
    </row>
    <row r="179" spans="1:1" x14ac:dyDescent="0.25">
      <c r="A179" t="s">
        <v>243</v>
      </c>
    </row>
    <row r="180" spans="1:1" x14ac:dyDescent="0.25">
      <c r="A180" t="s">
        <v>244</v>
      </c>
    </row>
    <row r="181" spans="1:1" x14ac:dyDescent="0.25">
      <c r="A181" t="s">
        <v>245</v>
      </c>
    </row>
    <row r="182" spans="1:1" x14ac:dyDescent="0.25">
      <c r="A182" t="s">
        <v>246</v>
      </c>
    </row>
    <row r="183" spans="1:1" x14ac:dyDescent="0.25">
      <c r="A183" t="s">
        <v>247</v>
      </c>
    </row>
    <row r="184" spans="1:1" x14ac:dyDescent="0.25">
      <c r="A184" t="s">
        <v>248</v>
      </c>
    </row>
    <row r="185" spans="1:1" x14ac:dyDescent="0.25">
      <c r="A185" t="s">
        <v>249</v>
      </c>
    </row>
    <row r="186" spans="1:1" x14ac:dyDescent="0.25">
      <c r="A186" t="s">
        <v>250</v>
      </c>
    </row>
    <row r="187" spans="1:1" x14ac:dyDescent="0.25">
      <c r="A187" t="s">
        <v>251</v>
      </c>
    </row>
    <row r="188" spans="1:1" x14ac:dyDescent="0.25">
      <c r="A188" t="s">
        <v>252</v>
      </c>
    </row>
    <row r="189" spans="1:1" x14ac:dyDescent="0.25">
      <c r="A189" t="s">
        <v>253</v>
      </c>
    </row>
    <row r="190" spans="1:1" x14ac:dyDescent="0.25">
      <c r="A190" t="s">
        <v>254</v>
      </c>
    </row>
    <row r="191" spans="1:1" x14ac:dyDescent="0.25">
      <c r="A191" t="s">
        <v>255</v>
      </c>
    </row>
    <row r="192" spans="1:1" x14ac:dyDescent="0.25">
      <c r="A192" t="s">
        <v>256</v>
      </c>
    </row>
    <row r="193" spans="1:1" x14ac:dyDescent="0.25">
      <c r="A193" t="s">
        <v>257</v>
      </c>
    </row>
    <row r="194" spans="1:1" x14ac:dyDescent="0.25">
      <c r="A194" t="s">
        <v>258</v>
      </c>
    </row>
    <row r="195" spans="1:1" x14ac:dyDescent="0.25">
      <c r="A195" t="s">
        <v>259</v>
      </c>
    </row>
    <row r="196" spans="1:1" x14ac:dyDescent="0.25">
      <c r="A196" t="s">
        <v>260</v>
      </c>
    </row>
    <row r="197" spans="1:1" x14ac:dyDescent="0.25">
      <c r="A197" t="s">
        <v>261</v>
      </c>
    </row>
    <row r="198" spans="1:1" x14ac:dyDescent="0.25">
      <c r="A198" t="s">
        <v>262</v>
      </c>
    </row>
    <row r="199" spans="1:1" x14ac:dyDescent="0.25">
      <c r="A199" t="s">
        <v>263</v>
      </c>
    </row>
    <row r="200" spans="1:1" x14ac:dyDescent="0.25">
      <c r="A200" t="s">
        <v>264</v>
      </c>
    </row>
    <row r="201" spans="1:1" x14ac:dyDescent="0.25">
      <c r="A201" t="s">
        <v>265</v>
      </c>
    </row>
    <row r="202" spans="1:1" x14ac:dyDescent="0.25">
      <c r="A202" t="s">
        <v>266</v>
      </c>
    </row>
    <row r="203" spans="1:1" x14ac:dyDescent="0.25">
      <c r="A203" t="s">
        <v>267</v>
      </c>
    </row>
    <row r="204" spans="1:1" x14ac:dyDescent="0.25">
      <c r="A204" t="s">
        <v>268</v>
      </c>
    </row>
    <row r="205" spans="1:1" x14ac:dyDescent="0.25">
      <c r="A205" t="s">
        <v>269</v>
      </c>
    </row>
    <row r="206" spans="1:1" x14ac:dyDescent="0.25">
      <c r="A206" t="s">
        <v>270</v>
      </c>
    </row>
    <row r="207" spans="1:1" x14ac:dyDescent="0.25">
      <c r="A207" t="s">
        <v>271</v>
      </c>
    </row>
    <row r="208" spans="1:1" x14ac:dyDescent="0.25">
      <c r="A208" t="s">
        <v>272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277</v>
      </c>
    </row>
    <row r="214" spans="1:1" x14ac:dyDescent="0.25">
      <c r="A214" t="s">
        <v>278</v>
      </c>
    </row>
    <row r="215" spans="1:1" x14ac:dyDescent="0.25">
      <c r="A215" t="s">
        <v>279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282</v>
      </c>
    </row>
    <row r="219" spans="1:1" x14ac:dyDescent="0.25">
      <c r="A219" t="s">
        <v>283</v>
      </c>
    </row>
    <row r="220" spans="1:1" x14ac:dyDescent="0.25">
      <c r="A220" t="s">
        <v>284</v>
      </c>
    </row>
    <row r="221" spans="1:1" x14ac:dyDescent="0.25">
      <c r="A221" t="s">
        <v>285</v>
      </c>
    </row>
    <row r="222" spans="1:1" x14ac:dyDescent="0.25">
      <c r="A222" t="s">
        <v>286</v>
      </c>
    </row>
    <row r="223" spans="1:1" x14ac:dyDescent="0.25">
      <c r="A223" t="s">
        <v>287</v>
      </c>
    </row>
    <row r="224" spans="1:1" x14ac:dyDescent="0.25">
      <c r="A224" t="s">
        <v>288</v>
      </c>
    </row>
    <row r="225" spans="1:1" x14ac:dyDescent="0.25">
      <c r="A225" t="s">
        <v>289</v>
      </c>
    </row>
    <row r="226" spans="1:1" x14ac:dyDescent="0.25">
      <c r="A226" t="s">
        <v>290</v>
      </c>
    </row>
    <row r="227" spans="1:1" x14ac:dyDescent="0.25">
      <c r="A227" t="s">
        <v>291</v>
      </c>
    </row>
    <row r="228" spans="1:1" x14ac:dyDescent="0.25">
      <c r="A228" t="s">
        <v>292</v>
      </c>
    </row>
    <row r="229" spans="1:1" x14ac:dyDescent="0.25">
      <c r="A229" t="s">
        <v>293</v>
      </c>
    </row>
    <row r="230" spans="1:1" x14ac:dyDescent="0.25">
      <c r="A230" t="s">
        <v>294</v>
      </c>
    </row>
    <row r="231" spans="1:1" x14ac:dyDescent="0.25">
      <c r="A231" t="s">
        <v>295</v>
      </c>
    </row>
    <row r="232" spans="1:1" x14ac:dyDescent="0.25">
      <c r="A232" t="s">
        <v>296</v>
      </c>
    </row>
    <row r="233" spans="1:1" x14ac:dyDescent="0.25">
      <c r="A233" t="s">
        <v>297</v>
      </c>
    </row>
    <row r="234" spans="1:1" x14ac:dyDescent="0.25">
      <c r="A234" t="s">
        <v>298</v>
      </c>
    </row>
    <row r="235" spans="1:1" x14ac:dyDescent="0.25">
      <c r="A235" t="s">
        <v>299</v>
      </c>
    </row>
    <row r="236" spans="1:1" x14ac:dyDescent="0.25">
      <c r="A236" t="s">
        <v>300</v>
      </c>
    </row>
    <row r="237" spans="1:1" x14ac:dyDescent="0.25">
      <c r="A237" t="s">
        <v>301</v>
      </c>
    </row>
    <row r="238" spans="1:1" x14ac:dyDescent="0.25">
      <c r="A238" t="s">
        <v>302</v>
      </c>
    </row>
    <row r="239" spans="1:1" x14ac:dyDescent="0.25">
      <c r="A239" t="s">
        <v>303</v>
      </c>
    </row>
    <row r="240" spans="1:1" x14ac:dyDescent="0.25">
      <c r="A240" t="s">
        <v>304</v>
      </c>
    </row>
    <row r="241" spans="1:1" x14ac:dyDescent="0.25">
      <c r="A241" t="s">
        <v>305</v>
      </c>
    </row>
    <row r="242" spans="1:1" x14ac:dyDescent="0.25">
      <c r="A242" t="s">
        <v>306</v>
      </c>
    </row>
    <row r="243" spans="1:1" x14ac:dyDescent="0.25">
      <c r="A243" t="s">
        <v>307</v>
      </c>
    </row>
    <row r="244" spans="1:1" x14ac:dyDescent="0.25">
      <c r="A244" t="s">
        <v>308</v>
      </c>
    </row>
    <row r="245" spans="1:1" x14ac:dyDescent="0.25">
      <c r="A245" t="s">
        <v>309</v>
      </c>
    </row>
    <row r="246" spans="1:1" x14ac:dyDescent="0.25">
      <c r="A246" t="s">
        <v>310</v>
      </c>
    </row>
    <row r="247" spans="1:1" x14ac:dyDescent="0.25">
      <c r="A247" t="s">
        <v>311</v>
      </c>
    </row>
    <row r="248" spans="1:1" x14ac:dyDescent="0.25">
      <c r="A248" t="s">
        <v>312</v>
      </c>
    </row>
    <row r="249" spans="1:1" x14ac:dyDescent="0.25">
      <c r="A249" t="s">
        <v>313</v>
      </c>
    </row>
    <row r="250" spans="1:1" x14ac:dyDescent="0.25">
      <c r="A250" t="s">
        <v>314</v>
      </c>
    </row>
    <row r="251" spans="1:1" x14ac:dyDescent="0.25">
      <c r="A251" t="s">
        <v>315</v>
      </c>
    </row>
    <row r="252" spans="1:1" x14ac:dyDescent="0.25">
      <c r="A252" t="s">
        <v>316</v>
      </c>
    </row>
    <row r="253" spans="1:1" x14ac:dyDescent="0.25">
      <c r="A253" t="s">
        <v>317</v>
      </c>
    </row>
    <row r="254" spans="1:1" x14ac:dyDescent="0.25">
      <c r="A254" t="s">
        <v>318</v>
      </c>
    </row>
    <row r="255" spans="1:1" x14ac:dyDescent="0.25">
      <c r="A255" t="s">
        <v>319</v>
      </c>
    </row>
    <row r="256" spans="1:1" x14ac:dyDescent="0.25">
      <c r="A256" t="s">
        <v>320</v>
      </c>
    </row>
    <row r="257" spans="1:1" x14ac:dyDescent="0.25">
      <c r="A257" t="s">
        <v>321</v>
      </c>
    </row>
    <row r="258" spans="1:1" x14ac:dyDescent="0.25">
      <c r="A258" t="s">
        <v>322</v>
      </c>
    </row>
    <row r="259" spans="1:1" x14ac:dyDescent="0.25">
      <c r="A259" t="s">
        <v>323</v>
      </c>
    </row>
    <row r="260" spans="1:1" x14ac:dyDescent="0.25">
      <c r="A260" t="s">
        <v>324</v>
      </c>
    </row>
    <row r="261" spans="1:1" x14ac:dyDescent="0.25">
      <c r="A261" t="s">
        <v>325</v>
      </c>
    </row>
    <row r="262" spans="1:1" x14ac:dyDescent="0.25">
      <c r="A262" t="s">
        <v>326</v>
      </c>
    </row>
    <row r="263" spans="1:1" x14ac:dyDescent="0.25">
      <c r="A263" t="s">
        <v>327</v>
      </c>
    </row>
    <row r="264" spans="1:1" x14ac:dyDescent="0.25">
      <c r="A264" t="s">
        <v>328</v>
      </c>
    </row>
    <row r="265" spans="1:1" x14ac:dyDescent="0.25">
      <c r="A265" t="s">
        <v>329</v>
      </c>
    </row>
    <row r="266" spans="1:1" x14ac:dyDescent="0.25">
      <c r="A266" t="s">
        <v>330</v>
      </c>
    </row>
    <row r="267" spans="1:1" x14ac:dyDescent="0.25">
      <c r="A267" t="s">
        <v>331</v>
      </c>
    </row>
    <row r="268" spans="1:1" x14ac:dyDescent="0.25">
      <c r="A268" t="s">
        <v>332</v>
      </c>
    </row>
    <row r="269" spans="1:1" x14ac:dyDescent="0.25">
      <c r="A269" t="s">
        <v>333</v>
      </c>
    </row>
    <row r="270" spans="1:1" x14ac:dyDescent="0.25">
      <c r="A270" t="s">
        <v>334</v>
      </c>
    </row>
    <row r="271" spans="1:1" x14ac:dyDescent="0.25">
      <c r="A271" t="s">
        <v>335</v>
      </c>
    </row>
    <row r="272" spans="1:1" x14ac:dyDescent="0.25">
      <c r="A272" t="s">
        <v>336</v>
      </c>
    </row>
    <row r="273" spans="1:1" x14ac:dyDescent="0.25">
      <c r="A273" t="s">
        <v>337</v>
      </c>
    </row>
    <row r="274" spans="1:1" x14ac:dyDescent="0.25">
      <c r="A274" t="s">
        <v>338</v>
      </c>
    </row>
    <row r="275" spans="1:1" x14ac:dyDescent="0.25">
      <c r="A275" t="s">
        <v>339</v>
      </c>
    </row>
    <row r="276" spans="1:1" x14ac:dyDescent="0.25">
      <c r="A276" t="s">
        <v>340</v>
      </c>
    </row>
    <row r="277" spans="1:1" x14ac:dyDescent="0.25">
      <c r="A277" t="s">
        <v>341</v>
      </c>
    </row>
    <row r="278" spans="1:1" x14ac:dyDescent="0.25">
      <c r="A278" t="s">
        <v>342</v>
      </c>
    </row>
    <row r="279" spans="1:1" x14ac:dyDescent="0.25">
      <c r="A279" t="s">
        <v>343</v>
      </c>
    </row>
    <row r="280" spans="1:1" x14ac:dyDescent="0.25">
      <c r="A280" t="s">
        <v>344</v>
      </c>
    </row>
    <row r="281" spans="1:1" x14ac:dyDescent="0.25">
      <c r="A281" t="s">
        <v>345</v>
      </c>
    </row>
    <row r="282" spans="1:1" x14ac:dyDescent="0.25">
      <c r="A282" t="s">
        <v>346</v>
      </c>
    </row>
    <row r="283" spans="1:1" x14ac:dyDescent="0.25">
      <c r="A283" t="s">
        <v>347</v>
      </c>
    </row>
    <row r="284" spans="1:1" x14ac:dyDescent="0.25">
      <c r="A284" t="s">
        <v>348</v>
      </c>
    </row>
    <row r="285" spans="1:1" x14ac:dyDescent="0.25">
      <c r="A285" t="s">
        <v>349</v>
      </c>
    </row>
    <row r="286" spans="1:1" x14ac:dyDescent="0.25">
      <c r="A286" t="s">
        <v>350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353</v>
      </c>
    </row>
    <row r="290" spans="1:1" x14ac:dyDescent="0.25">
      <c r="A290" t="s">
        <v>354</v>
      </c>
    </row>
    <row r="291" spans="1:1" x14ac:dyDescent="0.25">
      <c r="A291" t="s">
        <v>355</v>
      </c>
    </row>
    <row r="292" spans="1:1" x14ac:dyDescent="0.25">
      <c r="A292" t="s">
        <v>356</v>
      </c>
    </row>
    <row r="293" spans="1:1" x14ac:dyDescent="0.25">
      <c r="A293" t="s">
        <v>357</v>
      </c>
    </row>
    <row r="294" spans="1:1" x14ac:dyDescent="0.25">
      <c r="A294" t="s">
        <v>358</v>
      </c>
    </row>
    <row r="295" spans="1:1" x14ac:dyDescent="0.25">
      <c r="A295" t="s">
        <v>359</v>
      </c>
    </row>
    <row r="296" spans="1:1" x14ac:dyDescent="0.25">
      <c r="A296" t="s">
        <v>360</v>
      </c>
    </row>
    <row r="297" spans="1:1" x14ac:dyDescent="0.25">
      <c r="A297" t="s">
        <v>361</v>
      </c>
    </row>
    <row r="298" spans="1:1" x14ac:dyDescent="0.25">
      <c r="A298" t="s">
        <v>362</v>
      </c>
    </row>
    <row r="299" spans="1:1" x14ac:dyDescent="0.25">
      <c r="A299" t="s">
        <v>363</v>
      </c>
    </row>
    <row r="300" spans="1:1" x14ac:dyDescent="0.25">
      <c r="A300" t="s">
        <v>364</v>
      </c>
    </row>
    <row r="301" spans="1:1" x14ac:dyDescent="0.25">
      <c r="A301" t="s">
        <v>365</v>
      </c>
    </row>
    <row r="302" spans="1:1" x14ac:dyDescent="0.25">
      <c r="A302" t="s">
        <v>366</v>
      </c>
    </row>
    <row r="303" spans="1:1" x14ac:dyDescent="0.25">
      <c r="A303" t="s">
        <v>367</v>
      </c>
    </row>
    <row r="304" spans="1:1" x14ac:dyDescent="0.25">
      <c r="A304" t="s">
        <v>368</v>
      </c>
    </row>
    <row r="305" spans="1:1" x14ac:dyDescent="0.25">
      <c r="A305" t="s">
        <v>369</v>
      </c>
    </row>
    <row r="306" spans="1:1" x14ac:dyDescent="0.25">
      <c r="A306" t="s">
        <v>370</v>
      </c>
    </row>
    <row r="307" spans="1:1" x14ac:dyDescent="0.25">
      <c r="A307" t="s">
        <v>371</v>
      </c>
    </row>
    <row r="308" spans="1:1" x14ac:dyDescent="0.25">
      <c r="A308" t="s">
        <v>372</v>
      </c>
    </row>
    <row r="309" spans="1:1" x14ac:dyDescent="0.25">
      <c r="A309" t="s">
        <v>373</v>
      </c>
    </row>
    <row r="310" spans="1:1" x14ac:dyDescent="0.25">
      <c r="A310" t="s">
        <v>374</v>
      </c>
    </row>
    <row r="311" spans="1:1" x14ac:dyDescent="0.25">
      <c r="A311" t="s">
        <v>375</v>
      </c>
    </row>
    <row r="312" spans="1:1" x14ac:dyDescent="0.25">
      <c r="A312" t="s">
        <v>376</v>
      </c>
    </row>
    <row r="313" spans="1:1" x14ac:dyDescent="0.25">
      <c r="A313" t="s">
        <v>377</v>
      </c>
    </row>
    <row r="314" spans="1:1" x14ac:dyDescent="0.25">
      <c r="A314" t="s">
        <v>378</v>
      </c>
    </row>
    <row r="315" spans="1:1" x14ac:dyDescent="0.25">
      <c r="A315" t="s">
        <v>379</v>
      </c>
    </row>
    <row r="316" spans="1:1" x14ac:dyDescent="0.25">
      <c r="A316" t="s">
        <v>380</v>
      </c>
    </row>
    <row r="317" spans="1:1" x14ac:dyDescent="0.25">
      <c r="A317" t="s">
        <v>381</v>
      </c>
    </row>
    <row r="318" spans="1:1" x14ac:dyDescent="0.25">
      <c r="A318" t="s">
        <v>382</v>
      </c>
    </row>
    <row r="319" spans="1:1" x14ac:dyDescent="0.25">
      <c r="A319" t="s">
        <v>383</v>
      </c>
    </row>
    <row r="320" spans="1:1" x14ac:dyDescent="0.25">
      <c r="A320" t="s">
        <v>384</v>
      </c>
    </row>
    <row r="321" spans="1:1" x14ac:dyDescent="0.25">
      <c r="A321" t="s">
        <v>385</v>
      </c>
    </row>
    <row r="322" spans="1:1" x14ac:dyDescent="0.25">
      <c r="A322" t="s">
        <v>386</v>
      </c>
    </row>
    <row r="323" spans="1:1" x14ac:dyDescent="0.25">
      <c r="A323" t="s">
        <v>387</v>
      </c>
    </row>
    <row r="324" spans="1:1" x14ac:dyDescent="0.25">
      <c r="A324" t="s">
        <v>388</v>
      </c>
    </row>
    <row r="325" spans="1:1" x14ac:dyDescent="0.25">
      <c r="A325" t="s">
        <v>389</v>
      </c>
    </row>
    <row r="326" spans="1:1" x14ac:dyDescent="0.25">
      <c r="A326" t="s">
        <v>390</v>
      </c>
    </row>
    <row r="327" spans="1:1" x14ac:dyDescent="0.25">
      <c r="A327" t="s">
        <v>391</v>
      </c>
    </row>
    <row r="328" spans="1:1" x14ac:dyDescent="0.25">
      <c r="A328" t="s">
        <v>392</v>
      </c>
    </row>
    <row r="329" spans="1:1" x14ac:dyDescent="0.25">
      <c r="A329" t="s">
        <v>393</v>
      </c>
    </row>
    <row r="330" spans="1:1" x14ac:dyDescent="0.25">
      <c r="A330" t="s">
        <v>394</v>
      </c>
    </row>
    <row r="331" spans="1:1" x14ac:dyDescent="0.25">
      <c r="A331" t="s">
        <v>395</v>
      </c>
    </row>
    <row r="332" spans="1:1" x14ac:dyDescent="0.25">
      <c r="A332" t="s">
        <v>396</v>
      </c>
    </row>
    <row r="333" spans="1:1" x14ac:dyDescent="0.25">
      <c r="A333" t="s">
        <v>397</v>
      </c>
    </row>
    <row r="334" spans="1:1" x14ac:dyDescent="0.25">
      <c r="A334" t="s">
        <v>398</v>
      </c>
    </row>
    <row r="335" spans="1:1" x14ac:dyDescent="0.25">
      <c r="A335" t="s">
        <v>399</v>
      </c>
    </row>
    <row r="336" spans="1:1" x14ac:dyDescent="0.25">
      <c r="A336" t="s">
        <v>400</v>
      </c>
    </row>
    <row r="337" spans="1:1" x14ac:dyDescent="0.25">
      <c r="A337" t="s">
        <v>401</v>
      </c>
    </row>
    <row r="338" spans="1:1" x14ac:dyDescent="0.25">
      <c r="A338" t="s">
        <v>402</v>
      </c>
    </row>
    <row r="339" spans="1:1" x14ac:dyDescent="0.25">
      <c r="A339" t="s">
        <v>403</v>
      </c>
    </row>
    <row r="340" spans="1:1" x14ac:dyDescent="0.25">
      <c r="A340" t="s">
        <v>404</v>
      </c>
    </row>
    <row r="341" spans="1:1" x14ac:dyDescent="0.25">
      <c r="A341" t="s">
        <v>405</v>
      </c>
    </row>
    <row r="342" spans="1:1" x14ac:dyDescent="0.25">
      <c r="A342" t="s">
        <v>406</v>
      </c>
    </row>
    <row r="343" spans="1:1" x14ac:dyDescent="0.25">
      <c r="A343" t="s">
        <v>407</v>
      </c>
    </row>
    <row r="344" spans="1:1" x14ac:dyDescent="0.25">
      <c r="A344" t="s">
        <v>408</v>
      </c>
    </row>
    <row r="345" spans="1:1" x14ac:dyDescent="0.25">
      <c r="A345" t="s">
        <v>409</v>
      </c>
    </row>
    <row r="346" spans="1:1" x14ac:dyDescent="0.25">
      <c r="A346" t="s">
        <v>410</v>
      </c>
    </row>
    <row r="347" spans="1:1" x14ac:dyDescent="0.25">
      <c r="A347" t="s">
        <v>411</v>
      </c>
    </row>
    <row r="348" spans="1:1" x14ac:dyDescent="0.25">
      <c r="A348" t="s">
        <v>412</v>
      </c>
    </row>
    <row r="349" spans="1:1" x14ac:dyDescent="0.25">
      <c r="A349" t="s">
        <v>413</v>
      </c>
    </row>
    <row r="350" spans="1:1" x14ac:dyDescent="0.25">
      <c r="A350" t="s">
        <v>414</v>
      </c>
    </row>
    <row r="351" spans="1:1" x14ac:dyDescent="0.25">
      <c r="A351" t="s">
        <v>415</v>
      </c>
    </row>
    <row r="352" spans="1:1" x14ac:dyDescent="0.25">
      <c r="A352" t="s">
        <v>416</v>
      </c>
    </row>
    <row r="353" spans="1:1" x14ac:dyDescent="0.25">
      <c r="A353" t="s">
        <v>417</v>
      </c>
    </row>
    <row r="354" spans="1:1" x14ac:dyDescent="0.25">
      <c r="A354" t="s">
        <v>418</v>
      </c>
    </row>
    <row r="355" spans="1:1" x14ac:dyDescent="0.25">
      <c r="A355" t="s">
        <v>419</v>
      </c>
    </row>
    <row r="356" spans="1:1" x14ac:dyDescent="0.25">
      <c r="A356" t="s">
        <v>420</v>
      </c>
    </row>
    <row r="357" spans="1:1" x14ac:dyDescent="0.25">
      <c r="A357" t="s">
        <v>421</v>
      </c>
    </row>
    <row r="358" spans="1:1" x14ac:dyDescent="0.25">
      <c r="A358" t="s">
        <v>422</v>
      </c>
    </row>
    <row r="359" spans="1:1" x14ac:dyDescent="0.25">
      <c r="A359" t="s">
        <v>423</v>
      </c>
    </row>
    <row r="360" spans="1:1" x14ac:dyDescent="0.25">
      <c r="A360" t="s">
        <v>424</v>
      </c>
    </row>
    <row r="361" spans="1:1" x14ac:dyDescent="0.25">
      <c r="A361" t="s">
        <v>425</v>
      </c>
    </row>
    <row r="362" spans="1:1" x14ac:dyDescent="0.25">
      <c r="A362" t="s">
        <v>426</v>
      </c>
    </row>
    <row r="363" spans="1:1" x14ac:dyDescent="0.25">
      <c r="A363" t="s">
        <v>427</v>
      </c>
    </row>
    <row r="364" spans="1:1" x14ac:dyDescent="0.25">
      <c r="A364" t="s">
        <v>428</v>
      </c>
    </row>
    <row r="365" spans="1:1" x14ac:dyDescent="0.25">
      <c r="A365" t="s">
        <v>429</v>
      </c>
    </row>
    <row r="366" spans="1:1" x14ac:dyDescent="0.25">
      <c r="A366" t="s">
        <v>430</v>
      </c>
    </row>
    <row r="367" spans="1:1" x14ac:dyDescent="0.25">
      <c r="A367" t="s">
        <v>431</v>
      </c>
    </row>
    <row r="368" spans="1:1" x14ac:dyDescent="0.25">
      <c r="A368" t="s">
        <v>432</v>
      </c>
    </row>
    <row r="369" spans="1:1" x14ac:dyDescent="0.25">
      <c r="A369" t="s">
        <v>433</v>
      </c>
    </row>
    <row r="370" spans="1:1" x14ac:dyDescent="0.25">
      <c r="A370" t="s">
        <v>434</v>
      </c>
    </row>
    <row r="371" spans="1:1" x14ac:dyDescent="0.25">
      <c r="A371" t="s">
        <v>435</v>
      </c>
    </row>
    <row r="372" spans="1:1" x14ac:dyDescent="0.25">
      <c r="A372" t="s">
        <v>436</v>
      </c>
    </row>
    <row r="373" spans="1:1" x14ac:dyDescent="0.25">
      <c r="A373" t="s">
        <v>437</v>
      </c>
    </row>
    <row r="374" spans="1:1" x14ac:dyDescent="0.25">
      <c r="A374" t="s">
        <v>438</v>
      </c>
    </row>
    <row r="375" spans="1:1" x14ac:dyDescent="0.25">
      <c r="A375" t="s">
        <v>439</v>
      </c>
    </row>
    <row r="376" spans="1:1" x14ac:dyDescent="0.25">
      <c r="A376" t="s">
        <v>440</v>
      </c>
    </row>
    <row r="377" spans="1:1" x14ac:dyDescent="0.25">
      <c r="A377" t="s">
        <v>441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450</v>
      </c>
    </row>
    <row r="387" spans="1:1" x14ac:dyDescent="0.25">
      <c r="A387" t="s">
        <v>451</v>
      </c>
    </row>
    <row r="388" spans="1:1" x14ac:dyDescent="0.25">
      <c r="A388" t="s">
        <v>452</v>
      </c>
    </row>
    <row r="389" spans="1:1" x14ac:dyDescent="0.25">
      <c r="A389" t="s">
        <v>453</v>
      </c>
    </row>
    <row r="390" spans="1:1" x14ac:dyDescent="0.25">
      <c r="A390" t="s">
        <v>454</v>
      </c>
    </row>
    <row r="391" spans="1:1" x14ac:dyDescent="0.25">
      <c r="A391" t="s">
        <v>455</v>
      </c>
    </row>
    <row r="392" spans="1:1" x14ac:dyDescent="0.25">
      <c r="A392" t="s">
        <v>456</v>
      </c>
    </row>
    <row r="393" spans="1:1" x14ac:dyDescent="0.25">
      <c r="A393" t="s">
        <v>457</v>
      </c>
    </row>
    <row r="394" spans="1:1" x14ac:dyDescent="0.25">
      <c r="A394" t="s">
        <v>458</v>
      </c>
    </row>
    <row r="395" spans="1:1" x14ac:dyDescent="0.25">
      <c r="A395" t="s">
        <v>459</v>
      </c>
    </row>
    <row r="396" spans="1:1" x14ac:dyDescent="0.25">
      <c r="A396" t="s">
        <v>460</v>
      </c>
    </row>
    <row r="397" spans="1:1" x14ac:dyDescent="0.25">
      <c r="A397" t="s">
        <v>461</v>
      </c>
    </row>
    <row r="398" spans="1:1" x14ac:dyDescent="0.25">
      <c r="A398" t="s">
        <v>462</v>
      </c>
    </row>
    <row r="399" spans="1:1" x14ac:dyDescent="0.25">
      <c r="A399" t="s">
        <v>463</v>
      </c>
    </row>
    <row r="400" spans="1:1" x14ac:dyDescent="0.25">
      <c r="A400" t="s">
        <v>464</v>
      </c>
    </row>
    <row r="401" spans="1:1" x14ac:dyDescent="0.25">
      <c r="A401" t="s">
        <v>465</v>
      </c>
    </row>
    <row r="402" spans="1:1" x14ac:dyDescent="0.25">
      <c r="A402" t="s">
        <v>466</v>
      </c>
    </row>
    <row r="403" spans="1:1" x14ac:dyDescent="0.25">
      <c r="A403" t="s">
        <v>467</v>
      </c>
    </row>
    <row r="404" spans="1:1" x14ac:dyDescent="0.25">
      <c r="A404" t="s">
        <v>468</v>
      </c>
    </row>
    <row r="405" spans="1:1" x14ac:dyDescent="0.25">
      <c r="A405" t="s">
        <v>469</v>
      </c>
    </row>
    <row r="406" spans="1:1" x14ac:dyDescent="0.25">
      <c r="A406" t="s">
        <v>470</v>
      </c>
    </row>
    <row r="407" spans="1:1" x14ac:dyDescent="0.25">
      <c r="A407" t="s">
        <v>471</v>
      </c>
    </row>
    <row r="408" spans="1:1" x14ac:dyDescent="0.25">
      <c r="A408" t="s">
        <v>472</v>
      </c>
    </row>
    <row r="409" spans="1:1" x14ac:dyDescent="0.25">
      <c r="A409" t="s">
        <v>473</v>
      </c>
    </row>
    <row r="410" spans="1:1" x14ac:dyDescent="0.25">
      <c r="A410" t="s">
        <v>474</v>
      </c>
    </row>
    <row r="411" spans="1:1" x14ac:dyDescent="0.25">
      <c r="A411" t="s">
        <v>475</v>
      </c>
    </row>
    <row r="412" spans="1:1" x14ac:dyDescent="0.25">
      <c r="A412" t="s">
        <v>476</v>
      </c>
    </row>
    <row r="413" spans="1:1" x14ac:dyDescent="0.25">
      <c r="A413" t="s">
        <v>477</v>
      </c>
    </row>
    <row r="414" spans="1:1" x14ac:dyDescent="0.25">
      <c r="A414" t="s">
        <v>478</v>
      </c>
    </row>
    <row r="415" spans="1:1" x14ac:dyDescent="0.25">
      <c r="A415" t="s">
        <v>479</v>
      </c>
    </row>
    <row r="416" spans="1:1" x14ac:dyDescent="0.25">
      <c r="A416" t="s">
        <v>480</v>
      </c>
    </row>
    <row r="417" spans="1:1" x14ac:dyDescent="0.25">
      <c r="A417" t="s">
        <v>481</v>
      </c>
    </row>
    <row r="418" spans="1:1" x14ac:dyDescent="0.25">
      <c r="A418" t="s">
        <v>482</v>
      </c>
    </row>
    <row r="419" spans="1:1" x14ac:dyDescent="0.25">
      <c r="A419" t="s">
        <v>483</v>
      </c>
    </row>
    <row r="420" spans="1:1" x14ac:dyDescent="0.25">
      <c r="A420" t="s">
        <v>484</v>
      </c>
    </row>
    <row r="421" spans="1:1" x14ac:dyDescent="0.25">
      <c r="A421" t="s">
        <v>485</v>
      </c>
    </row>
    <row r="422" spans="1:1" x14ac:dyDescent="0.25">
      <c r="A422" t="s">
        <v>486</v>
      </c>
    </row>
    <row r="423" spans="1:1" x14ac:dyDescent="0.25">
      <c r="A423" t="s">
        <v>487</v>
      </c>
    </row>
    <row r="424" spans="1:1" x14ac:dyDescent="0.25">
      <c r="A424" t="s">
        <v>488</v>
      </c>
    </row>
    <row r="425" spans="1:1" x14ac:dyDescent="0.25">
      <c r="A425" t="s">
        <v>489</v>
      </c>
    </row>
    <row r="426" spans="1:1" x14ac:dyDescent="0.25">
      <c r="A426" t="s">
        <v>490</v>
      </c>
    </row>
    <row r="427" spans="1:1" x14ac:dyDescent="0.25">
      <c r="A427" t="s">
        <v>491</v>
      </c>
    </row>
    <row r="428" spans="1:1" x14ac:dyDescent="0.25">
      <c r="A428" t="s">
        <v>492</v>
      </c>
    </row>
    <row r="429" spans="1:1" x14ac:dyDescent="0.25">
      <c r="A429" t="s">
        <v>493</v>
      </c>
    </row>
    <row r="430" spans="1:1" x14ac:dyDescent="0.25">
      <c r="A430" t="s">
        <v>494</v>
      </c>
    </row>
    <row r="431" spans="1:1" x14ac:dyDescent="0.25">
      <c r="A431" t="s">
        <v>495</v>
      </c>
    </row>
    <row r="432" spans="1:1" x14ac:dyDescent="0.25">
      <c r="A432" t="s">
        <v>496</v>
      </c>
    </row>
    <row r="433" spans="1:1" x14ac:dyDescent="0.25">
      <c r="A433" t="s">
        <v>497</v>
      </c>
    </row>
    <row r="434" spans="1:1" x14ac:dyDescent="0.25">
      <c r="A434" t="s">
        <v>498</v>
      </c>
    </row>
    <row r="435" spans="1:1" x14ac:dyDescent="0.25">
      <c r="A435" t="s">
        <v>499</v>
      </c>
    </row>
    <row r="436" spans="1:1" x14ac:dyDescent="0.25">
      <c r="A436" t="s">
        <v>500</v>
      </c>
    </row>
    <row r="437" spans="1:1" x14ac:dyDescent="0.25">
      <c r="A437" t="s">
        <v>501</v>
      </c>
    </row>
    <row r="438" spans="1:1" x14ac:dyDescent="0.25">
      <c r="A438" t="s">
        <v>502</v>
      </c>
    </row>
    <row r="439" spans="1:1" x14ac:dyDescent="0.25">
      <c r="A439" t="s">
        <v>503</v>
      </c>
    </row>
    <row r="440" spans="1:1" x14ac:dyDescent="0.25">
      <c r="A440" t="s">
        <v>504</v>
      </c>
    </row>
    <row r="441" spans="1:1" x14ac:dyDescent="0.25">
      <c r="A441" t="s">
        <v>505</v>
      </c>
    </row>
    <row r="442" spans="1:1" x14ac:dyDescent="0.25">
      <c r="A442" t="s">
        <v>506</v>
      </c>
    </row>
    <row r="443" spans="1:1" x14ac:dyDescent="0.25">
      <c r="A443" t="s">
        <v>507</v>
      </c>
    </row>
    <row r="444" spans="1:1" x14ac:dyDescent="0.25">
      <c r="A444" t="s">
        <v>508</v>
      </c>
    </row>
    <row r="445" spans="1:1" x14ac:dyDescent="0.25">
      <c r="A445" t="s">
        <v>509</v>
      </c>
    </row>
    <row r="446" spans="1:1" x14ac:dyDescent="0.25">
      <c r="A446" t="s">
        <v>510</v>
      </c>
    </row>
    <row r="447" spans="1:1" x14ac:dyDescent="0.25">
      <c r="A447" t="s">
        <v>511</v>
      </c>
    </row>
    <row r="448" spans="1:1" x14ac:dyDescent="0.25">
      <c r="A448" t="s">
        <v>512</v>
      </c>
    </row>
    <row r="449" spans="1:1" x14ac:dyDescent="0.25">
      <c r="A449" t="s">
        <v>513</v>
      </c>
    </row>
    <row r="450" spans="1:1" x14ac:dyDescent="0.25">
      <c r="A450" t="s">
        <v>514</v>
      </c>
    </row>
    <row r="451" spans="1:1" x14ac:dyDescent="0.25">
      <c r="A451" t="s">
        <v>515</v>
      </c>
    </row>
    <row r="452" spans="1:1" x14ac:dyDescent="0.25">
      <c r="A452" t="s">
        <v>516</v>
      </c>
    </row>
    <row r="453" spans="1:1" x14ac:dyDescent="0.25">
      <c r="A453" t="s">
        <v>517</v>
      </c>
    </row>
    <row r="454" spans="1:1" x14ac:dyDescent="0.25">
      <c r="A454" t="s">
        <v>518</v>
      </c>
    </row>
    <row r="455" spans="1:1" x14ac:dyDescent="0.25">
      <c r="A455" t="s">
        <v>519</v>
      </c>
    </row>
    <row r="456" spans="1:1" x14ac:dyDescent="0.25">
      <c r="A456" t="s">
        <v>520</v>
      </c>
    </row>
    <row r="457" spans="1:1" x14ac:dyDescent="0.25">
      <c r="A457" t="s">
        <v>521</v>
      </c>
    </row>
    <row r="458" spans="1:1" x14ac:dyDescent="0.25">
      <c r="A458" t="s">
        <v>522</v>
      </c>
    </row>
    <row r="459" spans="1:1" x14ac:dyDescent="0.25">
      <c r="A459" t="s">
        <v>523</v>
      </c>
    </row>
    <row r="460" spans="1:1" x14ac:dyDescent="0.25">
      <c r="A460" t="s">
        <v>524</v>
      </c>
    </row>
    <row r="461" spans="1:1" x14ac:dyDescent="0.25">
      <c r="A461" t="s">
        <v>525</v>
      </c>
    </row>
    <row r="462" spans="1:1" x14ac:dyDescent="0.25">
      <c r="A462" t="s">
        <v>526</v>
      </c>
    </row>
    <row r="463" spans="1:1" x14ac:dyDescent="0.25">
      <c r="A463" t="s">
        <v>527</v>
      </c>
    </row>
    <row r="464" spans="1:1" x14ac:dyDescent="0.25">
      <c r="A464" t="s">
        <v>528</v>
      </c>
    </row>
    <row r="465" spans="1:1" x14ac:dyDescent="0.25">
      <c r="A465" t="s">
        <v>529</v>
      </c>
    </row>
    <row r="466" spans="1:1" x14ac:dyDescent="0.25">
      <c r="A466" t="s">
        <v>530</v>
      </c>
    </row>
    <row r="467" spans="1:1" x14ac:dyDescent="0.25">
      <c r="A467" t="s">
        <v>531</v>
      </c>
    </row>
    <row r="468" spans="1:1" x14ac:dyDescent="0.25">
      <c r="A468" t="s">
        <v>532</v>
      </c>
    </row>
    <row r="469" spans="1:1" x14ac:dyDescent="0.25">
      <c r="A469" t="s">
        <v>533</v>
      </c>
    </row>
    <row r="470" spans="1:1" x14ac:dyDescent="0.25">
      <c r="A470" t="s">
        <v>534</v>
      </c>
    </row>
    <row r="471" spans="1:1" x14ac:dyDescent="0.25">
      <c r="A471" t="s">
        <v>535</v>
      </c>
    </row>
    <row r="472" spans="1:1" x14ac:dyDescent="0.25">
      <c r="A472" t="s">
        <v>536</v>
      </c>
    </row>
    <row r="473" spans="1:1" x14ac:dyDescent="0.25">
      <c r="A473" t="s">
        <v>537</v>
      </c>
    </row>
    <row r="474" spans="1:1" x14ac:dyDescent="0.25">
      <c r="A474" t="s">
        <v>538</v>
      </c>
    </row>
    <row r="475" spans="1:1" x14ac:dyDescent="0.25">
      <c r="A475" t="s">
        <v>539</v>
      </c>
    </row>
    <row r="476" spans="1:1" x14ac:dyDescent="0.25">
      <c r="A476" t="s">
        <v>540</v>
      </c>
    </row>
    <row r="477" spans="1:1" x14ac:dyDescent="0.25">
      <c r="A477" t="s">
        <v>541</v>
      </c>
    </row>
    <row r="478" spans="1:1" x14ac:dyDescent="0.25">
      <c r="A478" t="s">
        <v>542</v>
      </c>
    </row>
    <row r="479" spans="1:1" x14ac:dyDescent="0.25">
      <c r="A479" t="s">
        <v>543</v>
      </c>
    </row>
    <row r="480" spans="1:1" x14ac:dyDescent="0.25">
      <c r="A480" t="s">
        <v>544</v>
      </c>
    </row>
    <row r="481" spans="1:1" x14ac:dyDescent="0.25">
      <c r="A481" t="s">
        <v>545</v>
      </c>
    </row>
    <row r="482" spans="1:1" x14ac:dyDescent="0.25">
      <c r="A482" t="s">
        <v>546</v>
      </c>
    </row>
    <row r="483" spans="1:1" x14ac:dyDescent="0.25">
      <c r="A483" t="s">
        <v>547</v>
      </c>
    </row>
    <row r="484" spans="1:1" x14ac:dyDescent="0.25">
      <c r="A484" t="s">
        <v>548</v>
      </c>
    </row>
    <row r="485" spans="1:1" x14ac:dyDescent="0.25">
      <c r="A485" t="s">
        <v>549</v>
      </c>
    </row>
    <row r="486" spans="1:1" x14ac:dyDescent="0.25">
      <c r="A486" t="s">
        <v>550</v>
      </c>
    </row>
    <row r="487" spans="1:1" x14ac:dyDescent="0.25">
      <c r="A487" t="s">
        <v>551</v>
      </c>
    </row>
    <row r="488" spans="1:1" x14ac:dyDescent="0.25">
      <c r="A488" t="s">
        <v>552</v>
      </c>
    </row>
    <row r="489" spans="1:1" x14ac:dyDescent="0.25">
      <c r="A489" t="s">
        <v>553</v>
      </c>
    </row>
    <row r="490" spans="1:1" x14ac:dyDescent="0.25">
      <c r="A490" t="s">
        <v>554</v>
      </c>
    </row>
    <row r="491" spans="1:1" x14ac:dyDescent="0.25">
      <c r="A491" t="s">
        <v>555</v>
      </c>
    </row>
    <row r="492" spans="1:1" x14ac:dyDescent="0.25">
      <c r="A492" t="s">
        <v>556</v>
      </c>
    </row>
    <row r="493" spans="1:1" x14ac:dyDescent="0.25">
      <c r="A493" t="s">
        <v>557</v>
      </c>
    </row>
    <row r="494" spans="1:1" x14ac:dyDescent="0.25">
      <c r="A494" t="s">
        <v>558</v>
      </c>
    </row>
    <row r="495" spans="1:1" x14ac:dyDescent="0.25">
      <c r="A495" t="s">
        <v>559</v>
      </c>
    </row>
    <row r="496" spans="1:1" x14ac:dyDescent="0.25">
      <c r="A496" t="s">
        <v>560</v>
      </c>
    </row>
    <row r="497" spans="1:1" x14ac:dyDescent="0.25">
      <c r="A497" t="s">
        <v>561</v>
      </c>
    </row>
    <row r="498" spans="1:1" x14ac:dyDescent="0.25">
      <c r="A498" t="s">
        <v>562</v>
      </c>
    </row>
    <row r="499" spans="1:1" x14ac:dyDescent="0.25">
      <c r="A499" t="s">
        <v>563</v>
      </c>
    </row>
    <row r="500" spans="1:1" x14ac:dyDescent="0.25">
      <c r="A500" t="s">
        <v>564</v>
      </c>
    </row>
    <row r="501" spans="1:1" x14ac:dyDescent="0.25">
      <c r="A501" t="s">
        <v>565</v>
      </c>
    </row>
    <row r="502" spans="1:1" x14ac:dyDescent="0.25">
      <c r="A502" t="s">
        <v>566</v>
      </c>
    </row>
    <row r="503" spans="1:1" x14ac:dyDescent="0.25">
      <c r="A503" t="s">
        <v>567</v>
      </c>
    </row>
    <row r="504" spans="1:1" x14ac:dyDescent="0.25">
      <c r="A504" t="s">
        <v>568</v>
      </c>
    </row>
    <row r="505" spans="1:1" x14ac:dyDescent="0.25">
      <c r="A505" t="s">
        <v>569</v>
      </c>
    </row>
    <row r="506" spans="1:1" x14ac:dyDescent="0.25">
      <c r="A506" t="s">
        <v>570</v>
      </c>
    </row>
    <row r="507" spans="1:1" x14ac:dyDescent="0.25">
      <c r="A507" t="s">
        <v>571</v>
      </c>
    </row>
    <row r="508" spans="1:1" x14ac:dyDescent="0.25">
      <c r="A508" t="s">
        <v>572</v>
      </c>
    </row>
    <row r="509" spans="1:1" x14ac:dyDescent="0.25">
      <c r="A509" t="s">
        <v>573</v>
      </c>
    </row>
    <row r="510" spans="1:1" x14ac:dyDescent="0.25">
      <c r="A510" t="s">
        <v>574</v>
      </c>
    </row>
    <row r="511" spans="1:1" x14ac:dyDescent="0.25">
      <c r="A511" t="s">
        <v>575</v>
      </c>
    </row>
    <row r="512" spans="1:1" x14ac:dyDescent="0.25">
      <c r="A512" t="s">
        <v>576</v>
      </c>
    </row>
    <row r="513" spans="1:1" x14ac:dyDescent="0.25">
      <c r="A513" t="s">
        <v>577</v>
      </c>
    </row>
    <row r="514" spans="1:1" x14ac:dyDescent="0.25">
      <c r="A514" t="s">
        <v>578</v>
      </c>
    </row>
    <row r="515" spans="1:1" x14ac:dyDescent="0.25">
      <c r="A515" t="s">
        <v>579</v>
      </c>
    </row>
    <row r="516" spans="1:1" x14ac:dyDescent="0.25">
      <c r="A516" t="s">
        <v>580</v>
      </c>
    </row>
    <row r="517" spans="1:1" x14ac:dyDescent="0.25">
      <c r="A517" t="s">
        <v>581</v>
      </c>
    </row>
    <row r="518" spans="1:1" x14ac:dyDescent="0.25">
      <c r="A518" t="s">
        <v>582</v>
      </c>
    </row>
    <row r="519" spans="1:1" x14ac:dyDescent="0.25">
      <c r="A519" t="s">
        <v>583</v>
      </c>
    </row>
    <row r="520" spans="1:1" x14ac:dyDescent="0.25">
      <c r="A520" t="s">
        <v>584</v>
      </c>
    </row>
    <row r="521" spans="1:1" x14ac:dyDescent="0.25">
      <c r="A521" t="s">
        <v>585</v>
      </c>
    </row>
    <row r="522" spans="1:1" x14ac:dyDescent="0.25">
      <c r="A522" t="s">
        <v>586</v>
      </c>
    </row>
    <row r="523" spans="1:1" x14ac:dyDescent="0.25">
      <c r="A523" t="s">
        <v>587</v>
      </c>
    </row>
    <row r="524" spans="1:1" x14ac:dyDescent="0.25">
      <c r="A524" t="s">
        <v>588</v>
      </c>
    </row>
    <row r="525" spans="1:1" x14ac:dyDescent="0.25">
      <c r="A525" t="s">
        <v>589</v>
      </c>
    </row>
    <row r="526" spans="1:1" x14ac:dyDescent="0.25">
      <c r="A526" t="s">
        <v>590</v>
      </c>
    </row>
    <row r="527" spans="1:1" x14ac:dyDescent="0.25">
      <c r="A527" t="s">
        <v>591</v>
      </c>
    </row>
    <row r="528" spans="1:1" x14ac:dyDescent="0.25">
      <c r="A528" t="s">
        <v>592</v>
      </c>
    </row>
    <row r="529" spans="1:1" x14ac:dyDescent="0.25">
      <c r="A529" t="s">
        <v>593</v>
      </c>
    </row>
    <row r="530" spans="1:1" x14ac:dyDescent="0.25">
      <c r="A530" t="s">
        <v>594</v>
      </c>
    </row>
    <row r="531" spans="1:1" x14ac:dyDescent="0.25">
      <c r="A531" t="s">
        <v>595</v>
      </c>
    </row>
    <row r="532" spans="1:1" x14ac:dyDescent="0.25">
      <c r="A532" t="s">
        <v>596</v>
      </c>
    </row>
    <row r="533" spans="1:1" x14ac:dyDescent="0.25">
      <c r="A533" t="s">
        <v>597</v>
      </c>
    </row>
    <row r="534" spans="1:1" x14ac:dyDescent="0.25">
      <c r="A534" t="s">
        <v>598</v>
      </c>
    </row>
    <row r="535" spans="1:1" x14ac:dyDescent="0.25">
      <c r="A535" t="s">
        <v>599</v>
      </c>
    </row>
    <row r="536" spans="1:1" x14ac:dyDescent="0.25">
      <c r="A536" t="s">
        <v>600</v>
      </c>
    </row>
    <row r="537" spans="1:1" x14ac:dyDescent="0.25">
      <c r="A537" t="s">
        <v>601</v>
      </c>
    </row>
    <row r="538" spans="1:1" x14ac:dyDescent="0.25">
      <c r="A538" t="s">
        <v>602</v>
      </c>
    </row>
    <row r="539" spans="1:1" x14ac:dyDescent="0.25">
      <c r="A539" t="s">
        <v>603</v>
      </c>
    </row>
    <row r="540" spans="1:1" x14ac:dyDescent="0.25">
      <c r="A540" t="s">
        <v>604</v>
      </c>
    </row>
    <row r="541" spans="1:1" x14ac:dyDescent="0.25">
      <c r="A541" t="s">
        <v>605</v>
      </c>
    </row>
    <row r="542" spans="1:1" x14ac:dyDescent="0.25">
      <c r="A542" t="s">
        <v>606</v>
      </c>
    </row>
    <row r="543" spans="1:1" x14ac:dyDescent="0.25">
      <c r="A543" t="s">
        <v>607</v>
      </c>
    </row>
    <row r="544" spans="1:1" x14ac:dyDescent="0.25">
      <c r="A544" t="s">
        <v>608</v>
      </c>
    </row>
    <row r="545" spans="1:1" x14ac:dyDescent="0.25">
      <c r="A545" t="s">
        <v>609</v>
      </c>
    </row>
    <row r="546" spans="1:1" x14ac:dyDescent="0.25">
      <c r="A546" t="s">
        <v>610</v>
      </c>
    </row>
    <row r="547" spans="1:1" x14ac:dyDescent="0.25">
      <c r="A547" t="s">
        <v>611</v>
      </c>
    </row>
    <row r="548" spans="1:1" x14ac:dyDescent="0.25">
      <c r="A548" t="s">
        <v>612</v>
      </c>
    </row>
    <row r="549" spans="1:1" x14ac:dyDescent="0.25">
      <c r="A549" t="s">
        <v>613</v>
      </c>
    </row>
    <row r="550" spans="1:1" x14ac:dyDescent="0.25">
      <c r="A550" t="s">
        <v>614</v>
      </c>
    </row>
    <row r="551" spans="1:1" x14ac:dyDescent="0.25">
      <c r="A551" t="s">
        <v>615</v>
      </c>
    </row>
    <row r="552" spans="1:1" x14ac:dyDescent="0.25">
      <c r="A552" t="s">
        <v>616</v>
      </c>
    </row>
    <row r="553" spans="1:1" x14ac:dyDescent="0.25">
      <c r="A553" t="s">
        <v>617</v>
      </c>
    </row>
    <row r="554" spans="1:1" x14ac:dyDescent="0.25">
      <c r="A554" t="s">
        <v>618</v>
      </c>
    </row>
    <row r="555" spans="1:1" x14ac:dyDescent="0.25">
      <c r="A555" t="s">
        <v>619</v>
      </c>
    </row>
    <row r="556" spans="1:1" x14ac:dyDescent="0.25">
      <c r="A556" t="s">
        <v>620</v>
      </c>
    </row>
    <row r="557" spans="1:1" x14ac:dyDescent="0.25">
      <c r="A557" t="s">
        <v>621</v>
      </c>
    </row>
    <row r="558" spans="1:1" x14ac:dyDescent="0.25">
      <c r="A558" t="s">
        <v>622</v>
      </c>
    </row>
    <row r="559" spans="1:1" x14ac:dyDescent="0.25">
      <c r="A559" t="s">
        <v>623</v>
      </c>
    </row>
    <row r="560" spans="1:1" x14ac:dyDescent="0.25">
      <c r="A560" t="s">
        <v>624</v>
      </c>
    </row>
    <row r="561" spans="1:1" x14ac:dyDescent="0.25">
      <c r="A561" t="s">
        <v>625</v>
      </c>
    </row>
    <row r="562" spans="1:1" x14ac:dyDescent="0.25">
      <c r="A562" t="s">
        <v>626</v>
      </c>
    </row>
    <row r="563" spans="1:1" x14ac:dyDescent="0.25">
      <c r="A563" t="s">
        <v>627</v>
      </c>
    </row>
    <row r="564" spans="1:1" x14ac:dyDescent="0.25">
      <c r="A564" t="s">
        <v>628</v>
      </c>
    </row>
    <row r="565" spans="1:1" x14ac:dyDescent="0.25">
      <c r="A565" t="s">
        <v>629</v>
      </c>
    </row>
    <row r="566" spans="1:1" x14ac:dyDescent="0.25">
      <c r="A566" t="s">
        <v>630</v>
      </c>
    </row>
    <row r="567" spans="1:1" x14ac:dyDescent="0.25">
      <c r="A567" t="s">
        <v>631</v>
      </c>
    </row>
    <row r="568" spans="1:1" x14ac:dyDescent="0.25">
      <c r="A568" t="s">
        <v>632</v>
      </c>
    </row>
    <row r="569" spans="1:1" x14ac:dyDescent="0.25">
      <c r="A569" t="s">
        <v>633</v>
      </c>
    </row>
    <row r="570" spans="1:1" x14ac:dyDescent="0.25">
      <c r="A570" t="s">
        <v>634</v>
      </c>
    </row>
    <row r="571" spans="1:1" x14ac:dyDescent="0.25">
      <c r="A571" t="s">
        <v>635</v>
      </c>
    </row>
    <row r="572" spans="1:1" x14ac:dyDescent="0.25">
      <c r="A572" t="s">
        <v>636</v>
      </c>
    </row>
    <row r="573" spans="1:1" x14ac:dyDescent="0.25">
      <c r="A573" t="s">
        <v>637</v>
      </c>
    </row>
    <row r="574" spans="1:1" x14ac:dyDescent="0.25">
      <c r="A574" t="s">
        <v>638</v>
      </c>
    </row>
    <row r="575" spans="1:1" x14ac:dyDescent="0.25">
      <c r="A575" t="s">
        <v>639</v>
      </c>
    </row>
    <row r="576" spans="1:1" x14ac:dyDescent="0.25">
      <c r="A576" t="s">
        <v>640</v>
      </c>
    </row>
    <row r="577" spans="1:1" x14ac:dyDescent="0.25">
      <c r="A577" t="s">
        <v>641</v>
      </c>
    </row>
    <row r="578" spans="1:1" x14ac:dyDescent="0.25">
      <c r="A578" t="s">
        <v>642</v>
      </c>
    </row>
    <row r="579" spans="1:1" x14ac:dyDescent="0.25">
      <c r="A579" t="s">
        <v>643</v>
      </c>
    </row>
    <row r="580" spans="1:1" x14ac:dyDescent="0.25">
      <c r="A580" t="s">
        <v>644</v>
      </c>
    </row>
    <row r="581" spans="1:1" x14ac:dyDescent="0.25">
      <c r="A581" t="s">
        <v>645</v>
      </c>
    </row>
    <row r="582" spans="1:1" x14ac:dyDescent="0.25">
      <c r="A582" t="s">
        <v>646</v>
      </c>
    </row>
    <row r="583" spans="1:1" x14ac:dyDescent="0.25">
      <c r="A583" t="s">
        <v>647</v>
      </c>
    </row>
    <row r="584" spans="1:1" x14ac:dyDescent="0.25">
      <c r="A584" t="s">
        <v>648</v>
      </c>
    </row>
    <row r="585" spans="1:1" x14ac:dyDescent="0.25">
      <c r="A585" t="s">
        <v>649</v>
      </c>
    </row>
    <row r="586" spans="1:1" x14ac:dyDescent="0.25">
      <c r="A586" t="s">
        <v>650</v>
      </c>
    </row>
    <row r="587" spans="1:1" x14ac:dyDescent="0.25">
      <c r="A587" t="s">
        <v>651</v>
      </c>
    </row>
    <row r="588" spans="1:1" x14ac:dyDescent="0.25">
      <c r="A588" t="s">
        <v>652</v>
      </c>
    </row>
    <row r="589" spans="1:1" x14ac:dyDescent="0.25">
      <c r="A589" t="s">
        <v>653</v>
      </c>
    </row>
    <row r="590" spans="1:1" x14ac:dyDescent="0.25">
      <c r="A590" t="s">
        <v>654</v>
      </c>
    </row>
    <row r="591" spans="1:1" x14ac:dyDescent="0.25">
      <c r="A591" t="s">
        <v>655</v>
      </c>
    </row>
    <row r="592" spans="1:1" x14ac:dyDescent="0.25">
      <c r="A592" t="s">
        <v>656</v>
      </c>
    </row>
    <row r="593" spans="1:1" x14ac:dyDescent="0.25">
      <c r="A593" t="s">
        <v>657</v>
      </c>
    </row>
    <row r="594" spans="1:1" x14ac:dyDescent="0.25">
      <c r="A594" t="s">
        <v>658</v>
      </c>
    </row>
    <row r="595" spans="1:1" x14ac:dyDescent="0.25">
      <c r="A595" t="s">
        <v>659</v>
      </c>
    </row>
    <row r="596" spans="1:1" x14ac:dyDescent="0.25">
      <c r="A596" t="s">
        <v>660</v>
      </c>
    </row>
    <row r="597" spans="1:1" x14ac:dyDescent="0.25">
      <c r="A597" t="s">
        <v>661</v>
      </c>
    </row>
    <row r="598" spans="1:1" x14ac:dyDescent="0.25">
      <c r="A598" t="s">
        <v>662</v>
      </c>
    </row>
    <row r="599" spans="1:1" x14ac:dyDescent="0.25">
      <c r="A599" t="s">
        <v>663</v>
      </c>
    </row>
    <row r="600" spans="1:1" x14ac:dyDescent="0.25">
      <c r="A600" t="s">
        <v>664</v>
      </c>
    </row>
    <row r="601" spans="1:1" x14ac:dyDescent="0.25">
      <c r="A601" t="s">
        <v>665</v>
      </c>
    </row>
    <row r="602" spans="1:1" x14ac:dyDescent="0.25">
      <c r="A602" t="s">
        <v>666</v>
      </c>
    </row>
    <row r="603" spans="1:1" x14ac:dyDescent="0.25">
      <c r="A603" t="s">
        <v>667</v>
      </c>
    </row>
    <row r="604" spans="1:1" x14ac:dyDescent="0.25">
      <c r="A604" t="s">
        <v>668</v>
      </c>
    </row>
    <row r="605" spans="1:1" x14ac:dyDescent="0.25">
      <c r="A605" t="s">
        <v>669</v>
      </c>
    </row>
    <row r="606" spans="1:1" x14ac:dyDescent="0.25">
      <c r="A606" t="s">
        <v>670</v>
      </c>
    </row>
    <row r="607" spans="1:1" x14ac:dyDescent="0.25">
      <c r="A607" t="s">
        <v>671</v>
      </c>
    </row>
    <row r="608" spans="1:1" x14ac:dyDescent="0.25">
      <c r="A608" t="s">
        <v>672</v>
      </c>
    </row>
    <row r="609" spans="1:1" x14ac:dyDescent="0.25">
      <c r="A609" t="s">
        <v>673</v>
      </c>
    </row>
    <row r="610" spans="1:1" x14ac:dyDescent="0.25">
      <c r="A610" t="s">
        <v>674</v>
      </c>
    </row>
    <row r="611" spans="1:1" x14ac:dyDescent="0.25">
      <c r="A611" t="s">
        <v>675</v>
      </c>
    </row>
    <row r="612" spans="1:1" x14ac:dyDescent="0.25">
      <c r="A612" t="s">
        <v>676</v>
      </c>
    </row>
    <row r="613" spans="1:1" x14ac:dyDescent="0.25">
      <c r="A613" t="s">
        <v>677</v>
      </c>
    </row>
    <row r="614" spans="1:1" x14ac:dyDescent="0.25">
      <c r="A614" t="s">
        <v>678</v>
      </c>
    </row>
    <row r="615" spans="1:1" x14ac:dyDescent="0.25">
      <c r="A615" t="s">
        <v>679</v>
      </c>
    </row>
    <row r="616" spans="1:1" x14ac:dyDescent="0.25">
      <c r="A616" t="s">
        <v>680</v>
      </c>
    </row>
    <row r="617" spans="1:1" x14ac:dyDescent="0.25">
      <c r="A617" t="s">
        <v>681</v>
      </c>
    </row>
    <row r="618" spans="1:1" x14ac:dyDescent="0.25">
      <c r="A618" t="s">
        <v>682</v>
      </c>
    </row>
    <row r="619" spans="1:1" x14ac:dyDescent="0.25">
      <c r="A619" t="s">
        <v>683</v>
      </c>
    </row>
    <row r="620" spans="1:1" x14ac:dyDescent="0.25">
      <c r="A620" t="s">
        <v>684</v>
      </c>
    </row>
    <row r="621" spans="1:1" x14ac:dyDescent="0.25">
      <c r="A621" t="s">
        <v>685</v>
      </c>
    </row>
    <row r="622" spans="1:1" x14ac:dyDescent="0.25">
      <c r="A622" t="s">
        <v>686</v>
      </c>
    </row>
    <row r="623" spans="1:1" x14ac:dyDescent="0.25">
      <c r="A623" t="s">
        <v>687</v>
      </c>
    </row>
    <row r="624" spans="1:1" x14ac:dyDescent="0.25">
      <c r="A624" t="s">
        <v>688</v>
      </c>
    </row>
    <row r="625" spans="1:1" x14ac:dyDescent="0.25">
      <c r="A625" t="s">
        <v>689</v>
      </c>
    </row>
    <row r="626" spans="1:1" x14ac:dyDescent="0.25">
      <c r="A626" t="s">
        <v>690</v>
      </c>
    </row>
    <row r="627" spans="1:1" x14ac:dyDescent="0.25">
      <c r="A627" t="s">
        <v>691</v>
      </c>
    </row>
    <row r="628" spans="1:1" x14ac:dyDescent="0.25">
      <c r="A628" t="s">
        <v>692</v>
      </c>
    </row>
    <row r="629" spans="1:1" x14ac:dyDescent="0.25">
      <c r="A629" t="s">
        <v>693</v>
      </c>
    </row>
    <row r="630" spans="1:1" x14ac:dyDescent="0.25">
      <c r="A630" t="s">
        <v>694</v>
      </c>
    </row>
    <row r="631" spans="1:1" x14ac:dyDescent="0.25">
      <c r="A631" t="s">
        <v>695</v>
      </c>
    </row>
    <row r="632" spans="1:1" x14ac:dyDescent="0.25">
      <c r="A632" t="s">
        <v>696</v>
      </c>
    </row>
    <row r="633" spans="1:1" x14ac:dyDescent="0.25">
      <c r="A633" t="s">
        <v>697</v>
      </c>
    </row>
    <row r="634" spans="1:1" x14ac:dyDescent="0.25">
      <c r="A634" t="s">
        <v>698</v>
      </c>
    </row>
    <row r="635" spans="1:1" x14ac:dyDescent="0.25">
      <c r="A635" t="s">
        <v>699</v>
      </c>
    </row>
    <row r="636" spans="1:1" x14ac:dyDescent="0.25">
      <c r="A636" t="s">
        <v>700</v>
      </c>
    </row>
    <row r="637" spans="1:1" x14ac:dyDescent="0.25">
      <c r="A637" t="s">
        <v>701</v>
      </c>
    </row>
    <row r="638" spans="1:1" x14ac:dyDescent="0.25">
      <c r="A638" t="s">
        <v>702</v>
      </c>
    </row>
    <row r="639" spans="1:1" x14ac:dyDescent="0.25">
      <c r="A639" t="s">
        <v>703</v>
      </c>
    </row>
    <row r="640" spans="1:1" x14ac:dyDescent="0.25">
      <c r="A640" t="s">
        <v>704</v>
      </c>
    </row>
    <row r="641" spans="1:1" x14ac:dyDescent="0.25">
      <c r="A641" t="s">
        <v>705</v>
      </c>
    </row>
    <row r="642" spans="1:1" x14ac:dyDescent="0.25">
      <c r="A642" t="s">
        <v>706</v>
      </c>
    </row>
    <row r="643" spans="1:1" x14ac:dyDescent="0.25">
      <c r="A643" t="s">
        <v>707</v>
      </c>
    </row>
    <row r="644" spans="1:1" x14ac:dyDescent="0.25">
      <c r="A644" t="s">
        <v>708</v>
      </c>
    </row>
    <row r="645" spans="1:1" x14ac:dyDescent="0.25">
      <c r="A645" t="s">
        <v>709</v>
      </c>
    </row>
    <row r="646" spans="1:1" x14ac:dyDescent="0.25">
      <c r="A646" t="s">
        <v>710</v>
      </c>
    </row>
    <row r="647" spans="1:1" x14ac:dyDescent="0.25">
      <c r="A647" t="s">
        <v>711</v>
      </c>
    </row>
    <row r="648" spans="1:1" x14ac:dyDescent="0.25">
      <c r="A648" t="s">
        <v>712</v>
      </c>
    </row>
    <row r="649" spans="1:1" x14ac:dyDescent="0.25">
      <c r="A649" t="s">
        <v>713</v>
      </c>
    </row>
    <row r="650" spans="1:1" x14ac:dyDescent="0.25">
      <c r="A650" t="s">
        <v>714</v>
      </c>
    </row>
    <row r="651" spans="1:1" x14ac:dyDescent="0.25">
      <c r="A651" t="s">
        <v>715</v>
      </c>
    </row>
    <row r="652" spans="1:1" x14ac:dyDescent="0.25">
      <c r="A652" t="s">
        <v>716</v>
      </c>
    </row>
    <row r="653" spans="1:1" x14ac:dyDescent="0.25">
      <c r="A653" t="s">
        <v>717</v>
      </c>
    </row>
    <row r="654" spans="1:1" x14ac:dyDescent="0.25">
      <c r="A654" t="s">
        <v>718</v>
      </c>
    </row>
    <row r="655" spans="1:1" x14ac:dyDescent="0.25">
      <c r="A655" t="s">
        <v>719</v>
      </c>
    </row>
    <row r="656" spans="1:1" x14ac:dyDescent="0.25">
      <c r="A656" t="s">
        <v>720</v>
      </c>
    </row>
    <row r="657" spans="1:1" x14ac:dyDescent="0.25">
      <c r="A657" t="s">
        <v>721</v>
      </c>
    </row>
    <row r="658" spans="1:1" x14ac:dyDescent="0.25">
      <c r="A658" t="s">
        <v>722</v>
      </c>
    </row>
    <row r="659" spans="1:1" x14ac:dyDescent="0.25">
      <c r="A659" t="s">
        <v>723</v>
      </c>
    </row>
    <row r="660" spans="1:1" x14ac:dyDescent="0.25">
      <c r="A660" t="s">
        <v>724</v>
      </c>
    </row>
    <row r="661" spans="1:1" x14ac:dyDescent="0.25">
      <c r="A661" t="s">
        <v>725</v>
      </c>
    </row>
    <row r="662" spans="1:1" x14ac:dyDescent="0.25">
      <c r="A662" t="s">
        <v>726</v>
      </c>
    </row>
    <row r="663" spans="1:1" x14ac:dyDescent="0.25">
      <c r="A663" t="s">
        <v>727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733</v>
      </c>
    </row>
    <row r="670" spans="1:1" x14ac:dyDescent="0.25">
      <c r="A670" t="s">
        <v>734</v>
      </c>
    </row>
    <row r="671" spans="1:1" x14ac:dyDescent="0.25">
      <c r="A671" t="s">
        <v>735</v>
      </c>
    </row>
    <row r="672" spans="1:1" x14ac:dyDescent="0.25">
      <c r="A672" t="s">
        <v>736</v>
      </c>
    </row>
    <row r="673" spans="1:1" x14ac:dyDescent="0.25">
      <c r="A673" t="s">
        <v>737</v>
      </c>
    </row>
    <row r="674" spans="1:1" x14ac:dyDescent="0.25">
      <c r="A674" t="s">
        <v>738</v>
      </c>
    </row>
    <row r="675" spans="1:1" x14ac:dyDescent="0.25">
      <c r="A675" t="s">
        <v>739</v>
      </c>
    </row>
    <row r="676" spans="1:1" x14ac:dyDescent="0.25">
      <c r="A676" t="s">
        <v>740</v>
      </c>
    </row>
    <row r="677" spans="1:1" x14ac:dyDescent="0.25">
      <c r="A677" t="s">
        <v>741</v>
      </c>
    </row>
    <row r="678" spans="1:1" x14ac:dyDescent="0.25">
      <c r="A678" t="s">
        <v>742</v>
      </c>
    </row>
    <row r="679" spans="1:1" x14ac:dyDescent="0.25">
      <c r="A679" t="s">
        <v>743</v>
      </c>
    </row>
    <row r="680" spans="1:1" x14ac:dyDescent="0.25">
      <c r="A680" t="s">
        <v>744</v>
      </c>
    </row>
    <row r="681" spans="1:1" x14ac:dyDescent="0.25">
      <c r="A681" t="s">
        <v>745</v>
      </c>
    </row>
    <row r="682" spans="1:1" x14ac:dyDescent="0.25">
      <c r="A682" t="s">
        <v>746</v>
      </c>
    </row>
    <row r="683" spans="1:1" x14ac:dyDescent="0.25">
      <c r="A683" t="s">
        <v>747</v>
      </c>
    </row>
    <row r="684" spans="1:1" x14ac:dyDescent="0.25">
      <c r="A684" t="s">
        <v>748</v>
      </c>
    </row>
    <row r="685" spans="1:1" x14ac:dyDescent="0.25">
      <c r="A685" t="s">
        <v>749</v>
      </c>
    </row>
    <row r="686" spans="1:1" x14ac:dyDescent="0.25">
      <c r="A686" t="s">
        <v>750</v>
      </c>
    </row>
    <row r="687" spans="1:1" x14ac:dyDescent="0.25">
      <c r="A687" t="s">
        <v>751</v>
      </c>
    </row>
    <row r="688" spans="1:1" x14ac:dyDescent="0.25">
      <c r="A688" t="s">
        <v>752</v>
      </c>
    </row>
    <row r="689" spans="1:1" x14ac:dyDescent="0.25">
      <c r="A689" t="s">
        <v>753</v>
      </c>
    </row>
    <row r="690" spans="1:1" x14ac:dyDescent="0.25">
      <c r="A690" t="s">
        <v>754</v>
      </c>
    </row>
    <row r="691" spans="1:1" x14ac:dyDescent="0.25">
      <c r="A691" t="s">
        <v>755</v>
      </c>
    </row>
    <row r="692" spans="1:1" x14ac:dyDescent="0.25">
      <c r="A692" t="s">
        <v>756</v>
      </c>
    </row>
    <row r="693" spans="1:1" x14ac:dyDescent="0.25">
      <c r="A693" t="s">
        <v>757</v>
      </c>
    </row>
    <row r="694" spans="1:1" x14ac:dyDescent="0.25">
      <c r="A694" t="s">
        <v>758</v>
      </c>
    </row>
    <row r="695" spans="1:1" x14ac:dyDescent="0.25">
      <c r="A695" t="s">
        <v>759</v>
      </c>
    </row>
    <row r="696" spans="1:1" x14ac:dyDescent="0.25">
      <c r="A696" t="s">
        <v>760</v>
      </c>
    </row>
    <row r="697" spans="1:1" x14ac:dyDescent="0.25">
      <c r="A697" t="s">
        <v>761</v>
      </c>
    </row>
    <row r="698" spans="1:1" x14ac:dyDescent="0.25">
      <c r="A698" t="s">
        <v>762</v>
      </c>
    </row>
    <row r="699" spans="1:1" x14ac:dyDescent="0.25">
      <c r="A699" t="s">
        <v>763</v>
      </c>
    </row>
    <row r="700" spans="1:1" x14ac:dyDescent="0.25">
      <c r="A700" t="s">
        <v>764</v>
      </c>
    </row>
    <row r="701" spans="1:1" x14ac:dyDescent="0.25">
      <c r="A701" t="s">
        <v>765</v>
      </c>
    </row>
    <row r="702" spans="1:1" x14ac:dyDescent="0.25">
      <c r="A702" t="s">
        <v>766</v>
      </c>
    </row>
    <row r="703" spans="1:1" x14ac:dyDescent="0.25">
      <c r="A703" t="s">
        <v>767</v>
      </c>
    </row>
    <row r="704" spans="1:1" x14ac:dyDescent="0.25">
      <c r="A704" t="s">
        <v>768</v>
      </c>
    </row>
    <row r="705" spans="1:1" x14ac:dyDescent="0.25">
      <c r="A705" t="s">
        <v>769</v>
      </c>
    </row>
    <row r="706" spans="1:1" x14ac:dyDescent="0.25">
      <c r="A706" t="s">
        <v>770</v>
      </c>
    </row>
    <row r="707" spans="1:1" x14ac:dyDescent="0.25">
      <c r="A707" t="s">
        <v>771</v>
      </c>
    </row>
    <row r="708" spans="1:1" x14ac:dyDescent="0.25">
      <c r="A708" t="s">
        <v>772</v>
      </c>
    </row>
    <row r="709" spans="1:1" x14ac:dyDescent="0.25">
      <c r="A709" t="s">
        <v>773</v>
      </c>
    </row>
    <row r="710" spans="1:1" x14ac:dyDescent="0.25">
      <c r="A710" t="s">
        <v>774</v>
      </c>
    </row>
    <row r="711" spans="1:1" x14ac:dyDescent="0.25">
      <c r="A711" t="s">
        <v>775</v>
      </c>
    </row>
    <row r="712" spans="1:1" x14ac:dyDescent="0.25">
      <c r="A712" t="s">
        <v>776</v>
      </c>
    </row>
    <row r="713" spans="1:1" x14ac:dyDescent="0.25">
      <c r="A713" t="s">
        <v>777</v>
      </c>
    </row>
    <row r="714" spans="1:1" x14ac:dyDescent="0.25">
      <c r="A714" t="s">
        <v>778</v>
      </c>
    </row>
    <row r="715" spans="1:1" x14ac:dyDescent="0.25">
      <c r="A715" t="s">
        <v>779</v>
      </c>
    </row>
    <row r="716" spans="1:1" x14ac:dyDescent="0.25">
      <c r="A716" t="s">
        <v>780</v>
      </c>
    </row>
    <row r="717" spans="1:1" x14ac:dyDescent="0.25">
      <c r="A717" t="s">
        <v>781</v>
      </c>
    </row>
    <row r="718" spans="1:1" x14ac:dyDescent="0.25">
      <c r="A718" t="s">
        <v>782</v>
      </c>
    </row>
    <row r="719" spans="1:1" x14ac:dyDescent="0.25">
      <c r="A719" t="s">
        <v>783</v>
      </c>
    </row>
    <row r="720" spans="1:1" x14ac:dyDescent="0.25">
      <c r="A720" t="s">
        <v>784</v>
      </c>
    </row>
    <row r="721" spans="1:1" x14ac:dyDescent="0.25">
      <c r="A721" t="s">
        <v>785</v>
      </c>
    </row>
    <row r="722" spans="1:1" x14ac:dyDescent="0.25">
      <c r="A722" t="s">
        <v>786</v>
      </c>
    </row>
    <row r="723" spans="1:1" x14ac:dyDescent="0.25">
      <c r="A723" t="s">
        <v>787</v>
      </c>
    </row>
    <row r="724" spans="1:1" x14ac:dyDescent="0.25">
      <c r="A724" t="s">
        <v>788</v>
      </c>
    </row>
    <row r="725" spans="1:1" x14ac:dyDescent="0.25">
      <c r="A725" t="s">
        <v>789</v>
      </c>
    </row>
    <row r="726" spans="1:1" x14ac:dyDescent="0.25">
      <c r="A726" t="s">
        <v>790</v>
      </c>
    </row>
    <row r="727" spans="1:1" x14ac:dyDescent="0.25">
      <c r="A727" t="s">
        <v>791</v>
      </c>
    </row>
    <row r="728" spans="1:1" x14ac:dyDescent="0.25">
      <c r="A728" t="s">
        <v>792</v>
      </c>
    </row>
    <row r="729" spans="1:1" x14ac:dyDescent="0.25">
      <c r="A729" t="s">
        <v>793</v>
      </c>
    </row>
    <row r="730" spans="1:1" x14ac:dyDescent="0.25">
      <c r="A730" t="s">
        <v>794</v>
      </c>
    </row>
    <row r="731" spans="1:1" x14ac:dyDescent="0.25">
      <c r="A731" t="s">
        <v>795</v>
      </c>
    </row>
    <row r="732" spans="1:1" x14ac:dyDescent="0.25">
      <c r="A732" t="s">
        <v>796</v>
      </c>
    </row>
    <row r="733" spans="1:1" x14ac:dyDescent="0.25">
      <c r="A733" t="s">
        <v>797</v>
      </c>
    </row>
    <row r="734" spans="1:1" x14ac:dyDescent="0.25">
      <c r="A734" t="s">
        <v>798</v>
      </c>
    </row>
    <row r="735" spans="1:1" x14ac:dyDescent="0.25">
      <c r="A735" t="s">
        <v>799</v>
      </c>
    </row>
    <row r="736" spans="1:1" x14ac:dyDescent="0.25">
      <c r="A736" t="s">
        <v>800</v>
      </c>
    </row>
    <row r="737" spans="1:1" x14ac:dyDescent="0.25">
      <c r="A737" t="s">
        <v>801</v>
      </c>
    </row>
    <row r="738" spans="1:1" x14ac:dyDescent="0.25">
      <c r="A738" t="s">
        <v>802</v>
      </c>
    </row>
    <row r="739" spans="1:1" x14ac:dyDescent="0.25">
      <c r="A739" t="s">
        <v>803</v>
      </c>
    </row>
    <row r="740" spans="1:1" x14ac:dyDescent="0.25">
      <c r="A740" t="s">
        <v>804</v>
      </c>
    </row>
    <row r="741" spans="1:1" x14ac:dyDescent="0.25">
      <c r="A741" t="s">
        <v>805</v>
      </c>
    </row>
    <row r="742" spans="1:1" x14ac:dyDescent="0.25">
      <c r="A742" t="s">
        <v>806</v>
      </c>
    </row>
    <row r="743" spans="1:1" x14ac:dyDescent="0.25">
      <c r="A743" t="s">
        <v>807</v>
      </c>
    </row>
    <row r="744" spans="1:1" x14ac:dyDescent="0.25">
      <c r="A744" t="s">
        <v>808</v>
      </c>
    </row>
    <row r="745" spans="1:1" x14ac:dyDescent="0.25">
      <c r="A745" t="s">
        <v>809</v>
      </c>
    </row>
    <row r="746" spans="1:1" x14ac:dyDescent="0.25">
      <c r="A746" t="s">
        <v>810</v>
      </c>
    </row>
    <row r="747" spans="1:1" x14ac:dyDescent="0.25">
      <c r="A747" t="s">
        <v>811</v>
      </c>
    </row>
    <row r="748" spans="1:1" x14ac:dyDescent="0.25">
      <c r="A748" t="s">
        <v>812</v>
      </c>
    </row>
    <row r="749" spans="1:1" x14ac:dyDescent="0.25">
      <c r="A749" t="s">
        <v>813</v>
      </c>
    </row>
    <row r="750" spans="1:1" x14ac:dyDescent="0.25">
      <c r="A750" t="s">
        <v>814</v>
      </c>
    </row>
    <row r="751" spans="1:1" x14ac:dyDescent="0.25">
      <c r="A751" t="s">
        <v>815</v>
      </c>
    </row>
    <row r="752" spans="1:1" x14ac:dyDescent="0.25">
      <c r="A752" t="s">
        <v>816</v>
      </c>
    </row>
    <row r="753" spans="1:1" x14ac:dyDescent="0.25">
      <c r="A753" t="s">
        <v>817</v>
      </c>
    </row>
    <row r="754" spans="1:1" x14ac:dyDescent="0.25">
      <c r="A754" t="s">
        <v>818</v>
      </c>
    </row>
    <row r="755" spans="1:1" x14ac:dyDescent="0.25">
      <c r="A755" t="s">
        <v>819</v>
      </c>
    </row>
    <row r="756" spans="1:1" x14ac:dyDescent="0.25">
      <c r="A756" t="s">
        <v>820</v>
      </c>
    </row>
    <row r="757" spans="1:1" x14ac:dyDescent="0.25">
      <c r="A757" t="s">
        <v>821</v>
      </c>
    </row>
    <row r="758" spans="1:1" x14ac:dyDescent="0.25">
      <c r="A758" t="s">
        <v>822</v>
      </c>
    </row>
    <row r="759" spans="1:1" x14ac:dyDescent="0.25">
      <c r="A759" t="s">
        <v>823</v>
      </c>
    </row>
    <row r="760" spans="1:1" x14ac:dyDescent="0.25">
      <c r="A760" t="s">
        <v>824</v>
      </c>
    </row>
    <row r="761" spans="1:1" x14ac:dyDescent="0.25">
      <c r="A761" t="s">
        <v>825</v>
      </c>
    </row>
    <row r="762" spans="1:1" x14ac:dyDescent="0.25">
      <c r="A762" t="s">
        <v>826</v>
      </c>
    </row>
    <row r="763" spans="1:1" x14ac:dyDescent="0.25">
      <c r="A763" t="s">
        <v>827</v>
      </c>
    </row>
    <row r="764" spans="1:1" x14ac:dyDescent="0.25">
      <c r="A764" t="s">
        <v>828</v>
      </c>
    </row>
    <row r="765" spans="1:1" x14ac:dyDescent="0.25">
      <c r="A765" t="s">
        <v>829</v>
      </c>
    </row>
    <row r="766" spans="1:1" x14ac:dyDescent="0.25">
      <c r="A766" t="s">
        <v>830</v>
      </c>
    </row>
    <row r="767" spans="1:1" x14ac:dyDescent="0.25">
      <c r="A767" t="s">
        <v>831</v>
      </c>
    </row>
    <row r="768" spans="1:1" x14ac:dyDescent="0.25">
      <c r="A768" t="s">
        <v>832</v>
      </c>
    </row>
    <row r="769" spans="1:1" x14ac:dyDescent="0.25">
      <c r="A769" t="s">
        <v>833</v>
      </c>
    </row>
    <row r="770" spans="1:1" x14ac:dyDescent="0.25">
      <c r="A770" t="s">
        <v>834</v>
      </c>
    </row>
    <row r="771" spans="1:1" x14ac:dyDescent="0.25">
      <c r="A771" t="s">
        <v>835</v>
      </c>
    </row>
    <row r="772" spans="1:1" x14ac:dyDescent="0.25">
      <c r="A772" t="s">
        <v>836</v>
      </c>
    </row>
    <row r="773" spans="1:1" x14ac:dyDescent="0.25">
      <c r="A773" t="s">
        <v>837</v>
      </c>
    </row>
    <row r="774" spans="1:1" x14ac:dyDescent="0.25">
      <c r="A774" t="s">
        <v>838</v>
      </c>
    </row>
    <row r="775" spans="1:1" x14ac:dyDescent="0.25">
      <c r="A775" t="s">
        <v>839</v>
      </c>
    </row>
    <row r="776" spans="1:1" x14ac:dyDescent="0.25">
      <c r="A776" t="s">
        <v>840</v>
      </c>
    </row>
    <row r="777" spans="1:1" x14ac:dyDescent="0.25">
      <c r="A777" t="s">
        <v>841</v>
      </c>
    </row>
    <row r="778" spans="1:1" x14ac:dyDescent="0.25">
      <c r="A778" t="s">
        <v>842</v>
      </c>
    </row>
    <row r="779" spans="1:1" x14ac:dyDescent="0.25">
      <c r="A779" t="s">
        <v>843</v>
      </c>
    </row>
    <row r="780" spans="1:1" x14ac:dyDescent="0.25">
      <c r="A780" t="s">
        <v>844</v>
      </c>
    </row>
    <row r="781" spans="1:1" x14ac:dyDescent="0.25">
      <c r="A781" t="s">
        <v>845</v>
      </c>
    </row>
    <row r="782" spans="1:1" x14ac:dyDescent="0.25">
      <c r="A782" t="s">
        <v>846</v>
      </c>
    </row>
    <row r="783" spans="1:1" x14ac:dyDescent="0.25">
      <c r="A783" t="s">
        <v>847</v>
      </c>
    </row>
    <row r="784" spans="1:1" x14ac:dyDescent="0.25">
      <c r="A784" t="s">
        <v>848</v>
      </c>
    </row>
    <row r="785" spans="1:1" x14ac:dyDescent="0.25">
      <c r="A785" t="s">
        <v>849</v>
      </c>
    </row>
    <row r="786" spans="1:1" x14ac:dyDescent="0.25">
      <c r="A786" t="s">
        <v>850</v>
      </c>
    </row>
    <row r="787" spans="1:1" x14ac:dyDescent="0.25">
      <c r="A787" t="s">
        <v>851</v>
      </c>
    </row>
    <row r="788" spans="1:1" x14ac:dyDescent="0.25">
      <c r="A788" t="s">
        <v>852</v>
      </c>
    </row>
    <row r="789" spans="1:1" x14ac:dyDescent="0.25">
      <c r="A789" t="s">
        <v>853</v>
      </c>
    </row>
    <row r="790" spans="1:1" x14ac:dyDescent="0.25">
      <c r="A790" t="s">
        <v>854</v>
      </c>
    </row>
    <row r="791" spans="1:1" x14ac:dyDescent="0.25">
      <c r="A791" t="s">
        <v>855</v>
      </c>
    </row>
    <row r="792" spans="1:1" x14ac:dyDescent="0.25">
      <c r="A792" t="s">
        <v>856</v>
      </c>
    </row>
    <row r="793" spans="1:1" x14ac:dyDescent="0.25">
      <c r="A793" t="s">
        <v>857</v>
      </c>
    </row>
    <row r="794" spans="1:1" x14ac:dyDescent="0.25">
      <c r="A794" t="s">
        <v>858</v>
      </c>
    </row>
    <row r="795" spans="1:1" x14ac:dyDescent="0.25">
      <c r="A795" t="s">
        <v>859</v>
      </c>
    </row>
    <row r="796" spans="1:1" x14ac:dyDescent="0.25">
      <c r="A796" t="s">
        <v>860</v>
      </c>
    </row>
    <row r="797" spans="1:1" x14ac:dyDescent="0.25">
      <c r="A797" t="s">
        <v>861</v>
      </c>
    </row>
    <row r="798" spans="1:1" x14ac:dyDescent="0.25">
      <c r="A798" t="s">
        <v>862</v>
      </c>
    </row>
    <row r="799" spans="1:1" x14ac:dyDescent="0.25">
      <c r="A799" t="s">
        <v>863</v>
      </c>
    </row>
    <row r="800" spans="1:1" x14ac:dyDescent="0.25">
      <c r="A800" t="s">
        <v>864</v>
      </c>
    </row>
    <row r="801" spans="1:1" x14ac:dyDescent="0.25">
      <c r="A801" t="s">
        <v>865</v>
      </c>
    </row>
    <row r="802" spans="1:1" x14ac:dyDescent="0.25">
      <c r="A802" t="s">
        <v>866</v>
      </c>
    </row>
    <row r="803" spans="1:1" x14ac:dyDescent="0.25">
      <c r="A803" t="s">
        <v>867</v>
      </c>
    </row>
    <row r="804" spans="1:1" x14ac:dyDescent="0.25">
      <c r="A804" t="s">
        <v>868</v>
      </c>
    </row>
    <row r="805" spans="1:1" x14ac:dyDescent="0.25">
      <c r="A805" t="s">
        <v>869</v>
      </c>
    </row>
    <row r="806" spans="1:1" x14ac:dyDescent="0.25">
      <c r="A806" t="s">
        <v>870</v>
      </c>
    </row>
    <row r="807" spans="1:1" x14ac:dyDescent="0.25">
      <c r="A807" t="s">
        <v>871</v>
      </c>
    </row>
    <row r="808" spans="1:1" x14ac:dyDescent="0.25">
      <c r="A808" t="s">
        <v>872</v>
      </c>
    </row>
    <row r="809" spans="1:1" x14ac:dyDescent="0.25">
      <c r="A809" t="s">
        <v>873</v>
      </c>
    </row>
    <row r="810" spans="1:1" x14ac:dyDescent="0.25">
      <c r="A810" t="s">
        <v>874</v>
      </c>
    </row>
    <row r="811" spans="1:1" x14ac:dyDescent="0.25">
      <c r="A811" t="s">
        <v>875</v>
      </c>
    </row>
    <row r="812" spans="1:1" x14ac:dyDescent="0.25">
      <c r="A812" t="s">
        <v>876</v>
      </c>
    </row>
    <row r="813" spans="1:1" x14ac:dyDescent="0.25">
      <c r="A813" t="s">
        <v>877</v>
      </c>
    </row>
    <row r="814" spans="1:1" x14ac:dyDescent="0.25">
      <c r="A814" t="s">
        <v>878</v>
      </c>
    </row>
    <row r="815" spans="1:1" x14ac:dyDescent="0.25">
      <c r="A815" t="s">
        <v>879</v>
      </c>
    </row>
    <row r="816" spans="1:1" x14ac:dyDescent="0.25">
      <c r="A816" t="s">
        <v>880</v>
      </c>
    </row>
    <row r="817" spans="1:1" x14ac:dyDescent="0.25">
      <c r="A817" t="s">
        <v>881</v>
      </c>
    </row>
    <row r="818" spans="1:1" x14ac:dyDescent="0.25">
      <c r="A818" t="s">
        <v>882</v>
      </c>
    </row>
    <row r="819" spans="1:1" x14ac:dyDescent="0.25">
      <c r="A819" t="s">
        <v>883</v>
      </c>
    </row>
    <row r="820" spans="1:1" x14ac:dyDescent="0.25">
      <c r="A820" t="s">
        <v>884</v>
      </c>
    </row>
    <row r="821" spans="1:1" x14ac:dyDescent="0.25">
      <c r="A821" t="s">
        <v>885</v>
      </c>
    </row>
    <row r="822" spans="1:1" x14ac:dyDescent="0.25">
      <c r="A822" t="s">
        <v>886</v>
      </c>
    </row>
    <row r="823" spans="1:1" x14ac:dyDescent="0.25">
      <c r="A823" t="s">
        <v>887</v>
      </c>
    </row>
    <row r="824" spans="1:1" x14ac:dyDescent="0.25">
      <c r="A824" t="s">
        <v>888</v>
      </c>
    </row>
    <row r="825" spans="1:1" x14ac:dyDescent="0.25">
      <c r="A825" t="s">
        <v>889</v>
      </c>
    </row>
    <row r="826" spans="1:1" x14ac:dyDescent="0.25">
      <c r="A826" t="s">
        <v>890</v>
      </c>
    </row>
    <row r="827" spans="1:1" x14ac:dyDescent="0.25">
      <c r="A827" t="s">
        <v>891</v>
      </c>
    </row>
    <row r="828" spans="1:1" x14ac:dyDescent="0.25">
      <c r="A828" t="s">
        <v>892</v>
      </c>
    </row>
    <row r="829" spans="1:1" x14ac:dyDescent="0.25">
      <c r="A829" t="s">
        <v>893</v>
      </c>
    </row>
    <row r="830" spans="1:1" x14ac:dyDescent="0.25">
      <c r="A830" t="s">
        <v>894</v>
      </c>
    </row>
    <row r="831" spans="1:1" x14ac:dyDescent="0.25">
      <c r="A831" t="s">
        <v>895</v>
      </c>
    </row>
    <row r="832" spans="1:1" x14ac:dyDescent="0.25">
      <c r="A832" t="s">
        <v>896</v>
      </c>
    </row>
    <row r="833" spans="1:1" x14ac:dyDescent="0.25">
      <c r="A833" t="s">
        <v>897</v>
      </c>
    </row>
    <row r="834" spans="1:1" x14ac:dyDescent="0.25">
      <c r="A834" t="s">
        <v>898</v>
      </c>
    </row>
    <row r="835" spans="1:1" x14ac:dyDescent="0.25">
      <c r="A835" t="s">
        <v>899</v>
      </c>
    </row>
    <row r="836" spans="1:1" x14ac:dyDescent="0.25">
      <c r="A836" t="s">
        <v>900</v>
      </c>
    </row>
    <row r="837" spans="1:1" x14ac:dyDescent="0.25">
      <c r="A837" t="s">
        <v>901</v>
      </c>
    </row>
    <row r="838" spans="1:1" x14ac:dyDescent="0.25">
      <c r="A838" t="s">
        <v>902</v>
      </c>
    </row>
    <row r="839" spans="1:1" x14ac:dyDescent="0.25">
      <c r="A839" t="s">
        <v>903</v>
      </c>
    </row>
    <row r="840" spans="1:1" x14ac:dyDescent="0.25">
      <c r="A840" t="s">
        <v>904</v>
      </c>
    </row>
    <row r="841" spans="1:1" x14ac:dyDescent="0.25">
      <c r="A841" t="s">
        <v>905</v>
      </c>
    </row>
    <row r="842" spans="1:1" x14ac:dyDescent="0.25">
      <c r="A842" t="s">
        <v>906</v>
      </c>
    </row>
    <row r="843" spans="1:1" x14ac:dyDescent="0.25">
      <c r="A843" t="s">
        <v>907</v>
      </c>
    </row>
    <row r="844" spans="1:1" x14ac:dyDescent="0.25">
      <c r="A844" t="s">
        <v>908</v>
      </c>
    </row>
    <row r="845" spans="1:1" x14ac:dyDescent="0.25">
      <c r="A845" t="s">
        <v>909</v>
      </c>
    </row>
    <row r="846" spans="1:1" x14ac:dyDescent="0.25">
      <c r="A846" t="s">
        <v>910</v>
      </c>
    </row>
    <row r="847" spans="1:1" x14ac:dyDescent="0.25">
      <c r="A847" t="s">
        <v>911</v>
      </c>
    </row>
    <row r="848" spans="1:1" x14ac:dyDescent="0.25">
      <c r="A848" t="s">
        <v>912</v>
      </c>
    </row>
    <row r="849" spans="1:1" x14ac:dyDescent="0.25">
      <c r="A849" t="s">
        <v>913</v>
      </c>
    </row>
    <row r="850" spans="1:1" x14ac:dyDescent="0.25">
      <c r="A850" t="s">
        <v>914</v>
      </c>
    </row>
    <row r="851" spans="1:1" x14ac:dyDescent="0.25">
      <c r="A851" t="s">
        <v>915</v>
      </c>
    </row>
    <row r="852" spans="1:1" x14ac:dyDescent="0.25">
      <c r="A852" t="s">
        <v>916</v>
      </c>
    </row>
    <row r="853" spans="1:1" x14ac:dyDescent="0.25">
      <c r="A853" t="s">
        <v>917</v>
      </c>
    </row>
    <row r="854" spans="1:1" x14ac:dyDescent="0.25">
      <c r="A854" t="s">
        <v>918</v>
      </c>
    </row>
    <row r="855" spans="1:1" x14ac:dyDescent="0.25">
      <c r="A855" t="s">
        <v>919</v>
      </c>
    </row>
    <row r="856" spans="1:1" x14ac:dyDescent="0.25">
      <c r="A856" t="s">
        <v>920</v>
      </c>
    </row>
    <row r="857" spans="1:1" x14ac:dyDescent="0.25">
      <c r="A857" t="s">
        <v>921</v>
      </c>
    </row>
    <row r="858" spans="1:1" x14ac:dyDescent="0.25">
      <c r="A858" t="s">
        <v>922</v>
      </c>
    </row>
    <row r="859" spans="1:1" x14ac:dyDescent="0.25">
      <c r="A859" t="s">
        <v>923</v>
      </c>
    </row>
    <row r="860" spans="1:1" x14ac:dyDescent="0.25">
      <c r="A860" t="s">
        <v>924</v>
      </c>
    </row>
    <row r="861" spans="1:1" x14ac:dyDescent="0.25">
      <c r="A861" t="s">
        <v>925</v>
      </c>
    </row>
    <row r="862" spans="1:1" x14ac:dyDescent="0.25">
      <c r="A862" t="s">
        <v>926</v>
      </c>
    </row>
    <row r="863" spans="1:1" x14ac:dyDescent="0.25">
      <c r="A863" t="s">
        <v>927</v>
      </c>
    </row>
    <row r="864" spans="1:1" x14ac:dyDescent="0.25">
      <c r="A864" t="s">
        <v>928</v>
      </c>
    </row>
    <row r="865" spans="1:1" x14ac:dyDescent="0.25">
      <c r="A865" t="s">
        <v>929</v>
      </c>
    </row>
    <row r="866" spans="1:1" x14ac:dyDescent="0.25">
      <c r="A866" t="s">
        <v>930</v>
      </c>
    </row>
    <row r="867" spans="1:1" x14ac:dyDescent="0.25">
      <c r="A867" t="s">
        <v>931</v>
      </c>
    </row>
    <row r="868" spans="1:1" x14ac:dyDescent="0.25">
      <c r="A868" t="s">
        <v>932</v>
      </c>
    </row>
    <row r="869" spans="1:1" x14ac:dyDescent="0.25">
      <c r="A869" t="s">
        <v>933</v>
      </c>
    </row>
    <row r="870" spans="1:1" x14ac:dyDescent="0.25">
      <c r="A870" t="s">
        <v>934</v>
      </c>
    </row>
    <row r="871" spans="1:1" x14ac:dyDescent="0.25">
      <c r="A871" t="s">
        <v>935</v>
      </c>
    </row>
    <row r="872" spans="1:1" x14ac:dyDescent="0.25">
      <c r="A872" t="s">
        <v>936</v>
      </c>
    </row>
    <row r="873" spans="1:1" x14ac:dyDescent="0.25">
      <c r="A873" t="s">
        <v>937</v>
      </c>
    </row>
    <row r="874" spans="1:1" x14ac:dyDescent="0.25">
      <c r="A874" t="s">
        <v>938</v>
      </c>
    </row>
    <row r="875" spans="1:1" x14ac:dyDescent="0.25">
      <c r="A875" t="s">
        <v>939</v>
      </c>
    </row>
    <row r="876" spans="1:1" x14ac:dyDescent="0.25">
      <c r="A876" t="s">
        <v>940</v>
      </c>
    </row>
    <row r="877" spans="1:1" x14ac:dyDescent="0.25">
      <c r="A877" t="s">
        <v>941</v>
      </c>
    </row>
    <row r="878" spans="1:1" x14ac:dyDescent="0.25">
      <c r="A878" t="s">
        <v>942</v>
      </c>
    </row>
    <row r="879" spans="1:1" x14ac:dyDescent="0.25">
      <c r="A879" t="s">
        <v>943</v>
      </c>
    </row>
    <row r="880" spans="1:1" x14ac:dyDescent="0.25">
      <c r="A880" t="s">
        <v>944</v>
      </c>
    </row>
    <row r="881" spans="1:1" x14ac:dyDescent="0.25">
      <c r="A881" t="s">
        <v>945</v>
      </c>
    </row>
    <row r="882" spans="1:1" x14ac:dyDescent="0.25">
      <c r="A882" t="s">
        <v>946</v>
      </c>
    </row>
    <row r="883" spans="1:1" x14ac:dyDescent="0.25">
      <c r="A883" t="s">
        <v>947</v>
      </c>
    </row>
    <row r="884" spans="1:1" x14ac:dyDescent="0.25">
      <c r="A884" t="s">
        <v>948</v>
      </c>
    </row>
    <row r="885" spans="1:1" x14ac:dyDescent="0.25">
      <c r="A885" t="s">
        <v>949</v>
      </c>
    </row>
    <row r="886" spans="1:1" x14ac:dyDescent="0.25">
      <c r="A886" t="s">
        <v>950</v>
      </c>
    </row>
    <row r="887" spans="1:1" x14ac:dyDescent="0.25">
      <c r="A887" t="s">
        <v>951</v>
      </c>
    </row>
    <row r="888" spans="1:1" x14ac:dyDescent="0.25">
      <c r="A888" t="s">
        <v>952</v>
      </c>
    </row>
    <row r="889" spans="1:1" x14ac:dyDescent="0.25">
      <c r="A889" t="s">
        <v>953</v>
      </c>
    </row>
    <row r="890" spans="1:1" x14ac:dyDescent="0.25">
      <c r="A890" t="s">
        <v>954</v>
      </c>
    </row>
    <row r="891" spans="1:1" x14ac:dyDescent="0.25">
      <c r="A891" t="s">
        <v>955</v>
      </c>
    </row>
    <row r="892" spans="1:1" x14ac:dyDescent="0.25">
      <c r="A892" t="s">
        <v>956</v>
      </c>
    </row>
    <row r="893" spans="1:1" x14ac:dyDescent="0.25">
      <c r="A893" t="s">
        <v>957</v>
      </c>
    </row>
    <row r="894" spans="1:1" x14ac:dyDescent="0.25">
      <c r="A894" t="s">
        <v>958</v>
      </c>
    </row>
    <row r="895" spans="1:1" x14ac:dyDescent="0.25">
      <c r="A895" t="s">
        <v>959</v>
      </c>
    </row>
    <row r="896" spans="1:1" x14ac:dyDescent="0.25">
      <c r="A896" t="s">
        <v>960</v>
      </c>
    </row>
    <row r="897" spans="1:1" x14ac:dyDescent="0.25">
      <c r="A897" t="s">
        <v>961</v>
      </c>
    </row>
    <row r="898" spans="1:1" x14ac:dyDescent="0.25">
      <c r="A898" t="s">
        <v>962</v>
      </c>
    </row>
    <row r="899" spans="1:1" x14ac:dyDescent="0.25">
      <c r="A899" t="s">
        <v>963</v>
      </c>
    </row>
    <row r="900" spans="1:1" x14ac:dyDescent="0.25">
      <c r="A900" t="s">
        <v>964</v>
      </c>
    </row>
    <row r="901" spans="1:1" x14ac:dyDescent="0.25">
      <c r="A901" t="s">
        <v>965</v>
      </c>
    </row>
    <row r="902" spans="1:1" x14ac:dyDescent="0.25">
      <c r="A902" t="s">
        <v>966</v>
      </c>
    </row>
    <row r="903" spans="1:1" x14ac:dyDescent="0.25">
      <c r="A903" t="s">
        <v>967</v>
      </c>
    </row>
    <row r="904" spans="1:1" x14ac:dyDescent="0.25">
      <c r="A904" t="s">
        <v>968</v>
      </c>
    </row>
    <row r="905" spans="1:1" x14ac:dyDescent="0.25">
      <c r="A905" t="s">
        <v>969</v>
      </c>
    </row>
    <row r="906" spans="1:1" x14ac:dyDescent="0.25">
      <c r="A906" t="s">
        <v>970</v>
      </c>
    </row>
    <row r="907" spans="1:1" x14ac:dyDescent="0.25">
      <c r="A907" t="s">
        <v>971</v>
      </c>
    </row>
    <row r="908" spans="1:1" x14ac:dyDescent="0.25">
      <c r="A908" t="s">
        <v>972</v>
      </c>
    </row>
    <row r="909" spans="1:1" x14ac:dyDescent="0.25">
      <c r="A909" t="s">
        <v>973</v>
      </c>
    </row>
    <row r="910" spans="1:1" x14ac:dyDescent="0.25">
      <c r="A910" t="s">
        <v>974</v>
      </c>
    </row>
    <row r="911" spans="1:1" x14ac:dyDescent="0.25">
      <c r="A911" t="s">
        <v>975</v>
      </c>
    </row>
    <row r="912" spans="1:1" x14ac:dyDescent="0.25">
      <c r="A912" t="s">
        <v>976</v>
      </c>
    </row>
    <row r="913" spans="1:1" x14ac:dyDescent="0.25">
      <c r="A913" t="s">
        <v>977</v>
      </c>
    </row>
    <row r="914" spans="1:1" x14ac:dyDescent="0.25">
      <c r="A914" t="s">
        <v>978</v>
      </c>
    </row>
    <row r="915" spans="1:1" x14ac:dyDescent="0.25">
      <c r="A915" t="s">
        <v>979</v>
      </c>
    </row>
    <row r="916" spans="1:1" x14ac:dyDescent="0.25">
      <c r="A916" t="s">
        <v>980</v>
      </c>
    </row>
    <row r="917" spans="1:1" x14ac:dyDescent="0.25">
      <c r="A917" t="s">
        <v>981</v>
      </c>
    </row>
    <row r="918" spans="1:1" x14ac:dyDescent="0.25">
      <c r="A918" t="s">
        <v>982</v>
      </c>
    </row>
    <row r="919" spans="1:1" x14ac:dyDescent="0.25">
      <c r="A919" t="s">
        <v>983</v>
      </c>
    </row>
    <row r="920" spans="1:1" x14ac:dyDescent="0.25">
      <c r="A920" t="s">
        <v>984</v>
      </c>
    </row>
    <row r="921" spans="1:1" x14ac:dyDescent="0.25">
      <c r="A921" t="s">
        <v>985</v>
      </c>
    </row>
    <row r="922" spans="1:1" x14ac:dyDescent="0.25">
      <c r="A922" t="s">
        <v>986</v>
      </c>
    </row>
    <row r="923" spans="1:1" x14ac:dyDescent="0.25">
      <c r="A923" t="s">
        <v>987</v>
      </c>
    </row>
    <row r="924" spans="1:1" x14ac:dyDescent="0.25">
      <c r="A924" t="s">
        <v>988</v>
      </c>
    </row>
    <row r="925" spans="1:1" x14ac:dyDescent="0.25">
      <c r="A925" t="s">
        <v>989</v>
      </c>
    </row>
    <row r="926" spans="1:1" x14ac:dyDescent="0.25">
      <c r="A926" t="s">
        <v>990</v>
      </c>
    </row>
    <row r="927" spans="1:1" x14ac:dyDescent="0.25">
      <c r="A927" t="s">
        <v>991</v>
      </c>
    </row>
    <row r="928" spans="1:1" x14ac:dyDescent="0.25">
      <c r="A928" t="s">
        <v>992</v>
      </c>
    </row>
    <row r="929" spans="1:1" x14ac:dyDescent="0.25">
      <c r="A929" t="s">
        <v>993</v>
      </c>
    </row>
    <row r="930" spans="1:1" x14ac:dyDescent="0.25">
      <c r="A930" t="s">
        <v>994</v>
      </c>
    </row>
    <row r="931" spans="1:1" x14ac:dyDescent="0.25">
      <c r="A931" t="s">
        <v>995</v>
      </c>
    </row>
    <row r="932" spans="1:1" x14ac:dyDescent="0.25">
      <c r="A932" t="s">
        <v>996</v>
      </c>
    </row>
    <row r="933" spans="1:1" x14ac:dyDescent="0.25">
      <c r="A933" t="s">
        <v>997</v>
      </c>
    </row>
    <row r="934" spans="1:1" x14ac:dyDescent="0.25">
      <c r="A934" t="s">
        <v>998</v>
      </c>
    </row>
    <row r="935" spans="1:1" x14ac:dyDescent="0.25">
      <c r="A935" t="s">
        <v>999</v>
      </c>
    </row>
    <row r="936" spans="1:1" x14ac:dyDescent="0.25">
      <c r="A936" t="s">
        <v>1000</v>
      </c>
    </row>
    <row r="937" spans="1:1" x14ac:dyDescent="0.25">
      <c r="A937" t="s">
        <v>1001</v>
      </c>
    </row>
    <row r="938" spans="1:1" x14ac:dyDescent="0.25">
      <c r="A938" t="s">
        <v>1002</v>
      </c>
    </row>
    <row r="939" spans="1:1" x14ac:dyDescent="0.25">
      <c r="A939" t="s">
        <v>1003</v>
      </c>
    </row>
    <row r="940" spans="1:1" x14ac:dyDescent="0.25">
      <c r="A940" t="s">
        <v>1004</v>
      </c>
    </row>
    <row r="941" spans="1:1" x14ac:dyDescent="0.25">
      <c r="A941" t="s">
        <v>1005</v>
      </c>
    </row>
    <row r="942" spans="1:1" x14ac:dyDescent="0.25">
      <c r="A942" t="s">
        <v>1006</v>
      </c>
    </row>
    <row r="943" spans="1:1" x14ac:dyDescent="0.25">
      <c r="A943" t="s">
        <v>1007</v>
      </c>
    </row>
    <row r="944" spans="1:1" x14ac:dyDescent="0.25">
      <c r="A944" t="s">
        <v>1008</v>
      </c>
    </row>
    <row r="945" spans="1:1" x14ac:dyDescent="0.25">
      <c r="A945" t="s">
        <v>1009</v>
      </c>
    </row>
    <row r="946" spans="1:1" x14ac:dyDescent="0.25">
      <c r="A946" t="s">
        <v>1010</v>
      </c>
    </row>
    <row r="947" spans="1:1" x14ac:dyDescent="0.25">
      <c r="A947" t="s">
        <v>1011</v>
      </c>
    </row>
    <row r="948" spans="1:1" x14ac:dyDescent="0.25">
      <c r="A948" t="s">
        <v>1012</v>
      </c>
    </row>
    <row r="949" spans="1:1" x14ac:dyDescent="0.25">
      <c r="A949" t="s">
        <v>1013</v>
      </c>
    </row>
    <row r="950" spans="1:1" x14ac:dyDescent="0.25">
      <c r="A950" t="s">
        <v>1014</v>
      </c>
    </row>
    <row r="951" spans="1:1" x14ac:dyDescent="0.25">
      <c r="A951" t="s">
        <v>1015</v>
      </c>
    </row>
    <row r="952" spans="1:1" x14ac:dyDescent="0.25">
      <c r="A952" t="s">
        <v>1016</v>
      </c>
    </row>
    <row r="953" spans="1:1" x14ac:dyDescent="0.25">
      <c r="A953" t="s">
        <v>1017</v>
      </c>
    </row>
    <row r="954" spans="1:1" x14ac:dyDescent="0.25">
      <c r="A954" t="s">
        <v>1018</v>
      </c>
    </row>
    <row r="955" spans="1:1" x14ac:dyDescent="0.25">
      <c r="A955" t="s">
        <v>1019</v>
      </c>
    </row>
    <row r="956" spans="1:1" x14ac:dyDescent="0.25">
      <c r="A956" t="s">
        <v>1020</v>
      </c>
    </row>
    <row r="957" spans="1:1" x14ac:dyDescent="0.25">
      <c r="A957" t="s">
        <v>1021</v>
      </c>
    </row>
    <row r="958" spans="1:1" x14ac:dyDescent="0.25">
      <c r="A958" t="s">
        <v>1022</v>
      </c>
    </row>
    <row r="959" spans="1:1" x14ac:dyDescent="0.25">
      <c r="A959" t="s">
        <v>1023</v>
      </c>
    </row>
    <row r="960" spans="1:1" x14ac:dyDescent="0.25">
      <c r="A960" t="s">
        <v>1024</v>
      </c>
    </row>
    <row r="961" spans="1:1" x14ac:dyDescent="0.25">
      <c r="A961" t="s">
        <v>1025</v>
      </c>
    </row>
    <row r="962" spans="1:1" x14ac:dyDescent="0.25">
      <c r="A962" t="s">
        <v>1026</v>
      </c>
    </row>
    <row r="963" spans="1:1" x14ac:dyDescent="0.25">
      <c r="A963" t="s">
        <v>1027</v>
      </c>
    </row>
    <row r="964" spans="1:1" x14ac:dyDescent="0.25">
      <c r="A964" t="s">
        <v>1028</v>
      </c>
    </row>
    <row r="965" spans="1:1" x14ac:dyDescent="0.25">
      <c r="A965" t="s">
        <v>1029</v>
      </c>
    </row>
    <row r="966" spans="1:1" x14ac:dyDescent="0.25">
      <c r="A966" t="s">
        <v>1030</v>
      </c>
    </row>
    <row r="967" spans="1:1" x14ac:dyDescent="0.25">
      <c r="A967" t="s">
        <v>1031</v>
      </c>
    </row>
    <row r="968" spans="1:1" x14ac:dyDescent="0.25">
      <c r="A968" t="s">
        <v>1032</v>
      </c>
    </row>
    <row r="969" spans="1:1" x14ac:dyDescent="0.25">
      <c r="A969" t="s">
        <v>1033</v>
      </c>
    </row>
    <row r="970" spans="1:1" x14ac:dyDescent="0.25">
      <c r="A970" t="s">
        <v>1034</v>
      </c>
    </row>
    <row r="971" spans="1:1" x14ac:dyDescent="0.25">
      <c r="A971" t="s">
        <v>1035</v>
      </c>
    </row>
    <row r="972" spans="1:1" x14ac:dyDescent="0.25">
      <c r="A972" t="s">
        <v>1036</v>
      </c>
    </row>
    <row r="973" spans="1:1" x14ac:dyDescent="0.25">
      <c r="A973" t="s">
        <v>1037</v>
      </c>
    </row>
    <row r="974" spans="1:1" x14ac:dyDescent="0.25">
      <c r="A974" t="s">
        <v>1038</v>
      </c>
    </row>
    <row r="975" spans="1:1" x14ac:dyDescent="0.25">
      <c r="A975" t="s">
        <v>1039</v>
      </c>
    </row>
    <row r="976" spans="1:1" x14ac:dyDescent="0.25">
      <c r="A976" t="s">
        <v>1040</v>
      </c>
    </row>
    <row r="977" spans="1:1" x14ac:dyDescent="0.25">
      <c r="A977" t="s">
        <v>1041</v>
      </c>
    </row>
    <row r="978" spans="1:1" x14ac:dyDescent="0.25">
      <c r="A978" t="s">
        <v>1042</v>
      </c>
    </row>
    <row r="979" spans="1:1" x14ac:dyDescent="0.25">
      <c r="A979" t="s">
        <v>1043</v>
      </c>
    </row>
    <row r="980" spans="1:1" x14ac:dyDescent="0.25">
      <c r="A980" t="s">
        <v>1044</v>
      </c>
    </row>
    <row r="981" spans="1:1" x14ac:dyDescent="0.25">
      <c r="A981" t="s">
        <v>1045</v>
      </c>
    </row>
    <row r="982" spans="1:1" x14ac:dyDescent="0.25">
      <c r="A982" t="s">
        <v>1046</v>
      </c>
    </row>
    <row r="983" spans="1:1" x14ac:dyDescent="0.25">
      <c r="A983" t="s">
        <v>1047</v>
      </c>
    </row>
    <row r="984" spans="1:1" x14ac:dyDescent="0.25">
      <c r="A984" t="s">
        <v>1048</v>
      </c>
    </row>
    <row r="985" spans="1:1" x14ac:dyDescent="0.25">
      <c r="A985" t="s">
        <v>1049</v>
      </c>
    </row>
    <row r="986" spans="1:1" x14ac:dyDescent="0.25">
      <c r="A986" t="s">
        <v>1050</v>
      </c>
    </row>
    <row r="987" spans="1:1" x14ac:dyDescent="0.25">
      <c r="A987" t="s">
        <v>1051</v>
      </c>
    </row>
    <row r="988" spans="1:1" x14ac:dyDescent="0.25">
      <c r="A988" t="s">
        <v>1052</v>
      </c>
    </row>
    <row r="989" spans="1:1" x14ac:dyDescent="0.25">
      <c r="A989" t="s">
        <v>1053</v>
      </c>
    </row>
    <row r="990" spans="1:1" x14ac:dyDescent="0.25">
      <c r="A990" t="s">
        <v>1054</v>
      </c>
    </row>
    <row r="991" spans="1:1" x14ac:dyDescent="0.25">
      <c r="A991" t="s">
        <v>1055</v>
      </c>
    </row>
    <row r="992" spans="1:1" x14ac:dyDescent="0.25">
      <c r="A992" t="s">
        <v>1056</v>
      </c>
    </row>
    <row r="993" spans="1:1" x14ac:dyDescent="0.25">
      <c r="A993" t="s">
        <v>1057</v>
      </c>
    </row>
    <row r="994" spans="1:1" x14ac:dyDescent="0.25">
      <c r="A994" t="s">
        <v>1058</v>
      </c>
    </row>
    <row r="995" spans="1:1" x14ac:dyDescent="0.25">
      <c r="A995" t="s">
        <v>1059</v>
      </c>
    </row>
    <row r="996" spans="1:1" x14ac:dyDescent="0.25">
      <c r="A996" t="s">
        <v>1060</v>
      </c>
    </row>
    <row r="997" spans="1:1" x14ac:dyDescent="0.25">
      <c r="A997" t="s">
        <v>1061</v>
      </c>
    </row>
    <row r="998" spans="1:1" x14ac:dyDescent="0.25">
      <c r="A998" t="s">
        <v>1062</v>
      </c>
    </row>
    <row r="999" spans="1:1" x14ac:dyDescent="0.25">
      <c r="A999" t="s">
        <v>1063</v>
      </c>
    </row>
    <row r="1000" spans="1:1" x14ac:dyDescent="0.25">
      <c r="A1000" t="s">
        <v>1064</v>
      </c>
    </row>
    <row r="1001" spans="1:1" x14ac:dyDescent="0.25">
      <c r="A1001" t="s">
        <v>1065</v>
      </c>
    </row>
    <row r="1002" spans="1:1" x14ac:dyDescent="0.25">
      <c r="A1002" t="s">
        <v>1066</v>
      </c>
    </row>
    <row r="1003" spans="1:1" x14ac:dyDescent="0.25">
      <c r="A1003" t="s">
        <v>1067</v>
      </c>
    </row>
    <row r="1004" spans="1:1" x14ac:dyDescent="0.25">
      <c r="A1004" t="s">
        <v>1068</v>
      </c>
    </row>
    <row r="1005" spans="1:1" x14ac:dyDescent="0.25">
      <c r="A1005" t="s">
        <v>1069</v>
      </c>
    </row>
    <row r="1006" spans="1:1" x14ac:dyDescent="0.25">
      <c r="A1006" t="s">
        <v>1070</v>
      </c>
    </row>
    <row r="1007" spans="1:1" x14ac:dyDescent="0.25">
      <c r="A1007" t="s">
        <v>1071</v>
      </c>
    </row>
    <row r="1008" spans="1:1" x14ac:dyDescent="0.25">
      <c r="A1008" t="s">
        <v>1072</v>
      </c>
    </row>
    <row r="1009" spans="1:1" x14ac:dyDescent="0.25">
      <c r="A1009" t="s">
        <v>1073</v>
      </c>
    </row>
    <row r="1010" spans="1:1" x14ac:dyDescent="0.25">
      <c r="A1010" t="s">
        <v>1074</v>
      </c>
    </row>
    <row r="1011" spans="1:1" x14ac:dyDescent="0.25">
      <c r="A1011" t="s">
        <v>1075</v>
      </c>
    </row>
    <row r="1012" spans="1:1" x14ac:dyDescent="0.25">
      <c r="A1012" t="s">
        <v>1076</v>
      </c>
    </row>
    <row r="1013" spans="1:1" x14ac:dyDescent="0.25">
      <c r="A1013" t="s">
        <v>1077</v>
      </c>
    </row>
    <row r="1014" spans="1:1" x14ac:dyDescent="0.25">
      <c r="A1014" t="s">
        <v>1078</v>
      </c>
    </row>
    <row r="1015" spans="1:1" x14ac:dyDescent="0.25">
      <c r="A1015" t="s">
        <v>1079</v>
      </c>
    </row>
    <row r="1016" spans="1:1" x14ac:dyDescent="0.25">
      <c r="A1016" t="s">
        <v>1080</v>
      </c>
    </row>
    <row r="1017" spans="1:1" x14ac:dyDescent="0.25">
      <c r="A1017" t="s">
        <v>1081</v>
      </c>
    </row>
    <row r="1018" spans="1:1" x14ac:dyDescent="0.25">
      <c r="A1018" t="s">
        <v>1082</v>
      </c>
    </row>
    <row r="1019" spans="1:1" x14ac:dyDescent="0.25">
      <c r="A1019" t="s">
        <v>1083</v>
      </c>
    </row>
    <row r="1020" spans="1:1" x14ac:dyDescent="0.25">
      <c r="A1020" t="s">
        <v>1084</v>
      </c>
    </row>
    <row r="1021" spans="1:1" x14ac:dyDescent="0.25">
      <c r="A1021" t="s">
        <v>1085</v>
      </c>
    </row>
    <row r="1022" spans="1:1" x14ac:dyDescent="0.25">
      <c r="A1022" t="s">
        <v>1086</v>
      </c>
    </row>
    <row r="1023" spans="1:1" x14ac:dyDescent="0.25">
      <c r="A1023" t="s">
        <v>1087</v>
      </c>
    </row>
    <row r="1024" spans="1:1" x14ac:dyDescent="0.25">
      <c r="A1024" t="s">
        <v>1088</v>
      </c>
    </row>
    <row r="1025" spans="1:1" x14ac:dyDescent="0.25">
      <c r="A1025" t="s">
        <v>1089</v>
      </c>
    </row>
    <row r="1026" spans="1:1" x14ac:dyDescent="0.25">
      <c r="A1026" t="s">
        <v>1090</v>
      </c>
    </row>
    <row r="1027" spans="1:1" x14ac:dyDescent="0.25">
      <c r="A1027" t="s">
        <v>1091</v>
      </c>
    </row>
    <row r="1028" spans="1:1" x14ac:dyDescent="0.25">
      <c r="A1028" t="s">
        <v>1092</v>
      </c>
    </row>
    <row r="1029" spans="1:1" x14ac:dyDescent="0.25">
      <c r="A1029" t="s">
        <v>1093</v>
      </c>
    </row>
    <row r="1030" spans="1:1" x14ac:dyDescent="0.25">
      <c r="A1030" t="s">
        <v>1094</v>
      </c>
    </row>
    <row r="1031" spans="1:1" x14ac:dyDescent="0.25">
      <c r="A1031" t="s">
        <v>1095</v>
      </c>
    </row>
    <row r="1032" spans="1:1" x14ac:dyDescent="0.25">
      <c r="A1032" t="s">
        <v>1096</v>
      </c>
    </row>
    <row r="1033" spans="1:1" x14ac:dyDescent="0.25">
      <c r="A1033" t="s">
        <v>1097</v>
      </c>
    </row>
    <row r="1034" spans="1:1" x14ac:dyDescent="0.25">
      <c r="A1034" t="s">
        <v>1098</v>
      </c>
    </row>
    <row r="1035" spans="1:1" x14ac:dyDescent="0.25">
      <c r="A1035" t="s">
        <v>1099</v>
      </c>
    </row>
    <row r="1036" spans="1:1" x14ac:dyDescent="0.25">
      <c r="A1036" t="s">
        <v>1100</v>
      </c>
    </row>
    <row r="1037" spans="1:1" x14ac:dyDescent="0.25">
      <c r="A1037" t="s">
        <v>1101</v>
      </c>
    </row>
    <row r="1038" spans="1:1" x14ac:dyDescent="0.25">
      <c r="A1038" t="s">
        <v>1102</v>
      </c>
    </row>
    <row r="1039" spans="1:1" x14ac:dyDescent="0.25">
      <c r="A1039" t="s">
        <v>1103</v>
      </c>
    </row>
    <row r="1040" spans="1:1" x14ac:dyDescent="0.25">
      <c r="A1040" t="s">
        <v>1104</v>
      </c>
    </row>
    <row r="1041" spans="1:1" x14ac:dyDescent="0.25">
      <c r="A1041" t="s">
        <v>1105</v>
      </c>
    </row>
    <row r="1042" spans="1:1" x14ac:dyDescent="0.25">
      <c r="A1042" t="s">
        <v>1106</v>
      </c>
    </row>
    <row r="1043" spans="1:1" x14ac:dyDescent="0.25">
      <c r="A1043" t="s">
        <v>1107</v>
      </c>
    </row>
    <row r="1044" spans="1:1" x14ac:dyDescent="0.25">
      <c r="A1044" t="s">
        <v>1108</v>
      </c>
    </row>
    <row r="1045" spans="1:1" x14ac:dyDescent="0.25">
      <c r="A1045" t="s">
        <v>1109</v>
      </c>
    </row>
    <row r="1046" spans="1:1" x14ac:dyDescent="0.25">
      <c r="A1046" t="s">
        <v>1110</v>
      </c>
    </row>
    <row r="1047" spans="1:1" x14ac:dyDescent="0.25">
      <c r="A1047" t="s">
        <v>1111</v>
      </c>
    </row>
    <row r="1048" spans="1:1" x14ac:dyDescent="0.25">
      <c r="A1048" t="s">
        <v>1112</v>
      </c>
    </row>
    <row r="1049" spans="1:1" x14ac:dyDescent="0.25">
      <c r="A1049" t="s">
        <v>1113</v>
      </c>
    </row>
    <row r="1050" spans="1:1" x14ac:dyDescent="0.25">
      <c r="A1050" t="s">
        <v>1114</v>
      </c>
    </row>
    <row r="1051" spans="1:1" x14ac:dyDescent="0.25">
      <c r="A1051" t="s">
        <v>1115</v>
      </c>
    </row>
    <row r="1052" spans="1:1" x14ac:dyDescent="0.25">
      <c r="A1052" t="s">
        <v>1116</v>
      </c>
    </row>
    <row r="1053" spans="1:1" x14ac:dyDescent="0.25">
      <c r="A1053" t="s">
        <v>1117</v>
      </c>
    </row>
    <row r="1054" spans="1:1" x14ac:dyDescent="0.25">
      <c r="A1054" t="s">
        <v>1118</v>
      </c>
    </row>
    <row r="1055" spans="1:1" x14ac:dyDescent="0.25">
      <c r="A1055" t="s">
        <v>1119</v>
      </c>
    </row>
    <row r="1056" spans="1:1" x14ac:dyDescent="0.25">
      <c r="A1056" t="s">
        <v>1120</v>
      </c>
    </row>
    <row r="1057" spans="1:1" x14ac:dyDescent="0.25">
      <c r="A1057" t="s">
        <v>1121</v>
      </c>
    </row>
    <row r="1058" spans="1:1" x14ac:dyDescent="0.25">
      <c r="A1058" t="s">
        <v>1122</v>
      </c>
    </row>
    <row r="1059" spans="1:1" x14ac:dyDescent="0.25">
      <c r="A1059" t="s">
        <v>1123</v>
      </c>
    </row>
    <row r="1060" spans="1:1" x14ac:dyDescent="0.25">
      <c r="A1060" t="s">
        <v>1124</v>
      </c>
    </row>
    <row r="1061" spans="1:1" x14ac:dyDescent="0.25">
      <c r="A1061" t="s">
        <v>1125</v>
      </c>
    </row>
    <row r="1062" spans="1:1" x14ac:dyDescent="0.25">
      <c r="A1062" t="s">
        <v>1126</v>
      </c>
    </row>
    <row r="1063" spans="1:1" x14ac:dyDescent="0.25">
      <c r="A1063" t="s">
        <v>1127</v>
      </c>
    </row>
    <row r="1064" spans="1:1" x14ac:dyDescent="0.25">
      <c r="A1064" t="s">
        <v>1128</v>
      </c>
    </row>
    <row r="1065" spans="1:1" x14ac:dyDescent="0.25">
      <c r="A1065" t="s">
        <v>1129</v>
      </c>
    </row>
    <row r="1066" spans="1:1" x14ac:dyDescent="0.25">
      <c r="A1066" t="s">
        <v>1130</v>
      </c>
    </row>
    <row r="1067" spans="1:1" x14ac:dyDescent="0.25">
      <c r="A1067" t="s">
        <v>1131</v>
      </c>
    </row>
    <row r="1068" spans="1:1" x14ac:dyDescent="0.25">
      <c r="A1068" t="s">
        <v>1132</v>
      </c>
    </row>
    <row r="1069" spans="1:1" x14ac:dyDescent="0.25">
      <c r="A1069" t="s">
        <v>1133</v>
      </c>
    </row>
    <row r="1070" spans="1:1" x14ac:dyDescent="0.25">
      <c r="A1070" t="s">
        <v>1134</v>
      </c>
    </row>
    <row r="1071" spans="1:1" x14ac:dyDescent="0.25">
      <c r="A1071" t="s">
        <v>1135</v>
      </c>
    </row>
    <row r="1072" spans="1:1" x14ac:dyDescent="0.25">
      <c r="A1072" t="s">
        <v>1136</v>
      </c>
    </row>
    <row r="1073" spans="1:1" x14ac:dyDescent="0.25">
      <c r="A1073" t="s">
        <v>1137</v>
      </c>
    </row>
    <row r="1074" spans="1:1" x14ac:dyDescent="0.25">
      <c r="A1074" t="s">
        <v>1138</v>
      </c>
    </row>
    <row r="1075" spans="1:1" x14ac:dyDescent="0.25">
      <c r="A1075" t="s">
        <v>1139</v>
      </c>
    </row>
    <row r="1076" spans="1:1" x14ac:dyDescent="0.25">
      <c r="A1076" t="s">
        <v>1140</v>
      </c>
    </row>
    <row r="1077" spans="1:1" x14ac:dyDescent="0.25">
      <c r="A1077" t="s">
        <v>1141</v>
      </c>
    </row>
    <row r="1078" spans="1:1" x14ac:dyDescent="0.25">
      <c r="A1078" t="s">
        <v>1142</v>
      </c>
    </row>
    <row r="1079" spans="1:1" x14ac:dyDescent="0.25">
      <c r="A1079" t="s">
        <v>1143</v>
      </c>
    </row>
    <row r="1080" spans="1:1" x14ac:dyDescent="0.25">
      <c r="A1080" t="s">
        <v>1144</v>
      </c>
    </row>
    <row r="1081" spans="1:1" x14ac:dyDescent="0.25">
      <c r="A1081" t="s">
        <v>1145</v>
      </c>
    </row>
    <row r="1082" spans="1:1" x14ac:dyDescent="0.25">
      <c r="A1082" t="s">
        <v>1146</v>
      </c>
    </row>
    <row r="1083" spans="1:1" x14ac:dyDescent="0.25">
      <c r="A1083" t="s">
        <v>1147</v>
      </c>
    </row>
    <row r="1084" spans="1:1" x14ac:dyDescent="0.25">
      <c r="A1084" t="s">
        <v>1148</v>
      </c>
    </row>
    <row r="1085" spans="1:1" x14ac:dyDescent="0.25">
      <c r="A1085" t="s">
        <v>1149</v>
      </c>
    </row>
    <row r="1086" spans="1:1" x14ac:dyDescent="0.25">
      <c r="A1086" t="s">
        <v>1150</v>
      </c>
    </row>
    <row r="1087" spans="1:1" x14ac:dyDescent="0.25">
      <c r="A1087" t="s">
        <v>1151</v>
      </c>
    </row>
    <row r="1088" spans="1:1" x14ac:dyDescent="0.25">
      <c r="A1088" t="s">
        <v>1152</v>
      </c>
    </row>
    <row r="1089" spans="1:1" x14ac:dyDescent="0.25">
      <c r="A1089" t="s">
        <v>1153</v>
      </c>
    </row>
    <row r="1090" spans="1:1" x14ac:dyDescent="0.25">
      <c r="A1090" t="s">
        <v>1154</v>
      </c>
    </row>
    <row r="1091" spans="1:1" x14ac:dyDescent="0.25">
      <c r="A1091" t="s">
        <v>1155</v>
      </c>
    </row>
    <row r="1092" spans="1:1" x14ac:dyDescent="0.25">
      <c r="A1092" t="s">
        <v>1156</v>
      </c>
    </row>
    <row r="1093" spans="1:1" x14ac:dyDescent="0.25">
      <c r="A1093" t="s">
        <v>1157</v>
      </c>
    </row>
    <row r="1094" spans="1:1" x14ac:dyDescent="0.25">
      <c r="A1094" t="s">
        <v>1158</v>
      </c>
    </row>
    <row r="1095" spans="1:1" x14ac:dyDescent="0.25">
      <c r="A1095" t="s">
        <v>1159</v>
      </c>
    </row>
    <row r="1096" spans="1:1" x14ac:dyDescent="0.25">
      <c r="A1096" t="s">
        <v>1160</v>
      </c>
    </row>
    <row r="1097" spans="1:1" x14ac:dyDescent="0.25">
      <c r="A1097" t="s">
        <v>1161</v>
      </c>
    </row>
    <row r="1098" spans="1:1" x14ac:dyDescent="0.25">
      <c r="A1098" t="s">
        <v>1162</v>
      </c>
    </row>
    <row r="1099" spans="1:1" x14ac:dyDescent="0.25">
      <c r="A1099" t="s">
        <v>1163</v>
      </c>
    </row>
    <row r="1100" spans="1:1" x14ac:dyDescent="0.25">
      <c r="A1100" t="s">
        <v>1164</v>
      </c>
    </row>
    <row r="1101" spans="1:1" x14ac:dyDescent="0.25">
      <c r="A1101" t="s">
        <v>1165</v>
      </c>
    </row>
    <row r="1102" spans="1:1" x14ac:dyDescent="0.25">
      <c r="A1102" t="s">
        <v>1166</v>
      </c>
    </row>
    <row r="1103" spans="1:1" x14ac:dyDescent="0.25">
      <c r="A1103" t="s">
        <v>1167</v>
      </c>
    </row>
    <row r="1104" spans="1:1" x14ac:dyDescent="0.25">
      <c r="A1104" t="s">
        <v>1168</v>
      </c>
    </row>
    <row r="1105" spans="1:1" x14ac:dyDescent="0.25">
      <c r="A1105" t="s">
        <v>1169</v>
      </c>
    </row>
    <row r="1106" spans="1:1" x14ac:dyDescent="0.25">
      <c r="A1106" t="s">
        <v>1170</v>
      </c>
    </row>
    <row r="1107" spans="1:1" x14ac:dyDescent="0.25">
      <c r="A1107" t="s">
        <v>1171</v>
      </c>
    </row>
    <row r="1108" spans="1:1" x14ac:dyDescent="0.25">
      <c r="A1108" t="s">
        <v>1172</v>
      </c>
    </row>
    <row r="1109" spans="1:1" x14ac:dyDescent="0.25">
      <c r="A1109" t="s">
        <v>1173</v>
      </c>
    </row>
    <row r="1110" spans="1:1" x14ac:dyDescent="0.25">
      <c r="A1110" t="s">
        <v>1174</v>
      </c>
    </row>
    <row r="1111" spans="1:1" x14ac:dyDescent="0.25">
      <c r="A1111" t="s">
        <v>1175</v>
      </c>
    </row>
    <row r="1112" spans="1:1" x14ac:dyDescent="0.25">
      <c r="A1112" t="s">
        <v>1176</v>
      </c>
    </row>
    <row r="1113" spans="1:1" x14ac:dyDescent="0.25">
      <c r="A1113" t="s">
        <v>1177</v>
      </c>
    </row>
    <row r="1114" spans="1:1" x14ac:dyDescent="0.25">
      <c r="A1114" t="s">
        <v>1178</v>
      </c>
    </row>
    <row r="1115" spans="1:1" x14ac:dyDescent="0.25">
      <c r="A1115" t="s">
        <v>1179</v>
      </c>
    </row>
    <row r="1116" spans="1:1" x14ac:dyDescent="0.25">
      <c r="A1116" t="s">
        <v>1180</v>
      </c>
    </row>
    <row r="1117" spans="1:1" x14ac:dyDescent="0.25">
      <c r="A1117" t="s">
        <v>1181</v>
      </c>
    </row>
    <row r="1118" spans="1:1" x14ac:dyDescent="0.25">
      <c r="A1118" t="s">
        <v>1182</v>
      </c>
    </row>
    <row r="1119" spans="1:1" x14ac:dyDescent="0.25">
      <c r="A1119" t="s">
        <v>1183</v>
      </c>
    </row>
    <row r="1120" spans="1:1" x14ac:dyDescent="0.25">
      <c r="A1120" t="s">
        <v>1184</v>
      </c>
    </row>
    <row r="1121" spans="1:1" x14ac:dyDescent="0.25">
      <c r="A1121" t="s">
        <v>1185</v>
      </c>
    </row>
    <row r="1122" spans="1:1" x14ac:dyDescent="0.25">
      <c r="A1122" t="s">
        <v>1186</v>
      </c>
    </row>
    <row r="1123" spans="1:1" x14ac:dyDescent="0.25">
      <c r="A1123" t="s">
        <v>1187</v>
      </c>
    </row>
    <row r="1124" spans="1:1" x14ac:dyDescent="0.25">
      <c r="A1124" t="s">
        <v>1188</v>
      </c>
    </row>
    <row r="1125" spans="1:1" x14ac:dyDescent="0.25">
      <c r="A1125" t="s">
        <v>1189</v>
      </c>
    </row>
    <row r="1126" spans="1:1" x14ac:dyDescent="0.25">
      <c r="A1126" t="s">
        <v>1190</v>
      </c>
    </row>
    <row r="1127" spans="1:1" x14ac:dyDescent="0.25">
      <c r="A1127" t="s">
        <v>1191</v>
      </c>
    </row>
    <row r="1128" spans="1:1" x14ac:dyDescent="0.25">
      <c r="A1128" t="s">
        <v>1192</v>
      </c>
    </row>
    <row r="1129" spans="1:1" x14ac:dyDescent="0.25">
      <c r="A1129" t="s">
        <v>1193</v>
      </c>
    </row>
    <row r="1130" spans="1:1" x14ac:dyDescent="0.25">
      <c r="A1130" t="s">
        <v>1194</v>
      </c>
    </row>
    <row r="1131" spans="1:1" x14ac:dyDescent="0.25">
      <c r="A1131" t="s">
        <v>1195</v>
      </c>
    </row>
    <row r="1132" spans="1:1" x14ac:dyDescent="0.25">
      <c r="A1132" t="s">
        <v>1196</v>
      </c>
    </row>
    <row r="1133" spans="1:1" x14ac:dyDescent="0.25">
      <c r="A1133" t="s">
        <v>1197</v>
      </c>
    </row>
    <row r="1134" spans="1:1" x14ac:dyDescent="0.25">
      <c r="A1134" t="s">
        <v>1198</v>
      </c>
    </row>
    <row r="1135" spans="1:1" x14ac:dyDescent="0.25">
      <c r="A1135" t="s">
        <v>1199</v>
      </c>
    </row>
    <row r="1136" spans="1:1" x14ac:dyDescent="0.25">
      <c r="A1136" t="s">
        <v>1200</v>
      </c>
    </row>
    <row r="1137" spans="1:1" x14ac:dyDescent="0.25">
      <c r="A1137" t="s">
        <v>1201</v>
      </c>
    </row>
    <row r="1138" spans="1:1" x14ac:dyDescent="0.25">
      <c r="A1138" t="s">
        <v>1202</v>
      </c>
    </row>
    <row r="1139" spans="1:1" x14ac:dyDescent="0.25">
      <c r="A1139" t="s">
        <v>1203</v>
      </c>
    </row>
    <row r="1140" spans="1:1" x14ac:dyDescent="0.25">
      <c r="A1140" t="s">
        <v>1204</v>
      </c>
    </row>
    <row r="1141" spans="1:1" x14ac:dyDescent="0.25">
      <c r="A1141" t="s">
        <v>1205</v>
      </c>
    </row>
    <row r="1142" spans="1:1" x14ac:dyDescent="0.25">
      <c r="A1142" t="s">
        <v>1206</v>
      </c>
    </row>
    <row r="1143" spans="1:1" x14ac:dyDescent="0.25">
      <c r="A1143" t="s">
        <v>1207</v>
      </c>
    </row>
    <row r="1144" spans="1:1" x14ac:dyDescent="0.25">
      <c r="A1144" t="s">
        <v>1208</v>
      </c>
    </row>
    <row r="1145" spans="1:1" x14ac:dyDescent="0.25">
      <c r="A1145" t="s">
        <v>1209</v>
      </c>
    </row>
    <row r="1146" spans="1:1" x14ac:dyDescent="0.25">
      <c r="A1146" t="s">
        <v>1210</v>
      </c>
    </row>
    <row r="1147" spans="1:1" x14ac:dyDescent="0.25">
      <c r="A1147" t="s">
        <v>1211</v>
      </c>
    </row>
    <row r="1148" spans="1:1" x14ac:dyDescent="0.25">
      <c r="A1148" t="s">
        <v>1212</v>
      </c>
    </row>
    <row r="1149" spans="1:1" x14ac:dyDescent="0.25">
      <c r="A1149" t="s">
        <v>1213</v>
      </c>
    </row>
    <row r="1150" spans="1:1" x14ac:dyDescent="0.25">
      <c r="A1150" t="s">
        <v>1214</v>
      </c>
    </row>
    <row r="1151" spans="1:1" x14ac:dyDescent="0.25">
      <c r="A1151" t="s">
        <v>1215</v>
      </c>
    </row>
    <row r="1152" spans="1:1" x14ac:dyDescent="0.25">
      <c r="A1152" t="s">
        <v>1216</v>
      </c>
    </row>
    <row r="1153" spans="1:1" x14ac:dyDescent="0.25">
      <c r="A1153" t="s">
        <v>1217</v>
      </c>
    </row>
    <row r="1154" spans="1:1" x14ac:dyDescent="0.25">
      <c r="A1154" t="s">
        <v>1218</v>
      </c>
    </row>
    <row r="1155" spans="1:1" x14ac:dyDescent="0.25">
      <c r="A1155" t="s">
        <v>1219</v>
      </c>
    </row>
    <row r="1156" spans="1:1" x14ac:dyDescent="0.25">
      <c r="A1156" t="s">
        <v>1220</v>
      </c>
    </row>
    <row r="1157" spans="1:1" x14ac:dyDescent="0.25">
      <c r="A1157" t="s">
        <v>1221</v>
      </c>
    </row>
    <row r="1158" spans="1:1" x14ac:dyDescent="0.25">
      <c r="A1158" t="s">
        <v>1222</v>
      </c>
    </row>
    <row r="1159" spans="1:1" x14ac:dyDescent="0.25">
      <c r="A1159" t="s">
        <v>1223</v>
      </c>
    </row>
    <row r="1160" spans="1:1" x14ac:dyDescent="0.25">
      <c r="A1160" t="s">
        <v>1224</v>
      </c>
    </row>
    <row r="1161" spans="1:1" x14ac:dyDescent="0.25">
      <c r="A1161" t="s">
        <v>1225</v>
      </c>
    </row>
    <row r="1162" spans="1:1" x14ac:dyDescent="0.25">
      <c r="A1162" t="s">
        <v>1226</v>
      </c>
    </row>
    <row r="1163" spans="1:1" x14ac:dyDescent="0.25">
      <c r="A1163" t="s">
        <v>1227</v>
      </c>
    </row>
    <row r="1164" spans="1:1" x14ac:dyDescent="0.25">
      <c r="A1164" t="s">
        <v>1228</v>
      </c>
    </row>
    <row r="1165" spans="1:1" x14ac:dyDescent="0.25">
      <c r="A1165" t="s">
        <v>1229</v>
      </c>
    </row>
    <row r="1166" spans="1:1" x14ac:dyDescent="0.25">
      <c r="A1166" t="s">
        <v>1230</v>
      </c>
    </row>
    <row r="1167" spans="1:1" x14ac:dyDescent="0.25">
      <c r="A1167" t="s">
        <v>1231</v>
      </c>
    </row>
    <row r="1168" spans="1:1" x14ac:dyDescent="0.25">
      <c r="A1168" t="s">
        <v>1232</v>
      </c>
    </row>
    <row r="1169" spans="1:1" x14ac:dyDescent="0.25">
      <c r="A1169" t="s">
        <v>1233</v>
      </c>
    </row>
    <row r="1170" spans="1:1" x14ac:dyDescent="0.25">
      <c r="A1170" t="s">
        <v>1234</v>
      </c>
    </row>
    <row r="1171" spans="1:1" x14ac:dyDescent="0.25">
      <c r="A1171" t="s">
        <v>1235</v>
      </c>
    </row>
    <row r="1172" spans="1:1" x14ac:dyDescent="0.25">
      <c r="A1172" t="s">
        <v>1236</v>
      </c>
    </row>
    <row r="1173" spans="1:1" x14ac:dyDescent="0.25">
      <c r="A1173" t="s">
        <v>1237</v>
      </c>
    </row>
    <row r="1174" spans="1:1" x14ac:dyDescent="0.25">
      <c r="A1174" t="s">
        <v>1238</v>
      </c>
    </row>
    <row r="1175" spans="1:1" x14ac:dyDescent="0.25">
      <c r="A1175" t="s">
        <v>1239</v>
      </c>
    </row>
    <row r="1176" spans="1:1" x14ac:dyDescent="0.25">
      <c r="A1176" t="s">
        <v>1240</v>
      </c>
    </row>
    <row r="1177" spans="1:1" x14ac:dyDescent="0.25">
      <c r="A1177" t="s">
        <v>1241</v>
      </c>
    </row>
    <row r="1178" spans="1:1" x14ac:dyDescent="0.25">
      <c r="A1178" t="s">
        <v>1242</v>
      </c>
    </row>
    <row r="1179" spans="1:1" x14ac:dyDescent="0.25">
      <c r="A1179" t="s">
        <v>1243</v>
      </c>
    </row>
    <row r="1180" spans="1:1" x14ac:dyDescent="0.25">
      <c r="A1180" t="s">
        <v>1244</v>
      </c>
    </row>
    <row r="1181" spans="1:1" x14ac:dyDescent="0.25">
      <c r="A1181" t="s">
        <v>1245</v>
      </c>
    </row>
    <row r="1182" spans="1:1" x14ac:dyDescent="0.25">
      <c r="A1182" t="s">
        <v>1246</v>
      </c>
    </row>
    <row r="1183" spans="1:1" x14ac:dyDescent="0.25">
      <c r="A1183" t="s">
        <v>1247</v>
      </c>
    </row>
    <row r="1184" spans="1:1" x14ac:dyDescent="0.25">
      <c r="A1184" t="s">
        <v>1248</v>
      </c>
    </row>
    <row r="1185" spans="1:1" x14ac:dyDescent="0.25">
      <c r="A1185" t="s">
        <v>1249</v>
      </c>
    </row>
    <row r="1186" spans="1:1" x14ac:dyDescent="0.25">
      <c r="A1186" t="s">
        <v>1250</v>
      </c>
    </row>
    <row r="1187" spans="1:1" x14ac:dyDescent="0.25">
      <c r="A1187" t="s">
        <v>1251</v>
      </c>
    </row>
    <row r="1188" spans="1:1" x14ac:dyDescent="0.25">
      <c r="A1188" t="s">
        <v>1252</v>
      </c>
    </row>
    <row r="1189" spans="1:1" x14ac:dyDescent="0.25">
      <c r="A1189" t="s">
        <v>1253</v>
      </c>
    </row>
    <row r="1190" spans="1:1" x14ac:dyDescent="0.25">
      <c r="A1190" t="s">
        <v>1254</v>
      </c>
    </row>
    <row r="1191" spans="1:1" x14ac:dyDescent="0.25">
      <c r="A1191" t="s">
        <v>1255</v>
      </c>
    </row>
    <row r="1192" spans="1:1" x14ac:dyDescent="0.25">
      <c r="A1192" t="s">
        <v>1256</v>
      </c>
    </row>
    <row r="1193" spans="1:1" x14ac:dyDescent="0.25">
      <c r="A1193" t="s">
        <v>1257</v>
      </c>
    </row>
    <row r="1194" spans="1:1" x14ac:dyDescent="0.25">
      <c r="A1194" t="s">
        <v>1258</v>
      </c>
    </row>
    <row r="1195" spans="1:1" x14ac:dyDescent="0.25">
      <c r="A1195" t="s">
        <v>1259</v>
      </c>
    </row>
    <row r="1196" spans="1:1" x14ac:dyDescent="0.25">
      <c r="A1196" t="s">
        <v>1260</v>
      </c>
    </row>
    <row r="1197" spans="1:1" x14ac:dyDescent="0.25">
      <c r="A1197" t="s">
        <v>1261</v>
      </c>
    </row>
    <row r="1198" spans="1:1" x14ac:dyDescent="0.25">
      <c r="A1198" t="s">
        <v>1262</v>
      </c>
    </row>
    <row r="1199" spans="1:1" x14ac:dyDescent="0.25">
      <c r="A1199" t="s">
        <v>1263</v>
      </c>
    </row>
    <row r="1200" spans="1:1" x14ac:dyDescent="0.25">
      <c r="A1200" t="s">
        <v>1264</v>
      </c>
    </row>
    <row r="1201" spans="1:1" x14ac:dyDescent="0.25">
      <c r="A1201" t="s">
        <v>1265</v>
      </c>
    </row>
    <row r="1202" spans="1:1" x14ac:dyDescent="0.25">
      <c r="A1202" t="s">
        <v>1266</v>
      </c>
    </row>
    <row r="1203" spans="1:1" x14ac:dyDescent="0.25">
      <c r="A1203" t="s">
        <v>1267</v>
      </c>
    </row>
    <row r="1204" spans="1:1" x14ac:dyDescent="0.25">
      <c r="A1204" t="s">
        <v>1268</v>
      </c>
    </row>
    <row r="1205" spans="1:1" x14ac:dyDescent="0.25">
      <c r="A1205" t="s">
        <v>1269</v>
      </c>
    </row>
    <row r="1206" spans="1:1" x14ac:dyDescent="0.25">
      <c r="A1206" t="s">
        <v>1270</v>
      </c>
    </row>
    <row r="1207" spans="1:1" x14ac:dyDescent="0.25">
      <c r="A1207" t="s">
        <v>1271</v>
      </c>
    </row>
    <row r="1208" spans="1:1" x14ac:dyDescent="0.25">
      <c r="A1208" t="s">
        <v>1272</v>
      </c>
    </row>
    <row r="1209" spans="1:1" x14ac:dyDescent="0.25">
      <c r="A1209" t="s">
        <v>1273</v>
      </c>
    </row>
    <row r="1210" spans="1:1" x14ac:dyDescent="0.25">
      <c r="A1210" t="s">
        <v>1274</v>
      </c>
    </row>
    <row r="1211" spans="1:1" x14ac:dyDescent="0.25">
      <c r="A1211" t="s">
        <v>1275</v>
      </c>
    </row>
    <row r="1212" spans="1:1" x14ac:dyDescent="0.25">
      <c r="A1212" t="s">
        <v>1276</v>
      </c>
    </row>
    <row r="1213" spans="1:1" x14ac:dyDescent="0.25">
      <c r="A1213" t="s">
        <v>1277</v>
      </c>
    </row>
    <row r="1214" spans="1:1" x14ac:dyDescent="0.25">
      <c r="A1214" t="s">
        <v>1278</v>
      </c>
    </row>
    <row r="1215" spans="1:1" x14ac:dyDescent="0.25">
      <c r="A1215" t="s">
        <v>1279</v>
      </c>
    </row>
    <row r="1216" spans="1:1" x14ac:dyDescent="0.25">
      <c r="A1216" t="s">
        <v>1280</v>
      </c>
    </row>
    <row r="1217" spans="1:1" x14ac:dyDescent="0.25">
      <c r="A1217" t="s">
        <v>1281</v>
      </c>
    </row>
    <row r="1218" spans="1:1" x14ac:dyDescent="0.25">
      <c r="A1218" t="s">
        <v>1282</v>
      </c>
    </row>
    <row r="1219" spans="1:1" x14ac:dyDescent="0.25">
      <c r="A1219" t="s">
        <v>1283</v>
      </c>
    </row>
    <row r="1220" spans="1:1" x14ac:dyDescent="0.25">
      <c r="A1220" t="s">
        <v>1284</v>
      </c>
    </row>
    <row r="1221" spans="1:1" x14ac:dyDescent="0.25">
      <c r="A1221" t="s">
        <v>1285</v>
      </c>
    </row>
    <row r="1222" spans="1:1" x14ac:dyDescent="0.25">
      <c r="A1222" t="s">
        <v>1286</v>
      </c>
    </row>
    <row r="1223" spans="1:1" x14ac:dyDescent="0.25">
      <c r="A1223" t="s">
        <v>1287</v>
      </c>
    </row>
    <row r="1224" spans="1:1" x14ac:dyDescent="0.25">
      <c r="A1224" t="s">
        <v>1288</v>
      </c>
    </row>
    <row r="1225" spans="1:1" x14ac:dyDescent="0.25">
      <c r="A1225" t="s">
        <v>1289</v>
      </c>
    </row>
    <row r="1226" spans="1:1" x14ac:dyDescent="0.25">
      <c r="A1226" t="s">
        <v>1290</v>
      </c>
    </row>
    <row r="1227" spans="1:1" x14ac:dyDescent="0.25">
      <c r="A1227" t="s">
        <v>1291</v>
      </c>
    </row>
    <row r="1228" spans="1:1" x14ac:dyDescent="0.25">
      <c r="A1228" t="s">
        <v>1292</v>
      </c>
    </row>
    <row r="1229" spans="1:1" x14ac:dyDescent="0.25">
      <c r="A1229" t="s">
        <v>1293</v>
      </c>
    </row>
    <row r="1230" spans="1:1" x14ac:dyDescent="0.25">
      <c r="A1230" t="s">
        <v>1294</v>
      </c>
    </row>
    <row r="1231" spans="1:1" x14ac:dyDescent="0.25">
      <c r="A1231" t="s">
        <v>1295</v>
      </c>
    </row>
    <row r="1232" spans="1:1" x14ac:dyDescent="0.25">
      <c r="A1232" t="s">
        <v>1296</v>
      </c>
    </row>
    <row r="1233" spans="1:1" x14ac:dyDescent="0.25">
      <c r="A1233" t="s">
        <v>1297</v>
      </c>
    </row>
    <row r="1234" spans="1:1" x14ac:dyDescent="0.25">
      <c r="A1234" t="s">
        <v>1298</v>
      </c>
    </row>
    <row r="1235" spans="1:1" x14ac:dyDescent="0.25">
      <c r="A1235" t="s">
        <v>1299</v>
      </c>
    </row>
    <row r="1236" spans="1:1" x14ac:dyDescent="0.25">
      <c r="A1236" t="s">
        <v>1300</v>
      </c>
    </row>
    <row r="1237" spans="1:1" x14ac:dyDescent="0.25">
      <c r="A1237" t="s">
        <v>1301</v>
      </c>
    </row>
    <row r="1238" spans="1:1" x14ac:dyDescent="0.25">
      <c r="A1238" t="s">
        <v>1302</v>
      </c>
    </row>
    <row r="1239" spans="1:1" x14ac:dyDescent="0.25">
      <c r="A1239" t="s">
        <v>1303</v>
      </c>
    </row>
    <row r="1240" spans="1:1" x14ac:dyDescent="0.25">
      <c r="A1240" t="s">
        <v>1304</v>
      </c>
    </row>
    <row r="1241" spans="1:1" x14ac:dyDescent="0.25">
      <c r="A1241" t="s">
        <v>1305</v>
      </c>
    </row>
    <row r="1242" spans="1:1" x14ac:dyDescent="0.25">
      <c r="A1242" t="s">
        <v>1306</v>
      </c>
    </row>
    <row r="1243" spans="1:1" x14ac:dyDescent="0.25">
      <c r="A1243" t="s">
        <v>1307</v>
      </c>
    </row>
    <row r="1244" spans="1:1" x14ac:dyDescent="0.25">
      <c r="A1244" t="s">
        <v>1308</v>
      </c>
    </row>
    <row r="1245" spans="1:1" x14ac:dyDescent="0.25">
      <c r="A1245" t="s">
        <v>1309</v>
      </c>
    </row>
    <row r="1246" spans="1:1" x14ac:dyDescent="0.25">
      <c r="A1246" t="s">
        <v>1310</v>
      </c>
    </row>
    <row r="1247" spans="1:1" x14ac:dyDescent="0.25">
      <c r="A1247" t="s">
        <v>1311</v>
      </c>
    </row>
    <row r="1248" spans="1:1" x14ac:dyDescent="0.25">
      <c r="A1248" t="s">
        <v>1312</v>
      </c>
    </row>
    <row r="1249" spans="1:1" x14ac:dyDescent="0.25">
      <c r="A1249" t="s">
        <v>1313</v>
      </c>
    </row>
    <row r="1250" spans="1:1" x14ac:dyDescent="0.25">
      <c r="A1250" t="s">
        <v>1314</v>
      </c>
    </row>
    <row r="1251" spans="1:1" x14ac:dyDescent="0.25">
      <c r="A1251" t="s">
        <v>1315</v>
      </c>
    </row>
    <row r="1252" spans="1:1" x14ac:dyDescent="0.25">
      <c r="A1252" t="s">
        <v>1316</v>
      </c>
    </row>
    <row r="1253" spans="1:1" x14ac:dyDescent="0.25">
      <c r="A1253" t="s">
        <v>1317</v>
      </c>
    </row>
    <row r="1254" spans="1:1" x14ac:dyDescent="0.25">
      <c r="A1254" t="s">
        <v>1318</v>
      </c>
    </row>
    <row r="1255" spans="1:1" x14ac:dyDescent="0.25">
      <c r="A1255" t="s">
        <v>1319</v>
      </c>
    </row>
    <row r="1256" spans="1:1" x14ac:dyDescent="0.25">
      <c r="A1256" t="s">
        <v>1320</v>
      </c>
    </row>
    <row r="1257" spans="1:1" x14ac:dyDescent="0.25">
      <c r="A1257" t="s">
        <v>1321</v>
      </c>
    </row>
    <row r="1258" spans="1:1" x14ac:dyDescent="0.25">
      <c r="A1258" t="s">
        <v>1322</v>
      </c>
    </row>
    <row r="1259" spans="1:1" x14ac:dyDescent="0.25">
      <c r="A1259" t="s">
        <v>1323</v>
      </c>
    </row>
    <row r="1260" spans="1:1" x14ac:dyDescent="0.25">
      <c r="A1260" t="s">
        <v>1324</v>
      </c>
    </row>
    <row r="1261" spans="1:1" x14ac:dyDescent="0.25">
      <c r="A1261" t="s">
        <v>1325</v>
      </c>
    </row>
    <row r="1262" spans="1:1" x14ac:dyDescent="0.25">
      <c r="A1262" t="s">
        <v>1326</v>
      </c>
    </row>
    <row r="1263" spans="1:1" x14ac:dyDescent="0.25">
      <c r="A1263" t="s">
        <v>1327</v>
      </c>
    </row>
    <row r="1264" spans="1:1" x14ac:dyDescent="0.25">
      <c r="A1264" t="s">
        <v>1328</v>
      </c>
    </row>
    <row r="1265" spans="1:1" x14ac:dyDescent="0.25">
      <c r="A1265" t="s">
        <v>1329</v>
      </c>
    </row>
    <row r="1266" spans="1:1" x14ac:dyDescent="0.25">
      <c r="A1266" t="s">
        <v>1330</v>
      </c>
    </row>
    <row r="1267" spans="1:1" x14ac:dyDescent="0.25">
      <c r="A1267" t="s">
        <v>1331</v>
      </c>
    </row>
    <row r="1268" spans="1:1" x14ac:dyDescent="0.25">
      <c r="A1268" t="s">
        <v>1332</v>
      </c>
    </row>
    <row r="1269" spans="1:1" x14ac:dyDescent="0.25">
      <c r="A1269" t="s">
        <v>1333</v>
      </c>
    </row>
    <row r="1270" spans="1:1" x14ac:dyDescent="0.25">
      <c r="A1270" t="s">
        <v>1334</v>
      </c>
    </row>
    <row r="1271" spans="1:1" x14ac:dyDescent="0.25">
      <c r="A1271" t="s">
        <v>1335</v>
      </c>
    </row>
    <row r="1272" spans="1:1" x14ac:dyDescent="0.25">
      <c r="A1272" t="s">
        <v>1336</v>
      </c>
    </row>
    <row r="1273" spans="1:1" x14ac:dyDescent="0.25">
      <c r="A1273" t="s">
        <v>1337</v>
      </c>
    </row>
    <row r="1274" spans="1:1" x14ac:dyDescent="0.25">
      <c r="A1274" t="s">
        <v>1338</v>
      </c>
    </row>
    <row r="1275" spans="1:1" x14ac:dyDescent="0.25">
      <c r="A1275" t="s">
        <v>1339</v>
      </c>
    </row>
    <row r="1276" spans="1:1" x14ac:dyDescent="0.25">
      <c r="A1276" t="s">
        <v>1340</v>
      </c>
    </row>
    <row r="1277" spans="1:1" x14ac:dyDescent="0.25">
      <c r="A1277" t="s">
        <v>1341</v>
      </c>
    </row>
    <row r="1278" spans="1:1" x14ac:dyDescent="0.25">
      <c r="A1278" t="s">
        <v>1342</v>
      </c>
    </row>
    <row r="1279" spans="1:1" x14ac:dyDescent="0.25">
      <c r="A1279" t="s">
        <v>1343</v>
      </c>
    </row>
    <row r="1280" spans="1:1" x14ac:dyDescent="0.25">
      <c r="A1280" t="s">
        <v>1344</v>
      </c>
    </row>
    <row r="1281" spans="1:1" x14ac:dyDescent="0.25">
      <c r="A1281" t="s">
        <v>1345</v>
      </c>
    </row>
    <row r="1282" spans="1:1" x14ac:dyDescent="0.25">
      <c r="A1282" t="s">
        <v>1346</v>
      </c>
    </row>
    <row r="1283" spans="1:1" x14ac:dyDescent="0.25">
      <c r="A1283" t="s">
        <v>1347</v>
      </c>
    </row>
    <row r="1284" spans="1:1" x14ac:dyDescent="0.25">
      <c r="A1284" t="s">
        <v>1348</v>
      </c>
    </row>
    <row r="1285" spans="1:1" x14ac:dyDescent="0.25">
      <c r="A1285" t="s">
        <v>1349</v>
      </c>
    </row>
    <row r="1286" spans="1:1" x14ac:dyDescent="0.25">
      <c r="A1286" t="s">
        <v>1350</v>
      </c>
    </row>
    <row r="1287" spans="1:1" x14ac:dyDescent="0.25">
      <c r="A1287" t="s">
        <v>1351</v>
      </c>
    </row>
    <row r="1288" spans="1:1" x14ac:dyDescent="0.25">
      <c r="A1288" t="s">
        <v>1352</v>
      </c>
    </row>
    <row r="1289" spans="1:1" x14ac:dyDescent="0.25">
      <c r="A1289" t="s">
        <v>1353</v>
      </c>
    </row>
    <row r="1290" spans="1:1" x14ac:dyDescent="0.25">
      <c r="A1290" t="s">
        <v>1354</v>
      </c>
    </row>
    <row r="1291" spans="1:1" x14ac:dyDescent="0.25">
      <c r="A1291" t="s">
        <v>1355</v>
      </c>
    </row>
    <row r="1292" spans="1:1" x14ac:dyDescent="0.25">
      <c r="A1292" t="s">
        <v>1356</v>
      </c>
    </row>
    <row r="1293" spans="1:1" x14ac:dyDescent="0.25">
      <c r="A1293" t="s">
        <v>1357</v>
      </c>
    </row>
    <row r="1294" spans="1:1" x14ac:dyDescent="0.25">
      <c r="A1294" t="s">
        <v>1358</v>
      </c>
    </row>
    <row r="1295" spans="1:1" x14ac:dyDescent="0.25">
      <c r="A1295" t="s">
        <v>1359</v>
      </c>
    </row>
    <row r="1296" spans="1:1" x14ac:dyDescent="0.25">
      <c r="A1296" t="s">
        <v>1360</v>
      </c>
    </row>
    <row r="1297" spans="1:1" x14ac:dyDescent="0.25">
      <c r="A1297" t="s">
        <v>1361</v>
      </c>
    </row>
    <row r="1298" spans="1:1" x14ac:dyDescent="0.25">
      <c r="A1298" t="s">
        <v>1362</v>
      </c>
    </row>
    <row r="1299" spans="1:1" x14ac:dyDescent="0.25">
      <c r="A1299" t="s">
        <v>1363</v>
      </c>
    </row>
    <row r="1300" spans="1:1" x14ac:dyDescent="0.25">
      <c r="A1300" t="s">
        <v>1364</v>
      </c>
    </row>
    <row r="1301" spans="1:1" x14ac:dyDescent="0.25">
      <c r="A1301" t="s">
        <v>1365</v>
      </c>
    </row>
    <row r="1302" spans="1:1" x14ac:dyDescent="0.25">
      <c r="A1302" t="s">
        <v>1366</v>
      </c>
    </row>
    <row r="1303" spans="1:1" x14ac:dyDescent="0.25">
      <c r="A1303" t="s">
        <v>1367</v>
      </c>
    </row>
    <row r="1304" spans="1:1" x14ac:dyDescent="0.25">
      <c r="A1304" t="s">
        <v>1368</v>
      </c>
    </row>
    <row r="1305" spans="1:1" x14ac:dyDescent="0.25">
      <c r="A1305" t="s">
        <v>1369</v>
      </c>
    </row>
    <row r="1306" spans="1:1" x14ac:dyDescent="0.25">
      <c r="A1306" t="s">
        <v>1370</v>
      </c>
    </row>
    <row r="1307" spans="1:1" x14ac:dyDescent="0.25">
      <c r="A1307" t="s">
        <v>1371</v>
      </c>
    </row>
    <row r="1308" spans="1:1" x14ac:dyDescent="0.25">
      <c r="A1308" t="s">
        <v>1372</v>
      </c>
    </row>
    <row r="1309" spans="1:1" x14ac:dyDescent="0.25">
      <c r="A1309" t="s">
        <v>1373</v>
      </c>
    </row>
    <row r="1310" spans="1:1" x14ac:dyDescent="0.25">
      <c r="A1310" t="s">
        <v>1374</v>
      </c>
    </row>
    <row r="1311" spans="1:1" x14ac:dyDescent="0.25">
      <c r="A1311" t="s">
        <v>1375</v>
      </c>
    </row>
    <row r="1312" spans="1:1" x14ac:dyDescent="0.25">
      <c r="A1312" t="s">
        <v>1376</v>
      </c>
    </row>
    <row r="1313" spans="1:1" x14ac:dyDescent="0.25">
      <c r="A1313" t="s">
        <v>1377</v>
      </c>
    </row>
    <row r="1314" spans="1:1" x14ac:dyDescent="0.25">
      <c r="A1314" t="s">
        <v>1378</v>
      </c>
    </row>
    <row r="1315" spans="1:1" x14ac:dyDescent="0.25">
      <c r="A1315" t="s">
        <v>1379</v>
      </c>
    </row>
    <row r="1316" spans="1:1" x14ac:dyDescent="0.25">
      <c r="A1316" t="s">
        <v>1380</v>
      </c>
    </row>
    <row r="1317" spans="1:1" x14ac:dyDescent="0.25">
      <c r="A1317" t="s">
        <v>1381</v>
      </c>
    </row>
    <row r="1318" spans="1:1" x14ac:dyDescent="0.25">
      <c r="A1318" t="s">
        <v>1382</v>
      </c>
    </row>
    <row r="1319" spans="1:1" x14ac:dyDescent="0.25">
      <c r="A1319" t="s">
        <v>1383</v>
      </c>
    </row>
    <row r="1320" spans="1:1" x14ac:dyDescent="0.25">
      <c r="A1320" t="s">
        <v>1384</v>
      </c>
    </row>
    <row r="1321" spans="1:1" x14ac:dyDescent="0.25">
      <c r="A1321" t="s">
        <v>1385</v>
      </c>
    </row>
    <row r="1322" spans="1:1" x14ac:dyDescent="0.25">
      <c r="A1322" t="s">
        <v>1386</v>
      </c>
    </row>
    <row r="1323" spans="1:1" x14ac:dyDescent="0.25">
      <c r="A1323" t="s">
        <v>1387</v>
      </c>
    </row>
    <row r="1324" spans="1:1" x14ac:dyDescent="0.25">
      <c r="A1324" t="s">
        <v>1388</v>
      </c>
    </row>
    <row r="1325" spans="1:1" x14ac:dyDescent="0.25">
      <c r="A1325" t="s">
        <v>1389</v>
      </c>
    </row>
    <row r="1326" spans="1:1" x14ac:dyDescent="0.25">
      <c r="A1326" t="s">
        <v>1390</v>
      </c>
    </row>
    <row r="1327" spans="1:1" x14ac:dyDescent="0.25">
      <c r="A1327" t="s">
        <v>1391</v>
      </c>
    </row>
    <row r="1328" spans="1:1" x14ac:dyDescent="0.25">
      <c r="A1328" t="s">
        <v>1392</v>
      </c>
    </row>
    <row r="1329" spans="1:1" x14ac:dyDescent="0.25">
      <c r="A1329" t="s">
        <v>1393</v>
      </c>
    </row>
    <row r="1330" spans="1:1" x14ac:dyDescent="0.25">
      <c r="A1330" t="s">
        <v>1394</v>
      </c>
    </row>
    <row r="1331" spans="1:1" x14ac:dyDescent="0.25">
      <c r="A1331" t="s">
        <v>1395</v>
      </c>
    </row>
    <row r="1332" spans="1:1" x14ac:dyDescent="0.25">
      <c r="A1332" t="s">
        <v>1396</v>
      </c>
    </row>
    <row r="1333" spans="1:1" x14ac:dyDescent="0.25">
      <c r="A1333" t="s">
        <v>1397</v>
      </c>
    </row>
    <row r="1334" spans="1:1" x14ac:dyDescent="0.25">
      <c r="A1334" t="s">
        <v>1398</v>
      </c>
    </row>
    <row r="1335" spans="1:1" x14ac:dyDescent="0.25">
      <c r="A1335" t="s">
        <v>1399</v>
      </c>
    </row>
    <row r="1336" spans="1:1" x14ac:dyDescent="0.25">
      <c r="A1336" t="s">
        <v>1400</v>
      </c>
    </row>
    <row r="1337" spans="1:1" x14ac:dyDescent="0.25">
      <c r="A1337" t="s">
        <v>1401</v>
      </c>
    </row>
    <row r="1338" spans="1:1" x14ac:dyDescent="0.25">
      <c r="A1338" t="s">
        <v>1402</v>
      </c>
    </row>
    <row r="1339" spans="1:1" x14ac:dyDescent="0.25">
      <c r="A1339" t="s">
        <v>1403</v>
      </c>
    </row>
    <row r="1340" spans="1:1" x14ac:dyDescent="0.25">
      <c r="A1340" t="s">
        <v>1404</v>
      </c>
    </row>
    <row r="1341" spans="1:1" x14ac:dyDescent="0.25">
      <c r="A1341" t="s">
        <v>1405</v>
      </c>
    </row>
    <row r="1342" spans="1:1" x14ac:dyDescent="0.25">
      <c r="A1342" t="s">
        <v>1406</v>
      </c>
    </row>
    <row r="1343" spans="1:1" x14ac:dyDescent="0.25">
      <c r="A1343" t="s">
        <v>1407</v>
      </c>
    </row>
    <row r="1344" spans="1:1" x14ac:dyDescent="0.25">
      <c r="A1344" t="s">
        <v>1408</v>
      </c>
    </row>
    <row r="1345" spans="1:1" x14ac:dyDescent="0.25">
      <c r="A1345" t="s">
        <v>1409</v>
      </c>
    </row>
    <row r="1346" spans="1:1" x14ac:dyDescent="0.25">
      <c r="A1346" t="s">
        <v>1410</v>
      </c>
    </row>
    <row r="1347" spans="1:1" x14ac:dyDescent="0.25">
      <c r="A1347" t="s">
        <v>1411</v>
      </c>
    </row>
    <row r="1348" spans="1:1" x14ac:dyDescent="0.25">
      <c r="A1348" t="s">
        <v>1412</v>
      </c>
    </row>
    <row r="1349" spans="1:1" x14ac:dyDescent="0.25">
      <c r="A1349" t="s">
        <v>1413</v>
      </c>
    </row>
    <row r="1350" spans="1:1" x14ac:dyDescent="0.25">
      <c r="A1350" t="s">
        <v>1414</v>
      </c>
    </row>
    <row r="1351" spans="1:1" x14ac:dyDescent="0.25">
      <c r="A1351" t="s">
        <v>1415</v>
      </c>
    </row>
    <row r="1352" spans="1:1" x14ac:dyDescent="0.25">
      <c r="A1352" t="s">
        <v>1416</v>
      </c>
    </row>
    <row r="1353" spans="1:1" x14ac:dyDescent="0.25">
      <c r="A1353" t="s">
        <v>1417</v>
      </c>
    </row>
    <row r="1354" spans="1:1" x14ac:dyDescent="0.25">
      <c r="A1354" t="s">
        <v>1418</v>
      </c>
    </row>
    <row r="1355" spans="1:1" x14ac:dyDescent="0.25">
      <c r="A1355" t="s">
        <v>1419</v>
      </c>
    </row>
    <row r="1356" spans="1:1" x14ac:dyDescent="0.25">
      <c r="A1356" t="s">
        <v>1420</v>
      </c>
    </row>
    <row r="1357" spans="1:1" x14ac:dyDescent="0.25">
      <c r="A1357" t="s">
        <v>1421</v>
      </c>
    </row>
    <row r="1358" spans="1:1" x14ac:dyDescent="0.25">
      <c r="A1358" t="s">
        <v>1422</v>
      </c>
    </row>
    <row r="1359" spans="1:1" x14ac:dyDescent="0.25">
      <c r="A1359" t="s">
        <v>1423</v>
      </c>
    </row>
    <row r="1360" spans="1:1" x14ac:dyDescent="0.25">
      <c r="A1360" t="s">
        <v>1424</v>
      </c>
    </row>
    <row r="1361" spans="1:1" x14ac:dyDescent="0.25">
      <c r="A1361" t="s">
        <v>1425</v>
      </c>
    </row>
    <row r="1362" spans="1:1" x14ac:dyDescent="0.25">
      <c r="A1362" t="s">
        <v>1426</v>
      </c>
    </row>
    <row r="1363" spans="1:1" x14ac:dyDescent="0.25">
      <c r="A1363" t="s">
        <v>1427</v>
      </c>
    </row>
    <row r="1364" spans="1:1" x14ac:dyDescent="0.25">
      <c r="A1364" t="s">
        <v>1428</v>
      </c>
    </row>
    <row r="1365" spans="1:1" x14ac:dyDescent="0.25">
      <c r="A1365" t="s">
        <v>1429</v>
      </c>
    </row>
    <row r="1366" spans="1:1" x14ac:dyDescent="0.25">
      <c r="A1366" t="s">
        <v>1430</v>
      </c>
    </row>
    <row r="1367" spans="1:1" x14ac:dyDescent="0.25">
      <c r="A1367" t="s">
        <v>1431</v>
      </c>
    </row>
    <row r="1368" spans="1:1" x14ac:dyDescent="0.25">
      <c r="A1368" t="s">
        <v>1432</v>
      </c>
    </row>
    <row r="1369" spans="1:1" x14ac:dyDescent="0.25">
      <c r="A1369" t="s">
        <v>1433</v>
      </c>
    </row>
    <row r="1370" spans="1:1" x14ac:dyDescent="0.25">
      <c r="A1370" t="s">
        <v>1434</v>
      </c>
    </row>
    <row r="1371" spans="1:1" x14ac:dyDescent="0.25">
      <c r="A1371" t="s">
        <v>1435</v>
      </c>
    </row>
    <row r="1372" spans="1:1" x14ac:dyDescent="0.25">
      <c r="A1372" t="s">
        <v>1436</v>
      </c>
    </row>
    <row r="1373" spans="1:1" x14ac:dyDescent="0.25">
      <c r="A1373" t="s">
        <v>1437</v>
      </c>
    </row>
    <row r="1374" spans="1:1" x14ac:dyDescent="0.25">
      <c r="A1374" t="s">
        <v>1438</v>
      </c>
    </row>
    <row r="1375" spans="1:1" x14ac:dyDescent="0.25">
      <c r="A1375" t="s">
        <v>1439</v>
      </c>
    </row>
    <row r="1376" spans="1:1" x14ac:dyDescent="0.25">
      <c r="A1376" t="s">
        <v>1440</v>
      </c>
    </row>
    <row r="1377" spans="1:1" x14ac:dyDescent="0.25">
      <c r="A1377" t="s">
        <v>1441</v>
      </c>
    </row>
    <row r="1378" spans="1:1" x14ac:dyDescent="0.25">
      <c r="A1378" t="s">
        <v>1442</v>
      </c>
    </row>
    <row r="1379" spans="1:1" x14ac:dyDescent="0.25">
      <c r="A1379" t="s">
        <v>1443</v>
      </c>
    </row>
    <row r="1380" spans="1:1" x14ac:dyDescent="0.25">
      <c r="A1380" t="s">
        <v>1444</v>
      </c>
    </row>
    <row r="1381" spans="1:1" x14ac:dyDescent="0.25">
      <c r="A1381" t="s">
        <v>1445</v>
      </c>
    </row>
    <row r="1382" spans="1:1" x14ac:dyDescent="0.25">
      <c r="A1382" t="s">
        <v>1446</v>
      </c>
    </row>
    <row r="1383" spans="1:1" x14ac:dyDescent="0.25">
      <c r="A1383" t="s">
        <v>1447</v>
      </c>
    </row>
    <row r="1384" spans="1:1" x14ac:dyDescent="0.25">
      <c r="A1384" t="s">
        <v>1448</v>
      </c>
    </row>
    <row r="1385" spans="1:1" x14ac:dyDescent="0.25">
      <c r="A1385" t="s">
        <v>1449</v>
      </c>
    </row>
    <row r="1386" spans="1:1" x14ac:dyDescent="0.25">
      <c r="A1386" t="s">
        <v>1450</v>
      </c>
    </row>
    <row r="1387" spans="1:1" x14ac:dyDescent="0.25">
      <c r="A1387" t="s">
        <v>1451</v>
      </c>
    </row>
    <row r="1388" spans="1:1" x14ac:dyDescent="0.25">
      <c r="A1388" t="s">
        <v>1452</v>
      </c>
    </row>
    <row r="1389" spans="1:1" x14ac:dyDescent="0.25">
      <c r="A1389" t="s">
        <v>1453</v>
      </c>
    </row>
    <row r="1390" spans="1:1" x14ac:dyDescent="0.25">
      <c r="A1390" t="s">
        <v>1454</v>
      </c>
    </row>
    <row r="1391" spans="1:1" x14ac:dyDescent="0.25">
      <c r="A1391" t="s">
        <v>1455</v>
      </c>
    </row>
    <row r="1392" spans="1:1" x14ac:dyDescent="0.25">
      <c r="A1392" t="s">
        <v>1456</v>
      </c>
    </row>
    <row r="1393" spans="1:1" x14ac:dyDescent="0.25">
      <c r="A1393" t="s">
        <v>1457</v>
      </c>
    </row>
    <row r="1394" spans="1:1" x14ac:dyDescent="0.25">
      <c r="A1394" t="s">
        <v>1458</v>
      </c>
    </row>
    <row r="1395" spans="1:1" x14ac:dyDescent="0.25">
      <c r="A1395" t="s">
        <v>1459</v>
      </c>
    </row>
    <row r="1396" spans="1:1" x14ac:dyDescent="0.25">
      <c r="A1396" t="s">
        <v>1460</v>
      </c>
    </row>
    <row r="1397" spans="1:1" x14ac:dyDescent="0.25">
      <c r="A1397" t="s">
        <v>1461</v>
      </c>
    </row>
    <row r="1398" spans="1:1" x14ac:dyDescent="0.25">
      <c r="A1398" t="s">
        <v>1462</v>
      </c>
    </row>
    <row r="1399" spans="1:1" x14ac:dyDescent="0.25">
      <c r="A1399" t="s">
        <v>1463</v>
      </c>
    </row>
    <row r="1400" spans="1:1" x14ac:dyDescent="0.25">
      <c r="A1400" t="s">
        <v>1464</v>
      </c>
    </row>
    <row r="1401" spans="1:1" x14ac:dyDescent="0.25">
      <c r="A1401" t="s">
        <v>1465</v>
      </c>
    </row>
    <row r="1402" spans="1:1" x14ac:dyDescent="0.25">
      <c r="A1402" t="s">
        <v>1466</v>
      </c>
    </row>
    <row r="1403" spans="1:1" x14ac:dyDescent="0.25">
      <c r="A1403" t="s">
        <v>1467</v>
      </c>
    </row>
    <row r="1404" spans="1:1" x14ac:dyDescent="0.25">
      <c r="A1404" t="s">
        <v>1468</v>
      </c>
    </row>
    <row r="1405" spans="1:1" x14ac:dyDescent="0.25">
      <c r="A1405" t="s">
        <v>1469</v>
      </c>
    </row>
    <row r="1406" spans="1:1" x14ac:dyDescent="0.25">
      <c r="A1406" t="s">
        <v>1470</v>
      </c>
    </row>
    <row r="1407" spans="1:1" x14ac:dyDescent="0.25">
      <c r="A1407" t="s">
        <v>1471</v>
      </c>
    </row>
    <row r="1408" spans="1:1" x14ac:dyDescent="0.25">
      <c r="A1408" t="s">
        <v>1472</v>
      </c>
    </row>
    <row r="1409" spans="1:1" x14ac:dyDescent="0.25">
      <c r="A1409" t="s">
        <v>1473</v>
      </c>
    </row>
    <row r="1410" spans="1:1" x14ac:dyDescent="0.25">
      <c r="A1410" t="s">
        <v>1474</v>
      </c>
    </row>
    <row r="1411" spans="1:1" x14ac:dyDescent="0.25">
      <c r="A1411" t="s">
        <v>1475</v>
      </c>
    </row>
    <row r="1412" spans="1:1" x14ac:dyDescent="0.25">
      <c r="A1412" t="s">
        <v>1476</v>
      </c>
    </row>
    <row r="1413" spans="1:1" x14ac:dyDescent="0.25">
      <c r="A1413" t="s">
        <v>1477</v>
      </c>
    </row>
    <row r="1414" spans="1:1" x14ac:dyDescent="0.25">
      <c r="A1414" t="s">
        <v>1478</v>
      </c>
    </row>
    <row r="1415" spans="1:1" x14ac:dyDescent="0.25">
      <c r="A1415" t="s">
        <v>1479</v>
      </c>
    </row>
    <row r="1416" spans="1:1" x14ac:dyDescent="0.25">
      <c r="A1416" t="s">
        <v>1480</v>
      </c>
    </row>
    <row r="1417" spans="1:1" x14ac:dyDescent="0.25">
      <c r="A1417" t="s">
        <v>1481</v>
      </c>
    </row>
    <row r="1418" spans="1:1" x14ac:dyDescent="0.25">
      <c r="A1418" t="s">
        <v>1482</v>
      </c>
    </row>
    <row r="1419" spans="1:1" x14ac:dyDescent="0.25">
      <c r="A1419" t="s">
        <v>1483</v>
      </c>
    </row>
    <row r="1420" spans="1:1" x14ac:dyDescent="0.25">
      <c r="A1420" t="s">
        <v>1484</v>
      </c>
    </row>
    <row r="1421" spans="1:1" x14ac:dyDescent="0.25">
      <c r="A1421" t="s">
        <v>1485</v>
      </c>
    </row>
    <row r="1422" spans="1:1" x14ac:dyDescent="0.25">
      <c r="A1422" t="s">
        <v>1486</v>
      </c>
    </row>
    <row r="1423" spans="1:1" x14ac:dyDescent="0.25">
      <c r="A1423" t="s">
        <v>1487</v>
      </c>
    </row>
    <row r="1424" spans="1:1" x14ac:dyDescent="0.25">
      <c r="A1424" t="s">
        <v>1488</v>
      </c>
    </row>
    <row r="1425" spans="1:1" x14ac:dyDescent="0.25">
      <c r="A1425" t="s">
        <v>1489</v>
      </c>
    </row>
    <row r="1426" spans="1:1" x14ac:dyDescent="0.25">
      <c r="A1426" t="s">
        <v>1490</v>
      </c>
    </row>
    <row r="1427" spans="1:1" x14ac:dyDescent="0.25">
      <c r="A1427" t="s">
        <v>1491</v>
      </c>
    </row>
    <row r="1428" spans="1:1" x14ac:dyDescent="0.25">
      <c r="A1428" t="s">
        <v>1492</v>
      </c>
    </row>
    <row r="1429" spans="1:1" x14ac:dyDescent="0.25">
      <c r="A1429" t="s">
        <v>1493</v>
      </c>
    </row>
    <row r="1430" spans="1:1" x14ac:dyDescent="0.25">
      <c r="A1430" t="s">
        <v>1494</v>
      </c>
    </row>
    <row r="1431" spans="1:1" x14ac:dyDescent="0.25">
      <c r="A1431" t="s">
        <v>1495</v>
      </c>
    </row>
    <row r="1432" spans="1:1" x14ac:dyDescent="0.25">
      <c r="A1432" t="s">
        <v>1496</v>
      </c>
    </row>
    <row r="1433" spans="1:1" x14ac:dyDescent="0.25">
      <c r="A1433" t="s">
        <v>1497</v>
      </c>
    </row>
    <row r="1434" spans="1:1" x14ac:dyDescent="0.25">
      <c r="A1434" t="s">
        <v>1498</v>
      </c>
    </row>
    <row r="1435" spans="1:1" x14ac:dyDescent="0.25">
      <c r="A1435" t="s">
        <v>1499</v>
      </c>
    </row>
    <row r="1436" spans="1:1" x14ac:dyDescent="0.25">
      <c r="A1436" t="s">
        <v>1500</v>
      </c>
    </row>
    <row r="1437" spans="1:1" x14ac:dyDescent="0.25">
      <c r="A1437" t="s">
        <v>1501</v>
      </c>
    </row>
    <row r="1438" spans="1:1" x14ac:dyDescent="0.25">
      <c r="A1438" t="s">
        <v>1502</v>
      </c>
    </row>
    <row r="1439" spans="1:1" x14ac:dyDescent="0.25">
      <c r="A1439" t="s">
        <v>1503</v>
      </c>
    </row>
    <row r="1440" spans="1:1" x14ac:dyDescent="0.25">
      <c r="A1440" t="s">
        <v>1504</v>
      </c>
    </row>
    <row r="1441" spans="1:1" x14ac:dyDescent="0.25">
      <c r="A1441" t="s">
        <v>1505</v>
      </c>
    </row>
    <row r="1442" spans="1:1" x14ac:dyDescent="0.25">
      <c r="A1442" t="s">
        <v>1506</v>
      </c>
    </row>
    <row r="1443" spans="1:1" x14ac:dyDescent="0.25">
      <c r="A1443" t="s">
        <v>1507</v>
      </c>
    </row>
    <row r="1444" spans="1:1" x14ac:dyDescent="0.25">
      <c r="A1444" t="s">
        <v>1508</v>
      </c>
    </row>
    <row r="1445" spans="1:1" x14ac:dyDescent="0.25">
      <c r="A1445" t="s">
        <v>1509</v>
      </c>
    </row>
    <row r="1446" spans="1:1" x14ac:dyDescent="0.25">
      <c r="A1446" t="s">
        <v>1510</v>
      </c>
    </row>
    <row r="1447" spans="1:1" x14ac:dyDescent="0.25">
      <c r="A1447" t="s">
        <v>1511</v>
      </c>
    </row>
    <row r="1448" spans="1:1" x14ac:dyDescent="0.25">
      <c r="A1448" t="s">
        <v>1512</v>
      </c>
    </row>
    <row r="1449" spans="1:1" x14ac:dyDescent="0.25">
      <c r="A1449" t="s">
        <v>1513</v>
      </c>
    </row>
    <row r="1450" spans="1:1" x14ac:dyDescent="0.25">
      <c r="A1450" t="s">
        <v>1514</v>
      </c>
    </row>
    <row r="1451" spans="1:1" x14ac:dyDescent="0.25">
      <c r="A1451" t="s">
        <v>1515</v>
      </c>
    </row>
    <row r="1452" spans="1:1" x14ac:dyDescent="0.25">
      <c r="A1452" t="s">
        <v>1516</v>
      </c>
    </row>
    <row r="1453" spans="1:1" x14ac:dyDescent="0.25">
      <c r="A1453" t="s">
        <v>1517</v>
      </c>
    </row>
    <row r="1454" spans="1:1" x14ac:dyDescent="0.25">
      <c r="A1454" t="s">
        <v>1518</v>
      </c>
    </row>
    <row r="1455" spans="1:1" x14ac:dyDescent="0.25">
      <c r="A1455" t="s">
        <v>1519</v>
      </c>
    </row>
    <row r="1456" spans="1:1" x14ac:dyDescent="0.25">
      <c r="A1456" t="s">
        <v>1520</v>
      </c>
    </row>
    <row r="1457" spans="1:1" x14ac:dyDescent="0.25">
      <c r="A1457" t="s">
        <v>1521</v>
      </c>
    </row>
    <row r="1458" spans="1:1" x14ac:dyDescent="0.25">
      <c r="A1458" t="s">
        <v>1522</v>
      </c>
    </row>
    <row r="1459" spans="1:1" x14ac:dyDescent="0.25">
      <c r="A1459" t="s">
        <v>1523</v>
      </c>
    </row>
    <row r="1460" spans="1:1" x14ac:dyDescent="0.25">
      <c r="A1460" t="s">
        <v>1524</v>
      </c>
    </row>
    <row r="1461" spans="1:1" x14ac:dyDescent="0.25">
      <c r="A1461" t="s">
        <v>1525</v>
      </c>
    </row>
    <row r="1462" spans="1:1" x14ac:dyDescent="0.25">
      <c r="A1462" t="s">
        <v>1526</v>
      </c>
    </row>
    <row r="1463" spans="1:1" x14ac:dyDescent="0.25">
      <c r="A1463" t="s">
        <v>1527</v>
      </c>
    </row>
    <row r="1464" spans="1:1" x14ac:dyDescent="0.25">
      <c r="A1464" t="s">
        <v>1528</v>
      </c>
    </row>
    <row r="1465" spans="1:1" x14ac:dyDescent="0.25">
      <c r="A1465" t="s">
        <v>1529</v>
      </c>
    </row>
    <row r="1466" spans="1:1" x14ac:dyDescent="0.25">
      <c r="A1466" t="s">
        <v>1530</v>
      </c>
    </row>
    <row r="1467" spans="1:1" x14ac:dyDescent="0.25">
      <c r="A1467" t="s">
        <v>1531</v>
      </c>
    </row>
    <row r="1468" spans="1:1" x14ac:dyDescent="0.25">
      <c r="A1468" t="s">
        <v>1532</v>
      </c>
    </row>
    <row r="1469" spans="1:1" x14ac:dyDescent="0.25">
      <c r="A1469" t="s">
        <v>1533</v>
      </c>
    </row>
    <row r="1470" spans="1:1" x14ac:dyDescent="0.25">
      <c r="A1470" t="s">
        <v>1534</v>
      </c>
    </row>
    <row r="1471" spans="1:1" x14ac:dyDescent="0.25">
      <c r="A1471" t="s">
        <v>1535</v>
      </c>
    </row>
    <row r="1472" spans="1:1" x14ac:dyDescent="0.25">
      <c r="A1472" t="s">
        <v>1536</v>
      </c>
    </row>
    <row r="1473" spans="1:1" x14ac:dyDescent="0.25">
      <c r="A1473" t="s">
        <v>1537</v>
      </c>
    </row>
    <row r="1474" spans="1:1" x14ac:dyDescent="0.25">
      <c r="A1474" t="s">
        <v>1538</v>
      </c>
    </row>
    <row r="1475" spans="1:1" x14ac:dyDescent="0.25">
      <c r="A1475" t="s">
        <v>1539</v>
      </c>
    </row>
    <row r="1476" spans="1:1" x14ac:dyDescent="0.25">
      <c r="A1476" t="s">
        <v>1540</v>
      </c>
    </row>
    <row r="1477" spans="1:1" x14ac:dyDescent="0.25">
      <c r="A1477" t="s">
        <v>1541</v>
      </c>
    </row>
    <row r="1478" spans="1:1" x14ac:dyDescent="0.25">
      <c r="A1478" t="s">
        <v>1542</v>
      </c>
    </row>
    <row r="1479" spans="1:1" x14ac:dyDescent="0.25">
      <c r="A1479" t="s">
        <v>1543</v>
      </c>
    </row>
    <row r="1480" spans="1:1" x14ac:dyDescent="0.25">
      <c r="A1480" t="s">
        <v>1544</v>
      </c>
    </row>
    <row r="1481" spans="1:1" x14ac:dyDescent="0.25">
      <c r="A1481" t="s">
        <v>1545</v>
      </c>
    </row>
    <row r="1482" spans="1:1" x14ac:dyDescent="0.25">
      <c r="A1482" t="s">
        <v>1546</v>
      </c>
    </row>
    <row r="1483" spans="1:1" x14ac:dyDescent="0.25">
      <c r="A1483" t="s">
        <v>1547</v>
      </c>
    </row>
    <row r="1484" spans="1:1" x14ac:dyDescent="0.25">
      <c r="A1484" t="s">
        <v>1548</v>
      </c>
    </row>
    <row r="1485" spans="1:1" x14ac:dyDescent="0.25">
      <c r="A1485" t="s">
        <v>1549</v>
      </c>
    </row>
    <row r="1486" spans="1:1" x14ac:dyDescent="0.25">
      <c r="A1486" t="s">
        <v>1550</v>
      </c>
    </row>
    <row r="1487" spans="1:1" x14ac:dyDescent="0.25">
      <c r="A1487" t="s">
        <v>1551</v>
      </c>
    </row>
    <row r="1488" spans="1:1" x14ac:dyDescent="0.25">
      <c r="A1488" t="s">
        <v>1552</v>
      </c>
    </row>
    <row r="1489" spans="1:1" x14ac:dyDescent="0.25">
      <c r="A1489" t="s">
        <v>1553</v>
      </c>
    </row>
    <row r="1490" spans="1:1" x14ac:dyDescent="0.25">
      <c r="A1490" t="s">
        <v>1554</v>
      </c>
    </row>
    <row r="1491" spans="1:1" x14ac:dyDescent="0.25">
      <c r="A1491" t="s">
        <v>1555</v>
      </c>
    </row>
    <row r="1492" spans="1:1" x14ac:dyDescent="0.25">
      <c r="A1492" t="s">
        <v>1556</v>
      </c>
    </row>
    <row r="1493" spans="1:1" x14ac:dyDescent="0.25">
      <c r="A1493" t="s">
        <v>1557</v>
      </c>
    </row>
    <row r="1494" spans="1:1" x14ac:dyDescent="0.25">
      <c r="A1494" t="s">
        <v>1558</v>
      </c>
    </row>
    <row r="1495" spans="1:1" x14ac:dyDescent="0.25">
      <c r="A1495" t="s">
        <v>1559</v>
      </c>
    </row>
    <row r="1496" spans="1:1" x14ac:dyDescent="0.25">
      <c r="A1496" t="s">
        <v>1560</v>
      </c>
    </row>
    <row r="1497" spans="1:1" x14ac:dyDescent="0.25">
      <c r="A1497" t="s">
        <v>1561</v>
      </c>
    </row>
    <row r="1498" spans="1:1" x14ac:dyDescent="0.25">
      <c r="A1498" t="s">
        <v>1562</v>
      </c>
    </row>
    <row r="1499" spans="1:1" x14ac:dyDescent="0.25">
      <c r="A1499" t="s">
        <v>1563</v>
      </c>
    </row>
    <row r="1500" spans="1:1" x14ac:dyDescent="0.25">
      <c r="A1500" t="s">
        <v>1564</v>
      </c>
    </row>
    <row r="1501" spans="1:1" x14ac:dyDescent="0.25">
      <c r="A1501" t="s">
        <v>1565</v>
      </c>
    </row>
    <row r="1502" spans="1:1" x14ac:dyDescent="0.25">
      <c r="A1502" t="s">
        <v>1566</v>
      </c>
    </row>
    <row r="1503" spans="1:1" x14ac:dyDescent="0.25">
      <c r="A1503" t="s">
        <v>1567</v>
      </c>
    </row>
    <row r="1504" spans="1:1" x14ac:dyDescent="0.25">
      <c r="A1504" t="s">
        <v>1568</v>
      </c>
    </row>
    <row r="1505" spans="1:1" x14ac:dyDescent="0.25">
      <c r="A1505" t="s">
        <v>1569</v>
      </c>
    </row>
    <row r="1506" spans="1:1" x14ac:dyDescent="0.25">
      <c r="A1506" t="s">
        <v>1570</v>
      </c>
    </row>
    <row r="1507" spans="1:1" x14ac:dyDescent="0.25">
      <c r="A1507" t="s">
        <v>1571</v>
      </c>
    </row>
    <row r="1508" spans="1:1" x14ac:dyDescent="0.25">
      <c r="A1508" t="s">
        <v>1572</v>
      </c>
    </row>
    <row r="1509" spans="1:1" x14ac:dyDescent="0.25">
      <c r="A1509" t="s">
        <v>1573</v>
      </c>
    </row>
    <row r="1510" spans="1:1" x14ac:dyDescent="0.25">
      <c r="A1510" t="s">
        <v>1574</v>
      </c>
    </row>
    <row r="1511" spans="1:1" x14ac:dyDescent="0.25">
      <c r="A1511" t="s">
        <v>1575</v>
      </c>
    </row>
    <row r="1512" spans="1:1" x14ac:dyDescent="0.25">
      <c r="A1512" t="s">
        <v>1576</v>
      </c>
    </row>
    <row r="1513" spans="1:1" x14ac:dyDescent="0.25">
      <c r="A1513" t="s">
        <v>1577</v>
      </c>
    </row>
    <row r="1514" spans="1:1" x14ac:dyDescent="0.25">
      <c r="A1514" t="s">
        <v>1578</v>
      </c>
    </row>
    <row r="1515" spans="1:1" x14ac:dyDescent="0.25">
      <c r="A1515" t="s">
        <v>1579</v>
      </c>
    </row>
    <row r="1516" spans="1:1" x14ac:dyDescent="0.25">
      <c r="A1516" t="s">
        <v>1580</v>
      </c>
    </row>
    <row r="1517" spans="1:1" x14ac:dyDescent="0.25">
      <c r="A1517" t="s">
        <v>1581</v>
      </c>
    </row>
    <row r="1518" spans="1:1" x14ac:dyDescent="0.25">
      <c r="A1518" t="s">
        <v>1582</v>
      </c>
    </row>
    <row r="1519" spans="1:1" x14ac:dyDescent="0.25">
      <c r="A1519" t="s">
        <v>1583</v>
      </c>
    </row>
    <row r="1520" spans="1:1" x14ac:dyDescent="0.25">
      <c r="A1520" t="s">
        <v>1584</v>
      </c>
    </row>
    <row r="1521" spans="1:1" x14ac:dyDescent="0.25">
      <c r="A1521" t="s">
        <v>1585</v>
      </c>
    </row>
    <row r="1522" spans="1:1" x14ac:dyDescent="0.25">
      <c r="A1522" t="s">
        <v>1586</v>
      </c>
    </row>
    <row r="1523" spans="1:1" x14ac:dyDescent="0.25">
      <c r="A1523" t="s">
        <v>1587</v>
      </c>
    </row>
    <row r="1524" spans="1:1" x14ac:dyDescent="0.25">
      <c r="A1524" t="s">
        <v>1588</v>
      </c>
    </row>
    <row r="1525" spans="1:1" x14ac:dyDescent="0.25">
      <c r="A1525" t="s">
        <v>1589</v>
      </c>
    </row>
    <row r="1526" spans="1:1" x14ac:dyDescent="0.25">
      <c r="A1526" t="s">
        <v>1590</v>
      </c>
    </row>
    <row r="1527" spans="1:1" x14ac:dyDescent="0.25">
      <c r="A1527" t="s">
        <v>1591</v>
      </c>
    </row>
    <row r="1528" spans="1:1" x14ac:dyDescent="0.25">
      <c r="A1528" t="s">
        <v>1592</v>
      </c>
    </row>
    <row r="1529" spans="1:1" x14ac:dyDescent="0.25">
      <c r="A1529" t="s">
        <v>1593</v>
      </c>
    </row>
    <row r="1530" spans="1:1" x14ac:dyDescent="0.25">
      <c r="A1530" t="s">
        <v>1594</v>
      </c>
    </row>
    <row r="1531" spans="1:1" x14ac:dyDescent="0.25">
      <c r="A1531" t="s">
        <v>1595</v>
      </c>
    </row>
    <row r="1532" spans="1:1" x14ac:dyDescent="0.25">
      <c r="A1532" t="s">
        <v>1596</v>
      </c>
    </row>
    <row r="1533" spans="1:1" x14ac:dyDescent="0.25">
      <c r="A1533" t="s">
        <v>1597</v>
      </c>
    </row>
    <row r="1534" spans="1:1" x14ac:dyDescent="0.25">
      <c r="A1534" t="s">
        <v>1598</v>
      </c>
    </row>
    <row r="1535" spans="1:1" x14ac:dyDescent="0.25">
      <c r="A1535" t="s">
        <v>1599</v>
      </c>
    </row>
    <row r="1536" spans="1:1" x14ac:dyDescent="0.25">
      <c r="A1536" t="s">
        <v>1600</v>
      </c>
    </row>
    <row r="1537" spans="1:1" x14ac:dyDescent="0.25">
      <c r="A1537" t="s">
        <v>1601</v>
      </c>
    </row>
    <row r="1538" spans="1:1" x14ac:dyDescent="0.25">
      <c r="A1538" t="s">
        <v>1602</v>
      </c>
    </row>
    <row r="1539" spans="1:1" x14ac:dyDescent="0.25">
      <c r="A1539" t="s">
        <v>1603</v>
      </c>
    </row>
    <row r="1540" spans="1:1" x14ac:dyDescent="0.25">
      <c r="A1540" t="s">
        <v>1604</v>
      </c>
    </row>
    <row r="1541" spans="1:1" x14ac:dyDescent="0.25">
      <c r="A1541" t="s">
        <v>1605</v>
      </c>
    </row>
    <row r="1542" spans="1:1" x14ac:dyDescent="0.25">
      <c r="A1542" t="s">
        <v>1606</v>
      </c>
    </row>
    <row r="1543" spans="1:1" x14ac:dyDescent="0.25">
      <c r="A1543" t="s">
        <v>1607</v>
      </c>
    </row>
    <row r="1544" spans="1:1" x14ac:dyDescent="0.25">
      <c r="A1544" t="s">
        <v>1608</v>
      </c>
    </row>
    <row r="1545" spans="1:1" x14ac:dyDescent="0.25">
      <c r="A1545" t="s">
        <v>1609</v>
      </c>
    </row>
    <row r="1546" spans="1:1" x14ac:dyDescent="0.25">
      <c r="A1546" t="s">
        <v>1610</v>
      </c>
    </row>
    <row r="1547" spans="1:1" x14ac:dyDescent="0.25">
      <c r="A1547" t="s">
        <v>1611</v>
      </c>
    </row>
    <row r="1548" spans="1:1" x14ac:dyDescent="0.25">
      <c r="A1548" t="s">
        <v>1612</v>
      </c>
    </row>
    <row r="1549" spans="1:1" x14ac:dyDescent="0.25">
      <c r="A1549" t="s">
        <v>1613</v>
      </c>
    </row>
    <row r="1550" spans="1:1" x14ac:dyDescent="0.25">
      <c r="A1550" t="s">
        <v>1614</v>
      </c>
    </row>
    <row r="1551" spans="1:1" x14ac:dyDescent="0.25">
      <c r="A1551" t="s">
        <v>1615</v>
      </c>
    </row>
    <row r="1552" spans="1:1" x14ac:dyDescent="0.25">
      <c r="A1552" t="s">
        <v>1616</v>
      </c>
    </row>
    <row r="1553" spans="1:1" x14ac:dyDescent="0.25">
      <c r="A1553" t="s">
        <v>1617</v>
      </c>
    </row>
    <row r="1554" spans="1:1" x14ac:dyDescent="0.25">
      <c r="A1554" t="s">
        <v>1618</v>
      </c>
    </row>
    <row r="1555" spans="1:1" x14ac:dyDescent="0.25">
      <c r="A1555" t="s">
        <v>1619</v>
      </c>
    </row>
    <row r="1556" spans="1:1" x14ac:dyDescent="0.25">
      <c r="A1556" t="s">
        <v>1620</v>
      </c>
    </row>
    <row r="1557" spans="1:1" x14ac:dyDescent="0.25">
      <c r="A1557" t="s">
        <v>1621</v>
      </c>
    </row>
    <row r="1558" spans="1:1" x14ac:dyDescent="0.25">
      <c r="A1558" t="s">
        <v>1622</v>
      </c>
    </row>
    <row r="1559" spans="1:1" x14ac:dyDescent="0.25">
      <c r="A1559" t="s">
        <v>1623</v>
      </c>
    </row>
    <row r="1560" spans="1:1" x14ac:dyDescent="0.25">
      <c r="A1560" t="s">
        <v>1624</v>
      </c>
    </row>
    <row r="1561" spans="1:1" x14ac:dyDescent="0.25">
      <c r="A1561" t="s">
        <v>1625</v>
      </c>
    </row>
    <row r="1562" spans="1:1" x14ac:dyDescent="0.25">
      <c r="A1562" t="s">
        <v>1626</v>
      </c>
    </row>
    <row r="1563" spans="1:1" x14ac:dyDescent="0.25">
      <c r="A1563" t="s">
        <v>1627</v>
      </c>
    </row>
    <row r="1564" spans="1:1" x14ac:dyDescent="0.25">
      <c r="A1564" t="s">
        <v>1628</v>
      </c>
    </row>
    <row r="1565" spans="1:1" x14ac:dyDescent="0.25">
      <c r="A1565" t="s">
        <v>1629</v>
      </c>
    </row>
    <row r="1566" spans="1:1" x14ac:dyDescent="0.25">
      <c r="A1566" t="s">
        <v>1630</v>
      </c>
    </row>
    <row r="1567" spans="1:1" x14ac:dyDescent="0.25">
      <c r="A1567" t="s">
        <v>1631</v>
      </c>
    </row>
    <row r="1568" spans="1:1" x14ac:dyDescent="0.25">
      <c r="A1568" t="s">
        <v>1632</v>
      </c>
    </row>
    <row r="1569" spans="1:1" x14ac:dyDescent="0.25">
      <c r="A1569" t="s">
        <v>1633</v>
      </c>
    </row>
    <row r="1570" spans="1:1" x14ac:dyDescent="0.25">
      <c r="A1570" t="s">
        <v>1634</v>
      </c>
    </row>
    <row r="1571" spans="1:1" x14ac:dyDescent="0.25">
      <c r="A1571" t="s">
        <v>1635</v>
      </c>
    </row>
    <row r="1572" spans="1:1" x14ac:dyDescent="0.25">
      <c r="A1572" t="s">
        <v>1636</v>
      </c>
    </row>
    <row r="1573" spans="1:1" x14ac:dyDescent="0.25">
      <c r="A1573" t="s">
        <v>1637</v>
      </c>
    </row>
    <row r="1574" spans="1:1" x14ac:dyDescent="0.25">
      <c r="A1574" t="s">
        <v>1638</v>
      </c>
    </row>
    <row r="1575" spans="1:1" x14ac:dyDescent="0.25">
      <c r="A1575" t="s">
        <v>1639</v>
      </c>
    </row>
    <row r="1576" spans="1:1" x14ac:dyDescent="0.25">
      <c r="A1576" t="s">
        <v>1640</v>
      </c>
    </row>
    <row r="1577" spans="1:1" x14ac:dyDescent="0.25">
      <c r="A1577" t="s">
        <v>1641</v>
      </c>
    </row>
    <row r="1578" spans="1:1" x14ac:dyDescent="0.25">
      <c r="A1578" t="s">
        <v>1642</v>
      </c>
    </row>
    <row r="1579" spans="1:1" x14ac:dyDescent="0.25">
      <c r="A1579" t="s">
        <v>1643</v>
      </c>
    </row>
    <row r="1580" spans="1:1" x14ac:dyDescent="0.25">
      <c r="A1580" t="s">
        <v>1644</v>
      </c>
    </row>
    <row r="1581" spans="1:1" x14ac:dyDescent="0.25">
      <c r="A1581" t="s">
        <v>1645</v>
      </c>
    </row>
    <row r="1582" spans="1:1" x14ac:dyDescent="0.25">
      <c r="A1582" t="s">
        <v>1646</v>
      </c>
    </row>
    <row r="1583" spans="1:1" x14ac:dyDescent="0.25">
      <c r="A1583" t="s">
        <v>1647</v>
      </c>
    </row>
    <row r="1584" spans="1:1" x14ac:dyDescent="0.25">
      <c r="A1584" t="s">
        <v>1648</v>
      </c>
    </row>
    <row r="1585" spans="1:1" x14ac:dyDescent="0.25">
      <c r="A1585" t="s">
        <v>1649</v>
      </c>
    </row>
    <row r="1586" spans="1:1" x14ac:dyDescent="0.25">
      <c r="A1586" t="s">
        <v>1650</v>
      </c>
    </row>
    <row r="1587" spans="1:1" x14ac:dyDescent="0.25">
      <c r="A1587" t="s">
        <v>1651</v>
      </c>
    </row>
    <row r="1588" spans="1:1" x14ac:dyDescent="0.25">
      <c r="A1588" t="s">
        <v>1652</v>
      </c>
    </row>
    <row r="1589" spans="1:1" x14ac:dyDescent="0.25">
      <c r="A1589" t="s">
        <v>1653</v>
      </c>
    </row>
    <row r="1590" spans="1:1" x14ac:dyDescent="0.25">
      <c r="A1590" t="s">
        <v>1654</v>
      </c>
    </row>
    <row r="1591" spans="1:1" x14ac:dyDescent="0.25">
      <c r="A1591" t="s">
        <v>1655</v>
      </c>
    </row>
    <row r="1592" spans="1:1" x14ac:dyDescent="0.25">
      <c r="A1592" t="s">
        <v>1656</v>
      </c>
    </row>
    <row r="1593" spans="1:1" x14ac:dyDescent="0.25">
      <c r="A1593" t="s">
        <v>1657</v>
      </c>
    </row>
    <row r="1594" spans="1:1" x14ac:dyDescent="0.25">
      <c r="A1594" t="s">
        <v>1658</v>
      </c>
    </row>
    <row r="1595" spans="1:1" x14ac:dyDescent="0.25">
      <c r="A1595" t="s">
        <v>1659</v>
      </c>
    </row>
    <row r="1596" spans="1:1" x14ac:dyDescent="0.25">
      <c r="A1596" t="s">
        <v>1660</v>
      </c>
    </row>
    <row r="1597" spans="1:1" x14ac:dyDescent="0.25">
      <c r="A1597" t="s">
        <v>1661</v>
      </c>
    </row>
    <row r="1598" spans="1:1" x14ac:dyDescent="0.25">
      <c r="A1598" t="s">
        <v>1662</v>
      </c>
    </row>
    <row r="1599" spans="1:1" x14ac:dyDescent="0.25">
      <c r="A1599" t="s">
        <v>1663</v>
      </c>
    </row>
    <row r="1600" spans="1:1" x14ac:dyDescent="0.25">
      <c r="A1600" t="s">
        <v>1664</v>
      </c>
    </row>
    <row r="1601" spans="1:1" x14ac:dyDescent="0.25">
      <c r="A1601" t="s">
        <v>1665</v>
      </c>
    </row>
    <row r="1602" spans="1:1" x14ac:dyDescent="0.25">
      <c r="A1602" t="s">
        <v>1666</v>
      </c>
    </row>
    <row r="1603" spans="1:1" x14ac:dyDescent="0.25">
      <c r="A1603" t="s">
        <v>1667</v>
      </c>
    </row>
    <row r="1604" spans="1:1" x14ac:dyDescent="0.25">
      <c r="A1604" t="s">
        <v>1668</v>
      </c>
    </row>
    <row r="1605" spans="1:1" x14ac:dyDescent="0.25">
      <c r="A1605" t="s">
        <v>1669</v>
      </c>
    </row>
    <row r="1606" spans="1:1" x14ac:dyDescent="0.25">
      <c r="A1606" t="s">
        <v>1670</v>
      </c>
    </row>
    <row r="1607" spans="1:1" x14ac:dyDescent="0.25">
      <c r="A1607" t="s">
        <v>1671</v>
      </c>
    </row>
    <row r="1608" spans="1:1" x14ac:dyDescent="0.25">
      <c r="A1608" t="s">
        <v>1672</v>
      </c>
    </row>
    <row r="1609" spans="1:1" x14ac:dyDescent="0.25">
      <c r="A1609" t="s">
        <v>1673</v>
      </c>
    </row>
    <row r="1610" spans="1:1" x14ac:dyDescent="0.25">
      <c r="A1610" t="s">
        <v>1674</v>
      </c>
    </row>
    <row r="1611" spans="1:1" x14ac:dyDescent="0.25">
      <c r="A1611" t="s">
        <v>1675</v>
      </c>
    </row>
    <row r="1612" spans="1:1" x14ac:dyDescent="0.25">
      <c r="A1612" t="s">
        <v>1676</v>
      </c>
    </row>
    <row r="1613" spans="1:1" x14ac:dyDescent="0.25">
      <c r="A1613" t="s">
        <v>1677</v>
      </c>
    </row>
    <row r="1614" spans="1:1" x14ac:dyDescent="0.25">
      <c r="A1614" t="s">
        <v>1678</v>
      </c>
    </row>
    <row r="1615" spans="1:1" x14ac:dyDescent="0.25">
      <c r="A1615" t="s">
        <v>1679</v>
      </c>
    </row>
    <row r="1616" spans="1:1" x14ac:dyDescent="0.25">
      <c r="A1616" t="s">
        <v>1680</v>
      </c>
    </row>
    <row r="1617" spans="1:1" x14ac:dyDescent="0.25">
      <c r="A1617" t="s">
        <v>1681</v>
      </c>
    </row>
    <row r="1618" spans="1:1" x14ac:dyDescent="0.25">
      <c r="A1618" t="s">
        <v>1682</v>
      </c>
    </row>
    <row r="1619" spans="1:1" x14ac:dyDescent="0.25">
      <c r="A1619" t="s">
        <v>1683</v>
      </c>
    </row>
    <row r="1620" spans="1:1" x14ac:dyDescent="0.25">
      <c r="A1620" t="s">
        <v>1684</v>
      </c>
    </row>
    <row r="1621" spans="1:1" x14ac:dyDescent="0.25">
      <c r="A1621" t="s">
        <v>1685</v>
      </c>
    </row>
    <row r="1622" spans="1:1" x14ac:dyDescent="0.25">
      <c r="A1622" t="s">
        <v>1686</v>
      </c>
    </row>
    <row r="1623" spans="1:1" x14ac:dyDescent="0.25">
      <c r="A1623" t="s">
        <v>1687</v>
      </c>
    </row>
    <row r="1624" spans="1:1" x14ac:dyDescent="0.25">
      <c r="A1624" t="s">
        <v>1688</v>
      </c>
    </row>
    <row r="1625" spans="1:1" x14ac:dyDescent="0.25">
      <c r="A1625" t="s">
        <v>1689</v>
      </c>
    </row>
    <row r="1626" spans="1:1" x14ac:dyDescent="0.25">
      <c r="A1626" t="s">
        <v>1690</v>
      </c>
    </row>
    <row r="1627" spans="1:1" x14ac:dyDescent="0.25">
      <c r="A1627" t="s">
        <v>1691</v>
      </c>
    </row>
    <row r="1628" spans="1:1" x14ac:dyDescent="0.25">
      <c r="A1628" t="s">
        <v>1692</v>
      </c>
    </row>
    <row r="1629" spans="1:1" x14ac:dyDescent="0.25">
      <c r="A1629" t="s">
        <v>1693</v>
      </c>
    </row>
    <row r="1630" spans="1:1" x14ac:dyDescent="0.25">
      <c r="A1630" t="s">
        <v>1694</v>
      </c>
    </row>
    <row r="1631" spans="1:1" x14ac:dyDescent="0.25">
      <c r="A1631" t="s">
        <v>1695</v>
      </c>
    </row>
    <row r="1632" spans="1:1" x14ac:dyDescent="0.25">
      <c r="A1632" t="s">
        <v>1696</v>
      </c>
    </row>
    <row r="1633" spans="1:1" x14ac:dyDescent="0.25">
      <c r="A1633" t="s">
        <v>1697</v>
      </c>
    </row>
    <row r="1634" spans="1:1" x14ac:dyDescent="0.25">
      <c r="A1634" t="s">
        <v>1698</v>
      </c>
    </row>
    <row r="1635" spans="1:1" x14ac:dyDescent="0.25">
      <c r="A1635" t="s">
        <v>1699</v>
      </c>
    </row>
    <row r="1636" spans="1:1" x14ac:dyDescent="0.25">
      <c r="A1636" t="s">
        <v>1700</v>
      </c>
    </row>
    <row r="1637" spans="1:1" x14ac:dyDescent="0.25">
      <c r="A1637" t="s">
        <v>1701</v>
      </c>
    </row>
    <row r="1638" spans="1:1" x14ac:dyDescent="0.25">
      <c r="A1638" t="s">
        <v>1702</v>
      </c>
    </row>
    <row r="1639" spans="1:1" x14ac:dyDescent="0.25">
      <c r="A1639" t="s">
        <v>1703</v>
      </c>
    </row>
    <row r="1640" spans="1:1" x14ac:dyDescent="0.25">
      <c r="A1640" t="s">
        <v>1704</v>
      </c>
    </row>
    <row r="1641" spans="1:1" x14ac:dyDescent="0.25">
      <c r="A1641" t="s">
        <v>1705</v>
      </c>
    </row>
    <row r="1642" spans="1:1" x14ac:dyDescent="0.25">
      <c r="A1642" t="s">
        <v>1706</v>
      </c>
    </row>
    <row r="1643" spans="1:1" x14ac:dyDescent="0.25">
      <c r="A1643" t="s">
        <v>1707</v>
      </c>
    </row>
    <row r="1644" spans="1:1" x14ac:dyDescent="0.25">
      <c r="A1644" t="s">
        <v>1708</v>
      </c>
    </row>
    <row r="1645" spans="1:1" x14ac:dyDescent="0.25">
      <c r="A1645" t="s">
        <v>1709</v>
      </c>
    </row>
    <row r="1646" spans="1:1" x14ac:dyDescent="0.25">
      <c r="A1646" t="s">
        <v>1710</v>
      </c>
    </row>
    <row r="1647" spans="1:1" x14ac:dyDescent="0.25">
      <c r="A1647" t="s">
        <v>1711</v>
      </c>
    </row>
    <row r="1648" spans="1:1" x14ac:dyDescent="0.25">
      <c r="A1648" t="s">
        <v>1712</v>
      </c>
    </row>
    <row r="1649" spans="1:1" x14ac:dyDescent="0.25">
      <c r="A1649" t="s">
        <v>1713</v>
      </c>
    </row>
    <row r="1650" spans="1:1" x14ac:dyDescent="0.25">
      <c r="A1650" t="s">
        <v>1714</v>
      </c>
    </row>
    <row r="1651" spans="1:1" x14ac:dyDescent="0.25">
      <c r="A1651" t="s">
        <v>1715</v>
      </c>
    </row>
    <row r="1652" spans="1:1" x14ac:dyDescent="0.25">
      <c r="A1652" t="s">
        <v>1716</v>
      </c>
    </row>
    <row r="1653" spans="1:1" x14ac:dyDescent="0.25">
      <c r="A1653" t="s">
        <v>1717</v>
      </c>
    </row>
    <row r="1654" spans="1:1" x14ac:dyDescent="0.25">
      <c r="A1654" t="s">
        <v>1718</v>
      </c>
    </row>
    <row r="1655" spans="1:1" x14ac:dyDescent="0.25">
      <c r="A1655" t="s">
        <v>1719</v>
      </c>
    </row>
    <row r="1656" spans="1:1" x14ac:dyDescent="0.25">
      <c r="A1656" t="s">
        <v>1720</v>
      </c>
    </row>
    <row r="1657" spans="1:1" x14ac:dyDescent="0.25">
      <c r="A1657" t="s">
        <v>1721</v>
      </c>
    </row>
    <row r="1658" spans="1:1" x14ac:dyDescent="0.25">
      <c r="A1658" t="s">
        <v>1722</v>
      </c>
    </row>
    <row r="1659" spans="1:1" x14ac:dyDescent="0.25">
      <c r="A1659" t="s">
        <v>1723</v>
      </c>
    </row>
    <row r="1660" spans="1:1" x14ac:dyDescent="0.25">
      <c r="A1660" t="s">
        <v>1724</v>
      </c>
    </row>
    <row r="1661" spans="1:1" x14ac:dyDescent="0.25">
      <c r="A1661" t="s">
        <v>1725</v>
      </c>
    </row>
    <row r="1662" spans="1:1" x14ac:dyDescent="0.25">
      <c r="A1662" t="s">
        <v>1726</v>
      </c>
    </row>
    <row r="1663" spans="1:1" x14ac:dyDescent="0.25">
      <c r="A1663" t="s">
        <v>1727</v>
      </c>
    </row>
    <row r="1664" spans="1:1" x14ac:dyDescent="0.25">
      <c r="A1664" t="s">
        <v>1728</v>
      </c>
    </row>
    <row r="1665" spans="1:1" x14ac:dyDescent="0.25">
      <c r="A1665" t="s">
        <v>1729</v>
      </c>
    </row>
    <row r="1666" spans="1:1" x14ac:dyDescent="0.25">
      <c r="A1666" t="s">
        <v>1730</v>
      </c>
    </row>
    <row r="1667" spans="1:1" x14ac:dyDescent="0.25">
      <c r="A1667" t="s">
        <v>1731</v>
      </c>
    </row>
    <row r="1668" spans="1:1" x14ac:dyDescent="0.25">
      <c r="A1668" t="s">
        <v>1732</v>
      </c>
    </row>
    <row r="1669" spans="1:1" x14ac:dyDescent="0.25">
      <c r="A1669" t="s">
        <v>1733</v>
      </c>
    </row>
    <row r="1670" spans="1:1" x14ac:dyDescent="0.25">
      <c r="A1670" t="s">
        <v>1734</v>
      </c>
    </row>
    <row r="1671" spans="1:1" x14ac:dyDescent="0.25">
      <c r="A1671" t="s">
        <v>1735</v>
      </c>
    </row>
    <row r="1672" spans="1:1" x14ac:dyDescent="0.25">
      <c r="A1672" t="s">
        <v>1736</v>
      </c>
    </row>
    <row r="1673" spans="1:1" x14ac:dyDescent="0.25">
      <c r="A1673" t="s">
        <v>1737</v>
      </c>
    </row>
    <row r="1674" spans="1:1" x14ac:dyDescent="0.25">
      <c r="A1674" t="s">
        <v>1738</v>
      </c>
    </row>
    <row r="1675" spans="1:1" x14ac:dyDescent="0.25">
      <c r="A1675" t="s">
        <v>1739</v>
      </c>
    </row>
    <row r="1676" spans="1:1" x14ac:dyDescent="0.25">
      <c r="A1676" t="s">
        <v>1740</v>
      </c>
    </row>
    <row r="1677" spans="1:1" x14ac:dyDescent="0.25">
      <c r="A1677" t="s">
        <v>1741</v>
      </c>
    </row>
    <row r="1678" spans="1:1" x14ac:dyDescent="0.25">
      <c r="A1678" t="s">
        <v>1742</v>
      </c>
    </row>
    <row r="1679" spans="1:1" x14ac:dyDescent="0.25">
      <c r="A1679" t="s">
        <v>1743</v>
      </c>
    </row>
    <row r="1680" spans="1:1" x14ac:dyDescent="0.25">
      <c r="A1680" t="s">
        <v>1744</v>
      </c>
    </row>
    <row r="1681" spans="1:1" x14ac:dyDescent="0.25">
      <c r="A1681" t="s">
        <v>1745</v>
      </c>
    </row>
    <row r="1682" spans="1:1" x14ac:dyDescent="0.25">
      <c r="A1682" t="s">
        <v>1746</v>
      </c>
    </row>
    <row r="1683" spans="1:1" x14ac:dyDescent="0.25">
      <c r="A1683" t="s">
        <v>1747</v>
      </c>
    </row>
    <row r="1684" spans="1:1" x14ac:dyDescent="0.25">
      <c r="A1684" t="s">
        <v>1748</v>
      </c>
    </row>
    <row r="1685" spans="1:1" x14ac:dyDescent="0.25">
      <c r="A1685" t="s">
        <v>1749</v>
      </c>
    </row>
    <row r="1686" spans="1:1" x14ac:dyDescent="0.25">
      <c r="A1686" t="s">
        <v>1750</v>
      </c>
    </row>
    <row r="1687" spans="1:1" x14ac:dyDescent="0.25">
      <c r="A1687" t="s">
        <v>1751</v>
      </c>
    </row>
    <row r="1688" spans="1:1" x14ac:dyDescent="0.25">
      <c r="A1688" t="s">
        <v>1752</v>
      </c>
    </row>
    <row r="1689" spans="1:1" x14ac:dyDescent="0.25">
      <c r="A1689" t="s">
        <v>1753</v>
      </c>
    </row>
    <row r="1690" spans="1:1" x14ac:dyDescent="0.25">
      <c r="A1690" t="s">
        <v>1754</v>
      </c>
    </row>
    <row r="1691" spans="1:1" x14ac:dyDescent="0.25">
      <c r="A1691" t="s">
        <v>1755</v>
      </c>
    </row>
    <row r="1692" spans="1:1" x14ac:dyDescent="0.25">
      <c r="A1692" t="s">
        <v>1756</v>
      </c>
    </row>
    <row r="1693" spans="1:1" x14ac:dyDescent="0.25">
      <c r="A1693" t="s">
        <v>1757</v>
      </c>
    </row>
    <row r="1694" spans="1:1" x14ac:dyDescent="0.25">
      <c r="A1694" t="s">
        <v>1758</v>
      </c>
    </row>
    <row r="1695" spans="1:1" x14ac:dyDescent="0.25">
      <c r="A1695" t="s">
        <v>1759</v>
      </c>
    </row>
    <row r="1696" spans="1:1" x14ac:dyDescent="0.25">
      <c r="A1696" t="s">
        <v>1760</v>
      </c>
    </row>
    <row r="1697" spans="1:1" x14ac:dyDescent="0.25">
      <c r="A1697" t="s">
        <v>1761</v>
      </c>
    </row>
    <row r="1698" spans="1:1" x14ac:dyDescent="0.25">
      <c r="A1698" t="s">
        <v>1762</v>
      </c>
    </row>
    <row r="1699" spans="1:1" x14ac:dyDescent="0.25">
      <c r="A1699" t="s">
        <v>1763</v>
      </c>
    </row>
    <row r="1700" spans="1:1" x14ac:dyDescent="0.25">
      <c r="A1700" t="s">
        <v>1764</v>
      </c>
    </row>
    <row r="1701" spans="1:1" x14ac:dyDescent="0.25">
      <c r="A1701" t="s">
        <v>1765</v>
      </c>
    </row>
    <row r="1702" spans="1:1" x14ac:dyDescent="0.25">
      <c r="A1702" t="s">
        <v>1766</v>
      </c>
    </row>
    <row r="1703" spans="1:1" x14ac:dyDescent="0.25">
      <c r="A1703" t="s">
        <v>1767</v>
      </c>
    </row>
    <row r="1704" spans="1:1" x14ac:dyDescent="0.25">
      <c r="A1704" t="s">
        <v>1768</v>
      </c>
    </row>
    <row r="1705" spans="1:1" x14ac:dyDescent="0.25">
      <c r="A1705" t="s">
        <v>1769</v>
      </c>
    </row>
    <row r="1706" spans="1:1" x14ac:dyDescent="0.25">
      <c r="A1706" t="s">
        <v>1770</v>
      </c>
    </row>
    <row r="1707" spans="1:1" x14ac:dyDescent="0.25">
      <c r="A1707" t="s">
        <v>1771</v>
      </c>
    </row>
    <row r="1708" spans="1:1" x14ac:dyDescent="0.25">
      <c r="A1708" t="s">
        <v>1772</v>
      </c>
    </row>
    <row r="1709" spans="1:1" x14ac:dyDescent="0.25">
      <c r="A1709" t="s">
        <v>1773</v>
      </c>
    </row>
    <row r="1710" spans="1:1" x14ac:dyDescent="0.25">
      <c r="A1710" t="s">
        <v>1774</v>
      </c>
    </row>
    <row r="1711" spans="1:1" x14ac:dyDescent="0.25">
      <c r="A1711" t="s">
        <v>1775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6C7F4-5662-4898-B1E8-2C5974F58912}">
  <sheetPr codeName="Sheet24"/>
  <dimension ref="A2:A1711"/>
  <sheetViews>
    <sheetView workbookViewId="0"/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92</v>
      </c>
    </row>
    <row r="29" spans="1:1" x14ac:dyDescent="0.25">
      <c r="A29" t="s">
        <v>93</v>
      </c>
    </row>
    <row r="30" spans="1:1" x14ac:dyDescent="0.25">
      <c r="A30" t="s">
        <v>94</v>
      </c>
    </row>
    <row r="31" spans="1:1" x14ac:dyDescent="0.25">
      <c r="A31" t="s">
        <v>95</v>
      </c>
    </row>
    <row r="32" spans="1:1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234</v>
      </c>
    </row>
    <row r="171" spans="1:1" x14ac:dyDescent="0.25">
      <c r="A171" t="s">
        <v>235</v>
      </c>
    </row>
    <row r="172" spans="1:1" x14ac:dyDescent="0.25">
      <c r="A172" t="s">
        <v>236</v>
      </c>
    </row>
    <row r="173" spans="1:1" x14ac:dyDescent="0.25">
      <c r="A173" t="s">
        <v>237</v>
      </c>
    </row>
    <row r="174" spans="1:1" x14ac:dyDescent="0.25">
      <c r="A174" t="s">
        <v>238</v>
      </c>
    </row>
    <row r="175" spans="1:1" x14ac:dyDescent="0.25">
      <c r="A175" t="s">
        <v>239</v>
      </c>
    </row>
    <row r="176" spans="1:1" x14ac:dyDescent="0.25">
      <c r="A176" t="s">
        <v>240</v>
      </c>
    </row>
    <row r="177" spans="1:1" x14ac:dyDescent="0.25">
      <c r="A177" t="s">
        <v>241</v>
      </c>
    </row>
    <row r="178" spans="1:1" x14ac:dyDescent="0.25">
      <c r="A178" t="s">
        <v>242</v>
      </c>
    </row>
    <row r="179" spans="1:1" x14ac:dyDescent="0.25">
      <c r="A179" t="s">
        <v>243</v>
      </c>
    </row>
    <row r="180" spans="1:1" x14ac:dyDescent="0.25">
      <c r="A180" t="s">
        <v>244</v>
      </c>
    </row>
    <row r="181" spans="1:1" x14ac:dyDescent="0.25">
      <c r="A181" t="s">
        <v>245</v>
      </c>
    </row>
    <row r="182" spans="1:1" x14ac:dyDescent="0.25">
      <c r="A182" t="s">
        <v>246</v>
      </c>
    </row>
    <row r="183" spans="1:1" x14ac:dyDescent="0.25">
      <c r="A183" t="s">
        <v>247</v>
      </c>
    </row>
    <row r="184" spans="1:1" x14ac:dyDescent="0.25">
      <c r="A184" t="s">
        <v>248</v>
      </c>
    </row>
    <row r="185" spans="1:1" x14ac:dyDescent="0.25">
      <c r="A185" t="s">
        <v>249</v>
      </c>
    </row>
    <row r="186" spans="1:1" x14ac:dyDescent="0.25">
      <c r="A186" t="s">
        <v>250</v>
      </c>
    </row>
    <row r="187" spans="1:1" x14ac:dyDescent="0.25">
      <c r="A187" t="s">
        <v>251</v>
      </c>
    </row>
    <row r="188" spans="1:1" x14ac:dyDescent="0.25">
      <c r="A188" t="s">
        <v>252</v>
      </c>
    </row>
    <row r="189" spans="1:1" x14ac:dyDescent="0.25">
      <c r="A189" t="s">
        <v>253</v>
      </c>
    </row>
    <row r="190" spans="1:1" x14ac:dyDescent="0.25">
      <c r="A190" t="s">
        <v>254</v>
      </c>
    </row>
    <row r="191" spans="1:1" x14ac:dyDescent="0.25">
      <c r="A191" t="s">
        <v>255</v>
      </c>
    </row>
    <row r="192" spans="1:1" x14ac:dyDescent="0.25">
      <c r="A192" t="s">
        <v>256</v>
      </c>
    </row>
    <row r="193" spans="1:1" x14ac:dyDescent="0.25">
      <c r="A193" t="s">
        <v>257</v>
      </c>
    </row>
    <row r="194" spans="1:1" x14ac:dyDescent="0.25">
      <c r="A194" t="s">
        <v>258</v>
      </c>
    </row>
    <row r="195" spans="1:1" x14ac:dyDescent="0.25">
      <c r="A195" t="s">
        <v>259</v>
      </c>
    </row>
    <row r="196" spans="1:1" x14ac:dyDescent="0.25">
      <c r="A196" t="s">
        <v>260</v>
      </c>
    </row>
    <row r="197" spans="1:1" x14ac:dyDescent="0.25">
      <c r="A197" t="s">
        <v>261</v>
      </c>
    </row>
    <row r="198" spans="1:1" x14ac:dyDescent="0.25">
      <c r="A198" t="s">
        <v>262</v>
      </c>
    </row>
    <row r="199" spans="1:1" x14ac:dyDescent="0.25">
      <c r="A199" t="s">
        <v>263</v>
      </c>
    </row>
    <row r="200" spans="1:1" x14ac:dyDescent="0.25">
      <c r="A200" t="s">
        <v>264</v>
      </c>
    </row>
    <row r="201" spans="1:1" x14ac:dyDescent="0.25">
      <c r="A201" t="s">
        <v>265</v>
      </c>
    </row>
    <row r="202" spans="1:1" x14ac:dyDescent="0.25">
      <c r="A202" t="s">
        <v>266</v>
      </c>
    </row>
    <row r="203" spans="1:1" x14ac:dyDescent="0.25">
      <c r="A203" t="s">
        <v>267</v>
      </c>
    </row>
    <row r="204" spans="1:1" x14ac:dyDescent="0.25">
      <c r="A204" t="s">
        <v>268</v>
      </c>
    </row>
    <row r="205" spans="1:1" x14ac:dyDescent="0.25">
      <c r="A205" t="s">
        <v>269</v>
      </c>
    </row>
    <row r="206" spans="1:1" x14ac:dyDescent="0.25">
      <c r="A206" t="s">
        <v>270</v>
      </c>
    </row>
    <row r="207" spans="1:1" x14ac:dyDescent="0.25">
      <c r="A207" t="s">
        <v>271</v>
      </c>
    </row>
    <row r="208" spans="1:1" x14ac:dyDescent="0.25">
      <c r="A208" t="s">
        <v>272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277</v>
      </c>
    </row>
    <row r="214" spans="1:1" x14ac:dyDescent="0.25">
      <c r="A214" t="s">
        <v>278</v>
      </c>
    </row>
    <row r="215" spans="1:1" x14ac:dyDescent="0.25">
      <c r="A215" t="s">
        <v>279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282</v>
      </c>
    </row>
    <row r="219" spans="1:1" x14ac:dyDescent="0.25">
      <c r="A219" t="s">
        <v>283</v>
      </c>
    </row>
    <row r="220" spans="1:1" x14ac:dyDescent="0.25">
      <c r="A220" t="s">
        <v>284</v>
      </c>
    </row>
    <row r="221" spans="1:1" x14ac:dyDescent="0.25">
      <c r="A221" t="s">
        <v>285</v>
      </c>
    </row>
    <row r="222" spans="1:1" x14ac:dyDescent="0.25">
      <c r="A222" t="s">
        <v>286</v>
      </c>
    </row>
    <row r="223" spans="1:1" x14ac:dyDescent="0.25">
      <c r="A223" t="s">
        <v>287</v>
      </c>
    </row>
    <row r="224" spans="1:1" x14ac:dyDescent="0.25">
      <c r="A224" t="s">
        <v>288</v>
      </c>
    </row>
    <row r="225" spans="1:1" x14ac:dyDescent="0.25">
      <c r="A225" t="s">
        <v>289</v>
      </c>
    </row>
    <row r="226" spans="1:1" x14ac:dyDescent="0.25">
      <c r="A226" t="s">
        <v>290</v>
      </c>
    </row>
    <row r="227" spans="1:1" x14ac:dyDescent="0.25">
      <c r="A227" t="s">
        <v>291</v>
      </c>
    </row>
    <row r="228" spans="1:1" x14ac:dyDescent="0.25">
      <c r="A228" t="s">
        <v>292</v>
      </c>
    </row>
    <row r="229" spans="1:1" x14ac:dyDescent="0.25">
      <c r="A229" t="s">
        <v>293</v>
      </c>
    </row>
    <row r="230" spans="1:1" x14ac:dyDescent="0.25">
      <c r="A230" t="s">
        <v>294</v>
      </c>
    </row>
    <row r="231" spans="1:1" x14ac:dyDescent="0.25">
      <c r="A231" t="s">
        <v>295</v>
      </c>
    </row>
    <row r="232" spans="1:1" x14ac:dyDescent="0.25">
      <c r="A232" t="s">
        <v>296</v>
      </c>
    </row>
    <row r="233" spans="1:1" x14ac:dyDescent="0.25">
      <c r="A233" t="s">
        <v>297</v>
      </c>
    </row>
    <row r="234" spans="1:1" x14ac:dyDescent="0.25">
      <c r="A234" t="s">
        <v>298</v>
      </c>
    </row>
    <row r="235" spans="1:1" x14ac:dyDescent="0.25">
      <c r="A235" t="s">
        <v>299</v>
      </c>
    </row>
    <row r="236" spans="1:1" x14ac:dyDescent="0.25">
      <c r="A236" t="s">
        <v>300</v>
      </c>
    </row>
    <row r="237" spans="1:1" x14ac:dyDescent="0.25">
      <c r="A237" t="s">
        <v>301</v>
      </c>
    </row>
    <row r="238" spans="1:1" x14ac:dyDescent="0.25">
      <c r="A238" t="s">
        <v>302</v>
      </c>
    </row>
    <row r="239" spans="1:1" x14ac:dyDescent="0.25">
      <c r="A239" t="s">
        <v>303</v>
      </c>
    </row>
    <row r="240" spans="1:1" x14ac:dyDescent="0.25">
      <c r="A240" t="s">
        <v>304</v>
      </c>
    </row>
    <row r="241" spans="1:1" x14ac:dyDescent="0.25">
      <c r="A241" t="s">
        <v>305</v>
      </c>
    </row>
    <row r="242" spans="1:1" x14ac:dyDescent="0.25">
      <c r="A242" t="s">
        <v>306</v>
      </c>
    </row>
    <row r="243" spans="1:1" x14ac:dyDescent="0.25">
      <c r="A243" t="s">
        <v>307</v>
      </c>
    </row>
    <row r="244" spans="1:1" x14ac:dyDescent="0.25">
      <c r="A244" t="s">
        <v>308</v>
      </c>
    </row>
    <row r="245" spans="1:1" x14ac:dyDescent="0.25">
      <c r="A245" t="s">
        <v>309</v>
      </c>
    </row>
    <row r="246" spans="1:1" x14ac:dyDescent="0.25">
      <c r="A246" t="s">
        <v>310</v>
      </c>
    </row>
    <row r="247" spans="1:1" x14ac:dyDescent="0.25">
      <c r="A247" t="s">
        <v>311</v>
      </c>
    </row>
    <row r="248" spans="1:1" x14ac:dyDescent="0.25">
      <c r="A248" t="s">
        <v>312</v>
      </c>
    </row>
    <row r="249" spans="1:1" x14ac:dyDescent="0.25">
      <c r="A249" t="s">
        <v>313</v>
      </c>
    </row>
    <row r="250" spans="1:1" x14ac:dyDescent="0.25">
      <c r="A250" t="s">
        <v>314</v>
      </c>
    </row>
    <row r="251" spans="1:1" x14ac:dyDescent="0.25">
      <c r="A251" t="s">
        <v>315</v>
      </c>
    </row>
    <row r="252" spans="1:1" x14ac:dyDescent="0.25">
      <c r="A252" t="s">
        <v>316</v>
      </c>
    </row>
    <row r="253" spans="1:1" x14ac:dyDescent="0.25">
      <c r="A253" t="s">
        <v>317</v>
      </c>
    </row>
    <row r="254" spans="1:1" x14ac:dyDescent="0.25">
      <c r="A254" t="s">
        <v>318</v>
      </c>
    </row>
    <row r="255" spans="1:1" x14ac:dyDescent="0.25">
      <c r="A255" t="s">
        <v>319</v>
      </c>
    </row>
    <row r="256" spans="1:1" x14ac:dyDescent="0.25">
      <c r="A256" t="s">
        <v>320</v>
      </c>
    </row>
    <row r="257" spans="1:1" x14ac:dyDescent="0.25">
      <c r="A257" t="s">
        <v>321</v>
      </c>
    </row>
    <row r="258" spans="1:1" x14ac:dyDescent="0.25">
      <c r="A258" t="s">
        <v>322</v>
      </c>
    </row>
    <row r="259" spans="1:1" x14ac:dyDescent="0.25">
      <c r="A259" t="s">
        <v>323</v>
      </c>
    </row>
    <row r="260" spans="1:1" x14ac:dyDescent="0.25">
      <c r="A260" t="s">
        <v>324</v>
      </c>
    </row>
    <row r="261" spans="1:1" x14ac:dyDescent="0.25">
      <c r="A261" t="s">
        <v>325</v>
      </c>
    </row>
    <row r="262" spans="1:1" x14ac:dyDescent="0.25">
      <c r="A262" t="s">
        <v>326</v>
      </c>
    </row>
    <row r="263" spans="1:1" x14ac:dyDescent="0.25">
      <c r="A263" t="s">
        <v>327</v>
      </c>
    </row>
    <row r="264" spans="1:1" x14ac:dyDescent="0.25">
      <c r="A264" t="s">
        <v>328</v>
      </c>
    </row>
    <row r="265" spans="1:1" x14ac:dyDescent="0.25">
      <c r="A265" t="s">
        <v>329</v>
      </c>
    </row>
    <row r="266" spans="1:1" x14ac:dyDescent="0.25">
      <c r="A266" t="s">
        <v>330</v>
      </c>
    </row>
    <row r="267" spans="1:1" x14ac:dyDescent="0.25">
      <c r="A267" t="s">
        <v>331</v>
      </c>
    </row>
    <row r="268" spans="1:1" x14ac:dyDescent="0.25">
      <c r="A268" t="s">
        <v>332</v>
      </c>
    </row>
    <row r="269" spans="1:1" x14ac:dyDescent="0.25">
      <c r="A269" t="s">
        <v>333</v>
      </c>
    </row>
    <row r="270" spans="1:1" x14ac:dyDescent="0.25">
      <c r="A270" t="s">
        <v>334</v>
      </c>
    </row>
    <row r="271" spans="1:1" x14ac:dyDescent="0.25">
      <c r="A271" t="s">
        <v>335</v>
      </c>
    </row>
    <row r="272" spans="1:1" x14ac:dyDescent="0.25">
      <c r="A272" t="s">
        <v>336</v>
      </c>
    </row>
    <row r="273" spans="1:1" x14ac:dyDescent="0.25">
      <c r="A273" t="s">
        <v>337</v>
      </c>
    </row>
    <row r="274" spans="1:1" x14ac:dyDescent="0.25">
      <c r="A274" t="s">
        <v>338</v>
      </c>
    </row>
    <row r="275" spans="1:1" x14ac:dyDescent="0.25">
      <c r="A275" t="s">
        <v>339</v>
      </c>
    </row>
    <row r="276" spans="1:1" x14ac:dyDescent="0.25">
      <c r="A276" t="s">
        <v>340</v>
      </c>
    </row>
    <row r="277" spans="1:1" x14ac:dyDescent="0.25">
      <c r="A277" t="s">
        <v>341</v>
      </c>
    </row>
    <row r="278" spans="1:1" x14ac:dyDescent="0.25">
      <c r="A278" t="s">
        <v>342</v>
      </c>
    </row>
    <row r="279" spans="1:1" x14ac:dyDescent="0.25">
      <c r="A279" t="s">
        <v>343</v>
      </c>
    </row>
    <row r="280" spans="1:1" x14ac:dyDescent="0.25">
      <c r="A280" t="s">
        <v>344</v>
      </c>
    </row>
    <row r="281" spans="1:1" x14ac:dyDescent="0.25">
      <c r="A281" t="s">
        <v>345</v>
      </c>
    </row>
    <row r="282" spans="1:1" x14ac:dyDescent="0.25">
      <c r="A282" t="s">
        <v>346</v>
      </c>
    </row>
    <row r="283" spans="1:1" x14ac:dyDescent="0.25">
      <c r="A283" t="s">
        <v>347</v>
      </c>
    </row>
    <row r="284" spans="1:1" x14ac:dyDescent="0.25">
      <c r="A284" t="s">
        <v>348</v>
      </c>
    </row>
    <row r="285" spans="1:1" x14ac:dyDescent="0.25">
      <c r="A285" t="s">
        <v>349</v>
      </c>
    </row>
    <row r="286" spans="1:1" x14ac:dyDescent="0.25">
      <c r="A286" t="s">
        <v>350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353</v>
      </c>
    </row>
    <row r="290" spans="1:1" x14ac:dyDescent="0.25">
      <c r="A290" t="s">
        <v>354</v>
      </c>
    </row>
    <row r="291" spans="1:1" x14ac:dyDescent="0.25">
      <c r="A291" t="s">
        <v>355</v>
      </c>
    </row>
    <row r="292" spans="1:1" x14ac:dyDescent="0.25">
      <c r="A292" t="s">
        <v>356</v>
      </c>
    </row>
    <row r="293" spans="1:1" x14ac:dyDescent="0.25">
      <c r="A293" t="s">
        <v>357</v>
      </c>
    </row>
    <row r="294" spans="1:1" x14ac:dyDescent="0.25">
      <c r="A294" t="s">
        <v>358</v>
      </c>
    </row>
    <row r="295" spans="1:1" x14ac:dyDescent="0.25">
      <c r="A295" t="s">
        <v>359</v>
      </c>
    </row>
    <row r="296" spans="1:1" x14ac:dyDescent="0.25">
      <c r="A296" t="s">
        <v>360</v>
      </c>
    </row>
    <row r="297" spans="1:1" x14ac:dyDescent="0.25">
      <c r="A297" t="s">
        <v>361</v>
      </c>
    </row>
    <row r="298" spans="1:1" x14ac:dyDescent="0.25">
      <c r="A298" t="s">
        <v>362</v>
      </c>
    </row>
    <row r="299" spans="1:1" x14ac:dyDescent="0.25">
      <c r="A299" t="s">
        <v>363</v>
      </c>
    </row>
    <row r="300" spans="1:1" x14ac:dyDescent="0.25">
      <c r="A300" t="s">
        <v>364</v>
      </c>
    </row>
    <row r="301" spans="1:1" x14ac:dyDescent="0.25">
      <c r="A301" t="s">
        <v>365</v>
      </c>
    </row>
    <row r="302" spans="1:1" x14ac:dyDescent="0.25">
      <c r="A302" t="s">
        <v>366</v>
      </c>
    </row>
    <row r="303" spans="1:1" x14ac:dyDescent="0.25">
      <c r="A303" t="s">
        <v>367</v>
      </c>
    </row>
    <row r="304" spans="1:1" x14ac:dyDescent="0.25">
      <c r="A304" t="s">
        <v>368</v>
      </c>
    </row>
    <row r="305" spans="1:1" x14ac:dyDescent="0.25">
      <c r="A305" t="s">
        <v>369</v>
      </c>
    </row>
    <row r="306" spans="1:1" x14ac:dyDescent="0.25">
      <c r="A306" t="s">
        <v>370</v>
      </c>
    </row>
    <row r="307" spans="1:1" x14ac:dyDescent="0.25">
      <c r="A307" t="s">
        <v>371</v>
      </c>
    </row>
    <row r="308" spans="1:1" x14ac:dyDescent="0.25">
      <c r="A308" t="s">
        <v>372</v>
      </c>
    </row>
    <row r="309" spans="1:1" x14ac:dyDescent="0.25">
      <c r="A309" t="s">
        <v>373</v>
      </c>
    </row>
    <row r="310" spans="1:1" x14ac:dyDescent="0.25">
      <c r="A310" t="s">
        <v>374</v>
      </c>
    </row>
    <row r="311" spans="1:1" x14ac:dyDescent="0.25">
      <c r="A311" t="s">
        <v>375</v>
      </c>
    </row>
    <row r="312" spans="1:1" x14ac:dyDescent="0.25">
      <c r="A312" t="s">
        <v>376</v>
      </c>
    </row>
    <row r="313" spans="1:1" x14ac:dyDescent="0.25">
      <c r="A313" t="s">
        <v>377</v>
      </c>
    </row>
    <row r="314" spans="1:1" x14ac:dyDescent="0.25">
      <c r="A314" t="s">
        <v>378</v>
      </c>
    </row>
    <row r="315" spans="1:1" x14ac:dyDescent="0.25">
      <c r="A315" t="s">
        <v>379</v>
      </c>
    </row>
    <row r="316" spans="1:1" x14ac:dyDescent="0.25">
      <c r="A316" t="s">
        <v>380</v>
      </c>
    </row>
    <row r="317" spans="1:1" x14ac:dyDescent="0.25">
      <c r="A317" t="s">
        <v>381</v>
      </c>
    </row>
    <row r="318" spans="1:1" x14ac:dyDescent="0.25">
      <c r="A318" t="s">
        <v>382</v>
      </c>
    </row>
    <row r="319" spans="1:1" x14ac:dyDescent="0.25">
      <c r="A319" t="s">
        <v>383</v>
      </c>
    </row>
    <row r="320" spans="1:1" x14ac:dyDescent="0.25">
      <c r="A320" t="s">
        <v>384</v>
      </c>
    </row>
    <row r="321" spans="1:1" x14ac:dyDescent="0.25">
      <c r="A321" t="s">
        <v>385</v>
      </c>
    </row>
    <row r="322" spans="1:1" x14ac:dyDescent="0.25">
      <c r="A322" t="s">
        <v>386</v>
      </c>
    </row>
    <row r="323" spans="1:1" x14ac:dyDescent="0.25">
      <c r="A323" t="s">
        <v>387</v>
      </c>
    </row>
    <row r="324" spans="1:1" x14ac:dyDescent="0.25">
      <c r="A324" t="s">
        <v>388</v>
      </c>
    </row>
    <row r="325" spans="1:1" x14ac:dyDescent="0.25">
      <c r="A325" t="s">
        <v>389</v>
      </c>
    </row>
    <row r="326" spans="1:1" x14ac:dyDescent="0.25">
      <c r="A326" t="s">
        <v>390</v>
      </c>
    </row>
    <row r="327" spans="1:1" x14ac:dyDescent="0.25">
      <c r="A327" t="s">
        <v>391</v>
      </c>
    </row>
    <row r="328" spans="1:1" x14ac:dyDescent="0.25">
      <c r="A328" t="s">
        <v>392</v>
      </c>
    </row>
    <row r="329" spans="1:1" x14ac:dyDescent="0.25">
      <c r="A329" t="s">
        <v>393</v>
      </c>
    </row>
    <row r="330" spans="1:1" x14ac:dyDescent="0.25">
      <c r="A330" t="s">
        <v>394</v>
      </c>
    </row>
    <row r="331" spans="1:1" x14ac:dyDescent="0.25">
      <c r="A331" t="s">
        <v>395</v>
      </c>
    </row>
    <row r="332" spans="1:1" x14ac:dyDescent="0.25">
      <c r="A332" t="s">
        <v>396</v>
      </c>
    </row>
    <row r="333" spans="1:1" x14ac:dyDescent="0.25">
      <c r="A333" t="s">
        <v>397</v>
      </c>
    </row>
    <row r="334" spans="1:1" x14ac:dyDescent="0.25">
      <c r="A334" t="s">
        <v>398</v>
      </c>
    </row>
    <row r="335" spans="1:1" x14ac:dyDescent="0.25">
      <c r="A335" t="s">
        <v>399</v>
      </c>
    </row>
    <row r="336" spans="1:1" x14ac:dyDescent="0.25">
      <c r="A336" t="s">
        <v>400</v>
      </c>
    </row>
    <row r="337" spans="1:1" x14ac:dyDescent="0.25">
      <c r="A337" t="s">
        <v>401</v>
      </c>
    </row>
    <row r="338" spans="1:1" x14ac:dyDescent="0.25">
      <c r="A338" t="s">
        <v>402</v>
      </c>
    </row>
    <row r="339" spans="1:1" x14ac:dyDescent="0.25">
      <c r="A339" t="s">
        <v>403</v>
      </c>
    </row>
    <row r="340" spans="1:1" x14ac:dyDescent="0.25">
      <c r="A340" t="s">
        <v>404</v>
      </c>
    </row>
    <row r="341" spans="1:1" x14ac:dyDescent="0.25">
      <c r="A341" t="s">
        <v>405</v>
      </c>
    </row>
    <row r="342" spans="1:1" x14ac:dyDescent="0.25">
      <c r="A342" t="s">
        <v>406</v>
      </c>
    </row>
    <row r="343" spans="1:1" x14ac:dyDescent="0.25">
      <c r="A343" t="s">
        <v>407</v>
      </c>
    </row>
    <row r="344" spans="1:1" x14ac:dyDescent="0.25">
      <c r="A344" t="s">
        <v>408</v>
      </c>
    </row>
    <row r="345" spans="1:1" x14ac:dyDescent="0.25">
      <c r="A345" t="s">
        <v>409</v>
      </c>
    </row>
    <row r="346" spans="1:1" x14ac:dyDescent="0.25">
      <c r="A346" t="s">
        <v>410</v>
      </c>
    </row>
    <row r="347" spans="1:1" x14ac:dyDescent="0.25">
      <c r="A347" t="s">
        <v>411</v>
      </c>
    </row>
    <row r="348" spans="1:1" x14ac:dyDescent="0.25">
      <c r="A348" t="s">
        <v>412</v>
      </c>
    </row>
    <row r="349" spans="1:1" x14ac:dyDescent="0.25">
      <c r="A349" t="s">
        <v>413</v>
      </c>
    </row>
    <row r="350" spans="1:1" x14ac:dyDescent="0.25">
      <c r="A350" t="s">
        <v>414</v>
      </c>
    </row>
    <row r="351" spans="1:1" x14ac:dyDescent="0.25">
      <c r="A351" t="s">
        <v>415</v>
      </c>
    </row>
    <row r="352" spans="1:1" x14ac:dyDescent="0.25">
      <c r="A352" t="s">
        <v>416</v>
      </c>
    </row>
    <row r="353" spans="1:1" x14ac:dyDescent="0.25">
      <c r="A353" t="s">
        <v>417</v>
      </c>
    </row>
    <row r="354" spans="1:1" x14ac:dyDescent="0.25">
      <c r="A354" t="s">
        <v>418</v>
      </c>
    </row>
    <row r="355" spans="1:1" x14ac:dyDescent="0.25">
      <c r="A355" t="s">
        <v>419</v>
      </c>
    </row>
    <row r="356" spans="1:1" x14ac:dyDescent="0.25">
      <c r="A356" t="s">
        <v>420</v>
      </c>
    </row>
    <row r="357" spans="1:1" x14ac:dyDescent="0.25">
      <c r="A357" t="s">
        <v>421</v>
      </c>
    </row>
    <row r="358" spans="1:1" x14ac:dyDescent="0.25">
      <c r="A358" t="s">
        <v>422</v>
      </c>
    </row>
    <row r="359" spans="1:1" x14ac:dyDescent="0.25">
      <c r="A359" t="s">
        <v>423</v>
      </c>
    </row>
    <row r="360" spans="1:1" x14ac:dyDescent="0.25">
      <c r="A360" t="s">
        <v>424</v>
      </c>
    </row>
    <row r="361" spans="1:1" x14ac:dyDescent="0.25">
      <c r="A361" t="s">
        <v>425</v>
      </c>
    </row>
    <row r="362" spans="1:1" x14ac:dyDescent="0.25">
      <c r="A362" t="s">
        <v>426</v>
      </c>
    </row>
    <row r="363" spans="1:1" x14ac:dyDescent="0.25">
      <c r="A363" t="s">
        <v>427</v>
      </c>
    </row>
    <row r="364" spans="1:1" x14ac:dyDescent="0.25">
      <c r="A364" t="s">
        <v>428</v>
      </c>
    </row>
    <row r="365" spans="1:1" x14ac:dyDescent="0.25">
      <c r="A365" t="s">
        <v>429</v>
      </c>
    </row>
    <row r="366" spans="1:1" x14ac:dyDescent="0.25">
      <c r="A366" t="s">
        <v>430</v>
      </c>
    </row>
    <row r="367" spans="1:1" x14ac:dyDescent="0.25">
      <c r="A367" t="s">
        <v>431</v>
      </c>
    </row>
    <row r="368" spans="1:1" x14ac:dyDescent="0.25">
      <c r="A368" t="s">
        <v>432</v>
      </c>
    </row>
    <row r="369" spans="1:1" x14ac:dyDescent="0.25">
      <c r="A369" t="s">
        <v>433</v>
      </c>
    </row>
    <row r="370" spans="1:1" x14ac:dyDescent="0.25">
      <c r="A370" t="s">
        <v>434</v>
      </c>
    </row>
    <row r="371" spans="1:1" x14ac:dyDescent="0.25">
      <c r="A371" t="s">
        <v>435</v>
      </c>
    </row>
    <row r="372" spans="1:1" x14ac:dyDescent="0.25">
      <c r="A372" t="s">
        <v>436</v>
      </c>
    </row>
    <row r="373" spans="1:1" x14ac:dyDescent="0.25">
      <c r="A373" t="s">
        <v>437</v>
      </c>
    </row>
    <row r="374" spans="1:1" x14ac:dyDescent="0.25">
      <c r="A374" t="s">
        <v>438</v>
      </c>
    </row>
    <row r="375" spans="1:1" x14ac:dyDescent="0.25">
      <c r="A375" t="s">
        <v>439</v>
      </c>
    </row>
    <row r="376" spans="1:1" x14ac:dyDescent="0.25">
      <c r="A376" t="s">
        <v>440</v>
      </c>
    </row>
    <row r="377" spans="1:1" x14ac:dyDescent="0.25">
      <c r="A377" t="s">
        <v>441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450</v>
      </c>
    </row>
    <row r="387" spans="1:1" x14ac:dyDescent="0.25">
      <c r="A387" t="s">
        <v>451</v>
      </c>
    </row>
    <row r="388" spans="1:1" x14ac:dyDescent="0.25">
      <c r="A388" t="s">
        <v>452</v>
      </c>
    </row>
    <row r="389" spans="1:1" x14ac:dyDescent="0.25">
      <c r="A389" t="s">
        <v>453</v>
      </c>
    </row>
    <row r="390" spans="1:1" x14ac:dyDescent="0.25">
      <c r="A390" t="s">
        <v>454</v>
      </c>
    </row>
    <row r="391" spans="1:1" x14ac:dyDescent="0.25">
      <c r="A391" t="s">
        <v>455</v>
      </c>
    </row>
    <row r="392" spans="1:1" x14ac:dyDescent="0.25">
      <c r="A392" t="s">
        <v>456</v>
      </c>
    </row>
    <row r="393" spans="1:1" x14ac:dyDescent="0.25">
      <c r="A393" t="s">
        <v>457</v>
      </c>
    </row>
    <row r="394" spans="1:1" x14ac:dyDescent="0.25">
      <c r="A394" t="s">
        <v>458</v>
      </c>
    </row>
    <row r="395" spans="1:1" x14ac:dyDescent="0.25">
      <c r="A395" t="s">
        <v>459</v>
      </c>
    </row>
    <row r="396" spans="1:1" x14ac:dyDescent="0.25">
      <c r="A396" t="s">
        <v>460</v>
      </c>
    </row>
    <row r="397" spans="1:1" x14ac:dyDescent="0.25">
      <c r="A397" t="s">
        <v>461</v>
      </c>
    </row>
    <row r="398" spans="1:1" x14ac:dyDescent="0.25">
      <c r="A398" t="s">
        <v>462</v>
      </c>
    </row>
    <row r="399" spans="1:1" x14ac:dyDescent="0.25">
      <c r="A399" t="s">
        <v>463</v>
      </c>
    </row>
    <row r="400" spans="1:1" x14ac:dyDescent="0.25">
      <c r="A400" t="s">
        <v>464</v>
      </c>
    </row>
    <row r="401" spans="1:1" x14ac:dyDescent="0.25">
      <c r="A401" t="s">
        <v>465</v>
      </c>
    </row>
    <row r="402" spans="1:1" x14ac:dyDescent="0.25">
      <c r="A402" t="s">
        <v>466</v>
      </c>
    </row>
    <row r="403" spans="1:1" x14ac:dyDescent="0.25">
      <c r="A403" t="s">
        <v>467</v>
      </c>
    </row>
    <row r="404" spans="1:1" x14ac:dyDescent="0.25">
      <c r="A404" t="s">
        <v>468</v>
      </c>
    </row>
    <row r="405" spans="1:1" x14ac:dyDescent="0.25">
      <c r="A405" t="s">
        <v>469</v>
      </c>
    </row>
    <row r="406" spans="1:1" x14ac:dyDescent="0.25">
      <c r="A406" t="s">
        <v>470</v>
      </c>
    </row>
    <row r="407" spans="1:1" x14ac:dyDescent="0.25">
      <c r="A407" t="s">
        <v>471</v>
      </c>
    </row>
    <row r="408" spans="1:1" x14ac:dyDescent="0.25">
      <c r="A408" t="s">
        <v>472</v>
      </c>
    </row>
    <row r="409" spans="1:1" x14ac:dyDescent="0.25">
      <c r="A409" t="s">
        <v>473</v>
      </c>
    </row>
    <row r="410" spans="1:1" x14ac:dyDescent="0.25">
      <c r="A410" t="s">
        <v>474</v>
      </c>
    </row>
    <row r="411" spans="1:1" x14ac:dyDescent="0.25">
      <c r="A411" t="s">
        <v>475</v>
      </c>
    </row>
    <row r="412" spans="1:1" x14ac:dyDescent="0.25">
      <c r="A412" t="s">
        <v>476</v>
      </c>
    </row>
    <row r="413" spans="1:1" x14ac:dyDescent="0.25">
      <c r="A413" t="s">
        <v>477</v>
      </c>
    </row>
    <row r="414" spans="1:1" x14ac:dyDescent="0.25">
      <c r="A414" t="s">
        <v>478</v>
      </c>
    </row>
    <row r="415" spans="1:1" x14ac:dyDescent="0.25">
      <c r="A415" t="s">
        <v>479</v>
      </c>
    </row>
    <row r="416" spans="1:1" x14ac:dyDescent="0.25">
      <c r="A416" t="s">
        <v>480</v>
      </c>
    </row>
    <row r="417" spans="1:1" x14ac:dyDescent="0.25">
      <c r="A417" t="s">
        <v>481</v>
      </c>
    </row>
    <row r="418" spans="1:1" x14ac:dyDescent="0.25">
      <c r="A418" t="s">
        <v>482</v>
      </c>
    </row>
    <row r="419" spans="1:1" x14ac:dyDescent="0.25">
      <c r="A419" t="s">
        <v>483</v>
      </c>
    </row>
    <row r="420" spans="1:1" x14ac:dyDescent="0.25">
      <c r="A420" t="s">
        <v>484</v>
      </c>
    </row>
    <row r="421" spans="1:1" x14ac:dyDescent="0.25">
      <c r="A421" t="s">
        <v>485</v>
      </c>
    </row>
    <row r="422" spans="1:1" x14ac:dyDescent="0.25">
      <c r="A422" t="s">
        <v>486</v>
      </c>
    </row>
    <row r="423" spans="1:1" x14ac:dyDescent="0.25">
      <c r="A423" t="s">
        <v>487</v>
      </c>
    </row>
    <row r="424" spans="1:1" x14ac:dyDescent="0.25">
      <c r="A424" t="s">
        <v>488</v>
      </c>
    </row>
    <row r="425" spans="1:1" x14ac:dyDescent="0.25">
      <c r="A425" t="s">
        <v>489</v>
      </c>
    </row>
    <row r="426" spans="1:1" x14ac:dyDescent="0.25">
      <c r="A426" t="s">
        <v>490</v>
      </c>
    </row>
    <row r="427" spans="1:1" x14ac:dyDescent="0.25">
      <c r="A427" t="s">
        <v>491</v>
      </c>
    </row>
    <row r="428" spans="1:1" x14ac:dyDescent="0.25">
      <c r="A428" t="s">
        <v>492</v>
      </c>
    </row>
    <row r="429" spans="1:1" x14ac:dyDescent="0.25">
      <c r="A429" t="s">
        <v>493</v>
      </c>
    </row>
    <row r="430" spans="1:1" x14ac:dyDescent="0.25">
      <c r="A430" t="s">
        <v>494</v>
      </c>
    </row>
    <row r="431" spans="1:1" x14ac:dyDescent="0.25">
      <c r="A431" t="s">
        <v>495</v>
      </c>
    </row>
    <row r="432" spans="1:1" x14ac:dyDescent="0.25">
      <c r="A432" t="s">
        <v>496</v>
      </c>
    </row>
    <row r="433" spans="1:1" x14ac:dyDescent="0.25">
      <c r="A433" t="s">
        <v>497</v>
      </c>
    </row>
    <row r="434" spans="1:1" x14ac:dyDescent="0.25">
      <c r="A434" t="s">
        <v>498</v>
      </c>
    </row>
    <row r="435" spans="1:1" x14ac:dyDescent="0.25">
      <c r="A435" t="s">
        <v>499</v>
      </c>
    </row>
    <row r="436" spans="1:1" x14ac:dyDescent="0.25">
      <c r="A436" t="s">
        <v>500</v>
      </c>
    </row>
    <row r="437" spans="1:1" x14ac:dyDescent="0.25">
      <c r="A437" t="s">
        <v>501</v>
      </c>
    </row>
    <row r="438" spans="1:1" x14ac:dyDescent="0.25">
      <c r="A438" t="s">
        <v>502</v>
      </c>
    </row>
    <row r="439" spans="1:1" x14ac:dyDescent="0.25">
      <c r="A439" t="s">
        <v>503</v>
      </c>
    </row>
    <row r="440" spans="1:1" x14ac:dyDescent="0.25">
      <c r="A440" t="s">
        <v>504</v>
      </c>
    </row>
    <row r="441" spans="1:1" x14ac:dyDescent="0.25">
      <c r="A441" t="s">
        <v>505</v>
      </c>
    </row>
    <row r="442" spans="1:1" x14ac:dyDescent="0.25">
      <c r="A442" t="s">
        <v>506</v>
      </c>
    </row>
    <row r="443" spans="1:1" x14ac:dyDescent="0.25">
      <c r="A443" t="s">
        <v>507</v>
      </c>
    </row>
    <row r="444" spans="1:1" x14ac:dyDescent="0.25">
      <c r="A444" t="s">
        <v>508</v>
      </c>
    </row>
    <row r="445" spans="1:1" x14ac:dyDescent="0.25">
      <c r="A445" t="s">
        <v>509</v>
      </c>
    </row>
    <row r="446" spans="1:1" x14ac:dyDescent="0.25">
      <c r="A446" t="s">
        <v>510</v>
      </c>
    </row>
    <row r="447" spans="1:1" x14ac:dyDescent="0.25">
      <c r="A447" t="s">
        <v>511</v>
      </c>
    </row>
    <row r="448" spans="1:1" x14ac:dyDescent="0.25">
      <c r="A448" t="s">
        <v>512</v>
      </c>
    </row>
    <row r="449" spans="1:1" x14ac:dyDescent="0.25">
      <c r="A449" t="s">
        <v>513</v>
      </c>
    </row>
    <row r="450" spans="1:1" x14ac:dyDescent="0.25">
      <c r="A450" t="s">
        <v>514</v>
      </c>
    </row>
    <row r="451" spans="1:1" x14ac:dyDescent="0.25">
      <c r="A451" t="s">
        <v>515</v>
      </c>
    </row>
    <row r="452" spans="1:1" x14ac:dyDescent="0.25">
      <c r="A452" t="s">
        <v>516</v>
      </c>
    </row>
    <row r="453" spans="1:1" x14ac:dyDescent="0.25">
      <c r="A453" t="s">
        <v>517</v>
      </c>
    </row>
    <row r="454" spans="1:1" x14ac:dyDescent="0.25">
      <c r="A454" t="s">
        <v>518</v>
      </c>
    </row>
    <row r="455" spans="1:1" x14ac:dyDescent="0.25">
      <c r="A455" t="s">
        <v>519</v>
      </c>
    </row>
    <row r="456" spans="1:1" x14ac:dyDescent="0.25">
      <c r="A456" t="s">
        <v>520</v>
      </c>
    </row>
    <row r="457" spans="1:1" x14ac:dyDescent="0.25">
      <c r="A457" t="s">
        <v>521</v>
      </c>
    </row>
    <row r="458" spans="1:1" x14ac:dyDescent="0.25">
      <c r="A458" t="s">
        <v>522</v>
      </c>
    </row>
    <row r="459" spans="1:1" x14ac:dyDescent="0.25">
      <c r="A459" t="s">
        <v>523</v>
      </c>
    </row>
    <row r="460" spans="1:1" x14ac:dyDescent="0.25">
      <c r="A460" t="s">
        <v>524</v>
      </c>
    </row>
    <row r="461" spans="1:1" x14ac:dyDescent="0.25">
      <c r="A461" t="s">
        <v>525</v>
      </c>
    </row>
    <row r="462" spans="1:1" x14ac:dyDescent="0.25">
      <c r="A462" t="s">
        <v>526</v>
      </c>
    </row>
    <row r="463" spans="1:1" x14ac:dyDescent="0.25">
      <c r="A463" t="s">
        <v>527</v>
      </c>
    </row>
    <row r="464" spans="1:1" x14ac:dyDescent="0.25">
      <c r="A464" t="s">
        <v>528</v>
      </c>
    </row>
    <row r="465" spans="1:1" x14ac:dyDescent="0.25">
      <c r="A465" t="s">
        <v>529</v>
      </c>
    </row>
    <row r="466" spans="1:1" x14ac:dyDescent="0.25">
      <c r="A466" t="s">
        <v>530</v>
      </c>
    </row>
    <row r="467" spans="1:1" x14ac:dyDescent="0.25">
      <c r="A467" t="s">
        <v>531</v>
      </c>
    </row>
    <row r="468" spans="1:1" x14ac:dyDescent="0.25">
      <c r="A468" t="s">
        <v>532</v>
      </c>
    </row>
    <row r="469" spans="1:1" x14ac:dyDescent="0.25">
      <c r="A469" t="s">
        <v>533</v>
      </c>
    </row>
    <row r="470" spans="1:1" x14ac:dyDescent="0.25">
      <c r="A470" t="s">
        <v>534</v>
      </c>
    </row>
    <row r="471" spans="1:1" x14ac:dyDescent="0.25">
      <c r="A471" t="s">
        <v>535</v>
      </c>
    </row>
    <row r="472" spans="1:1" x14ac:dyDescent="0.25">
      <c r="A472" t="s">
        <v>536</v>
      </c>
    </row>
    <row r="473" spans="1:1" x14ac:dyDescent="0.25">
      <c r="A473" t="s">
        <v>537</v>
      </c>
    </row>
    <row r="474" spans="1:1" x14ac:dyDescent="0.25">
      <c r="A474" t="s">
        <v>538</v>
      </c>
    </row>
    <row r="475" spans="1:1" x14ac:dyDescent="0.25">
      <c r="A475" t="s">
        <v>539</v>
      </c>
    </row>
    <row r="476" spans="1:1" x14ac:dyDescent="0.25">
      <c r="A476" t="s">
        <v>540</v>
      </c>
    </row>
    <row r="477" spans="1:1" x14ac:dyDescent="0.25">
      <c r="A477" t="s">
        <v>541</v>
      </c>
    </row>
    <row r="478" spans="1:1" x14ac:dyDescent="0.25">
      <c r="A478" t="s">
        <v>542</v>
      </c>
    </row>
    <row r="479" spans="1:1" x14ac:dyDescent="0.25">
      <c r="A479" t="s">
        <v>543</v>
      </c>
    </row>
    <row r="480" spans="1:1" x14ac:dyDescent="0.25">
      <c r="A480" t="s">
        <v>544</v>
      </c>
    </row>
    <row r="481" spans="1:1" x14ac:dyDescent="0.25">
      <c r="A481" t="s">
        <v>545</v>
      </c>
    </row>
    <row r="482" spans="1:1" x14ac:dyDescent="0.25">
      <c r="A482" t="s">
        <v>546</v>
      </c>
    </row>
    <row r="483" spans="1:1" x14ac:dyDescent="0.25">
      <c r="A483" t="s">
        <v>547</v>
      </c>
    </row>
    <row r="484" spans="1:1" x14ac:dyDescent="0.25">
      <c r="A484" t="s">
        <v>548</v>
      </c>
    </row>
    <row r="485" spans="1:1" x14ac:dyDescent="0.25">
      <c r="A485" t="s">
        <v>549</v>
      </c>
    </row>
    <row r="486" spans="1:1" x14ac:dyDescent="0.25">
      <c r="A486" t="s">
        <v>550</v>
      </c>
    </row>
    <row r="487" spans="1:1" x14ac:dyDescent="0.25">
      <c r="A487" t="s">
        <v>551</v>
      </c>
    </row>
    <row r="488" spans="1:1" x14ac:dyDescent="0.25">
      <c r="A488" t="s">
        <v>552</v>
      </c>
    </row>
    <row r="489" spans="1:1" x14ac:dyDescent="0.25">
      <c r="A489" t="s">
        <v>553</v>
      </c>
    </row>
    <row r="490" spans="1:1" x14ac:dyDescent="0.25">
      <c r="A490" t="s">
        <v>554</v>
      </c>
    </row>
    <row r="491" spans="1:1" x14ac:dyDescent="0.25">
      <c r="A491" t="s">
        <v>555</v>
      </c>
    </row>
    <row r="492" spans="1:1" x14ac:dyDescent="0.25">
      <c r="A492" t="s">
        <v>556</v>
      </c>
    </row>
    <row r="493" spans="1:1" x14ac:dyDescent="0.25">
      <c r="A493" t="s">
        <v>557</v>
      </c>
    </row>
    <row r="494" spans="1:1" x14ac:dyDescent="0.25">
      <c r="A494" t="s">
        <v>558</v>
      </c>
    </row>
    <row r="495" spans="1:1" x14ac:dyDescent="0.25">
      <c r="A495" t="s">
        <v>559</v>
      </c>
    </row>
    <row r="496" spans="1:1" x14ac:dyDescent="0.25">
      <c r="A496" t="s">
        <v>560</v>
      </c>
    </row>
    <row r="497" spans="1:1" x14ac:dyDescent="0.25">
      <c r="A497" t="s">
        <v>561</v>
      </c>
    </row>
    <row r="498" spans="1:1" x14ac:dyDescent="0.25">
      <c r="A498" t="s">
        <v>562</v>
      </c>
    </row>
    <row r="499" spans="1:1" x14ac:dyDescent="0.25">
      <c r="A499" t="s">
        <v>563</v>
      </c>
    </row>
    <row r="500" spans="1:1" x14ac:dyDescent="0.25">
      <c r="A500" t="s">
        <v>564</v>
      </c>
    </row>
    <row r="501" spans="1:1" x14ac:dyDescent="0.25">
      <c r="A501" t="s">
        <v>565</v>
      </c>
    </row>
    <row r="502" spans="1:1" x14ac:dyDescent="0.25">
      <c r="A502" t="s">
        <v>566</v>
      </c>
    </row>
    <row r="503" spans="1:1" x14ac:dyDescent="0.25">
      <c r="A503" t="s">
        <v>567</v>
      </c>
    </row>
    <row r="504" spans="1:1" x14ac:dyDescent="0.25">
      <c r="A504" t="s">
        <v>568</v>
      </c>
    </row>
    <row r="505" spans="1:1" x14ac:dyDescent="0.25">
      <c r="A505" t="s">
        <v>569</v>
      </c>
    </row>
    <row r="506" spans="1:1" x14ac:dyDescent="0.25">
      <c r="A506" t="s">
        <v>570</v>
      </c>
    </row>
    <row r="507" spans="1:1" x14ac:dyDescent="0.25">
      <c r="A507" t="s">
        <v>571</v>
      </c>
    </row>
    <row r="508" spans="1:1" x14ac:dyDescent="0.25">
      <c r="A508" t="s">
        <v>572</v>
      </c>
    </row>
    <row r="509" spans="1:1" x14ac:dyDescent="0.25">
      <c r="A509" t="s">
        <v>573</v>
      </c>
    </row>
    <row r="510" spans="1:1" x14ac:dyDescent="0.25">
      <c r="A510" t="s">
        <v>574</v>
      </c>
    </row>
    <row r="511" spans="1:1" x14ac:dyDescent="0.25">
      <c r="A511" t="s">
        <v>575</v>
      </c>
    </row>
    <row r="512" spans="1:1" x14ac:dyDescent="0.25">
      <c r="A512" t="s">
        <v>576</v>
      </c>
    </row>
    <row r="513" spans="1:1" x14ac:dyDescent="0.25">
      <c r="A513" t="s">
        <v>577</v>
      </c>
    </row>
    <row r="514" spans="1:1" x14ac:dyDescent="0.25">
      <c r="A514" t="s">
        <v>578</v>
      </c>
    </row>
    <row r="515" spans="1:1" x14ac:dyDescent="0.25">
      <c r="A515" t="s">
        <v>579</v>
      </c>
    </row>
    <row r="516" spans="1:1" x14ac:dyDescent="0.25">
      <c r="A516" t="s">
        <v>580</v>
      </c>
    </row>
    <row r="517" spans="1:1" x14ac:dyDescent="0.25">
      <c r="A517" t="s">
        <v>581</v>
      </c>
    </row>
    <row r="518" spans="1:1" x14ac:dyDescent="0.25">
      <c r="A518" t="s">
        <v>582</v>
      </c>
    </row>
    <row r="519" spans="1:1" x14ac:dyDescent="0.25">
      <c r="A519" t="s">
        <v>583</v>
      </c>
    </row>
    <row r="520" spans="1:1" x14ac:dyDescent="0.25">
      <c r="A520" t="s">
        <v>584</v>
      </c>
    </row>
    <row r="521" spans="1:1" x14ac:dyDescent="0.25">
      <c r="A521" t="s">
        <v>585</v>
      </c>
    </row>
    <row r="522" spans="1:1" x14ac:dyDescent="0.25">
      <c r="A522" t="s">
        <v>586</v>
      </c>
    </row>
    <row r="523" spans="1:1" x14ac:dyDescent="0.25">
      <c r="A523" t="s">
        <v>587</v>
      </c>
    </row>
    <row r="524" spans="1:1" x14ac:dyDescent="0.25">
      <c r="A524" t="s">
        <v>588</v>
      </c>
    </row>
    <row r="525" spans="1:1" x14ac:dyDescent="0.25">
      <c r="A525" t="s">
        <v>589</v>
      </c>
    </row>
    <row r="526" spans="1:1" x14ac:dyDescent="0.25">
      <c r="A526" t="s">
        <v>590</v>
      </c>
    </row>
    <row r="527" spans="1:1" x14ac:dyDescent="0.25">
      <c r="A527" t="s">
        <v>591</v>
      </c>
    </row>
    <row r="528" spans="1:1" x14ac:dyDescent="0.25">
      <c r="A528" t="s">
        <v>592</v>
      </c>
    </row>
    <row r="529" spans="1:1" x14ac:dyDescent="0.25">
      <c r="A529" t="s">
        <v>593</v>
      </c>
    </row>
    <row r="530" spans="1:1" x14ac:dyDescent="0.25">
      <c r="A530" t="s">
        <v>594</v>
      </c>
    </row>
    <row r="531" spans="1:1" x14ac:dyDescent="0.25">
      <c r="A531" t="s">
        <v>595</v>
      </c>
    </row>
    <row r="532" spans="1:1" x14ac:dyDescent="0.25">
      <c r="A532" t="s">
        <v>596</v>
      </c>
    </row>
    <row r="533" spans="1:1" x14ac:dyDescent="0.25">
      <c r="A533" t="s">
        <v>597</v>
      </c>
    </row>
    <row r="534" spans="1:1" x14ac:dyDescent="0.25">
      <c r="A534" t="s">
        <v>598</v>
      </c>
    </row>
    <row r="535" spans="1:1" x14ac:dyDescent="0.25">
      <c r="A535" t="s">
        <v>599</v>
      </c>
    </row>
    <row r="536" spans="1:1" x14ac:dyDescent="0.25">
      <c r="A536" t="s">
        <v>600</v>
      </c>
    </row>
    <row r="537" spans="1:1" x14ac:dyDescent="0.25">
      <c r="A537" t="s">
        <v>601</v>
      </c>
    </row>
    <row r="538" spans="1:1" x14ac:dyDescent="0.25">
      <c r="A538" t="s">
        <v>602</v>
      </c>
    </row>
    <row r="539" spans="1:1" x14ac:dyDescent="0.25">
      <c r="A539" t="s">
        <v>603</v>
      </c>
    </row>
    <row r="540" spans="1:1" x14ac:dyDescent="0.25">
      <c r="A540" t="s">
        <v>604</v>
      </c>
    </row>
    <row r="541" spans="1:1" x14ac:dyDescent="0.25">
      <c r="A541" t="s">
        <v>605</v>
      </c>
    </row>
    <row r="542" spans="1:1" x14ac:dyDescent="0.25">
      <c r="A542" t="s">
        <v>606</v>
      </c>
    </row>
    <row r="543" spans="1:1" x14ac:dyDescent="0.25">
      <c r="A543" t="s">
        <v>607</v>
      </c>
    </row>
    <row r="544" spans="1:1" x14ac:dyDescent="0.25">
      <c r="A544" t="s">
        <v>608</v>
      </c>
    </row>
    <row r="545" spans="1:1" x14ac:dyDescent="0.25">
      <c r="A545" t="s">
        <v>609</v>
      </c>
    </row>
    <row r="546" spans="1:1" x14ac:dyDescent="0.25">
      <c r="A546" t="s">
        <v>610</v>
      </c>
    </row>
    <row r="547" spans="1:1" x14ac:dyDescent="0.25">
      <c r="A547" t="s">
        <v>611</v>
      </c>
    </row>
    <row r="548" spans="1:1" x14ac:dyDescent="0.25">
      <c r="A548" t="s">
        <v>612</v>
      </c>
    </row>
    <row r="549" spans="1:1" x14ac:dyDescent="0.25">
      <c r="A549" t="s">
        <v>613</v>
      </c>
    </row>
    <row r="550" spans="1:1" x14ac:dyDescent="0.25">
      <c r="A550" t="s">
        <v>614</v>
      </c>
    </row>
    <row r="551" spans="1:1" x14ac:dyDescent="0.25">
      <c r="A551" t="s">
        <v>615</v>
      </c>
    </row>
    <row r="552" spans="1:1" x14ac:dyDescent="0.25">
      <c r="A552" t="s">
        <v>616</v>
      </c>
    </row>
    <row r="553" spans="1:1" x14ac:dyDescent="0.25">
      <c r="A553" t="s">
        <v>617</v>
      </c>
    </row>
    <row r="554" spans="1:1" x14ac:dyDescent="0.25">
      <c r="A554" t="s">
        <v>618</v>
      </c>
    </row>
    <row r="555" spans="1:1" x14ac:dyDescent="0.25">
      <c r="A555" t="s">
        <v>619</v>
      </c>
    </row>
    <row r="556" spans="1:1" x14ac:dyDescent="0.25">
      <c r="A556" t="s">
        <v>620</v>
      </c>
    </row>
    <row r="557" spans="1:1" x14ac:dyDescent="0.25">
      <c r="A557" t="s">
        <v>621</v>
      </c>
    </row>
    <row r="558" spans="1:1" x14ac:dyDescent="0.25">
      <c r="A558" t="s">
        <v>622</v>
      </c>
    </row>
    <row r="559" spans="1:1" x14ac:dyDescent="0.25">
      <c r="A559" t="s">
        <v>623</v>
      </c>
    </row>
    <row r="560" spans="1:1" x14ac:dyDescent="0.25">
      <c r="A560" t="s">
        <v>624</v>
      </c>
    </row>
    <row r="561" spans="1:1" x14ac:dyDescent="0.25">
      <c r="A561" t="s">
        <v>625</v>
      </c>
    </row>
    <row r="562" spans="1:1" x14ac:dyDescent="0.25">
      <c r="A562" t="s">
        <v>626</v>
      </c>
    </row>
    <row r="563" spans="1:1" x14ac:dyDescent="0.25">
      <c r="A563" t="s">
        <v>627</v>
      </c>
    </row>
    <row r="564" spans="1:1" x14ac:dyDescent="0.25">
      <c r="A564" t="s">
        <v>628</v>
      </c>
    </row>
    <row r="565" spans="1:1" x14ac:dyDescent="0.25">
      <c r="A565" t="s">
        <v>629</v>
      </c>
    </row>
    <row r="566" spans="1:1" x14ac:dyDescent="0.25">
      <c r="A566" t="s">
        <v>630</v>
      </c>
    </row>
    <row r="567" spans="1:1" x14ac:dyDescent="0.25">
      <c r="A567" t="s">
        <v>631</v>
      </c>
    </row>
    <row r="568" spans="1:1" x14ac:dyDescent="0.25">
      <c r="A568" t="s">
        <v>632</v>
      </c>
    </row>
    <row r="569" spans="1:1" x14ac:dyDescent="0.25">
      <c r="A569" t="s">
        <v>633</v>
      </c>
    </row>
    <row r="570" spans="1:1" x14ac:dyDescent="0.25">
      <c r="A570" t="s">
        <v>634</v>
      </c>
    </row>
    <row r="571" spans="1:1" x14ac:dyDescent="0.25">
      <c r="A571" t="s">
        <v>635</v>
      </c>
    </row>
    <row r="572" spans="1:1" x14ac:dyDescent="0.25">
      <c r="A572" t="s">
        <v>636</v>
      </c>
    </row>
    <row r="573" spans="1:1" x14ac:dyDescent="0.25">
      <c r="A573" t="s">
        <v>637</v>
      </c>
    </row>
    <row r="574" spans="1:1" x14ac:dyDescent="0.25">
      <c r="A574" t="s">
        <v>638</v>
      </c>
    </row>
    <row r="575" spans="1:1" x14ac:dyDescent="0.25">
      <c r="A575" t="s">
        <v>639</v>
      </c>
    </row>
    <row r="576" spans="1:1" x14ac:dyDescent="0.25">
      <c r="A576" t="s">
        <v>640</v>
      </c>
    </row>
    <row r="577" spans="1:1" x14ac:dyDescent="0.25">
      <c r="A577" t="s">
        <v>641</v>
      </c>
    </row>
    <row r="578" spans="1:1" x14ac:dyDescent="0.25">
      <c r="A578" t="s">
        <v>642</v>
      </c>
    </row>
    <row r="579" spans="1:1" x14ac:dyDescent="0.25">
      <c r="A579" t="s">
        <v>643</v>
      </c>
    </row>
    <row r="580" spans="1:1" x14ac:dyDescent="0.25">
      <c r="A580" t="s">
        <v>644</v>
      </c>
    </row>
    <row r="581" spans="1:1" x14ac:dyDescent="0.25">
      <c r="A581" t="s">
        <v>645</v>
      </c>
    </row>
    <row r="582" spans="1:1" x14ac:dyDescent="0.25">
      <c r="A582" t="s">
        <v>646</v>
      </c>
    </row>
    <row r="583" spans="1:1" x14ac:dyDescent="0.25">
      <c r="A583" t="s">
        <v>647</v>
      </c>
    </row>
    <row r="584" spans="1:1" x14ac:dyDescent="0.25">
      <c r="A584" t="s">
        <v>648</v>
      </c>
    </row>
    <row r="585" spans="1:1" x14ac:dyDescent="0.25">
      <c r="A585" t="s">
        <v>649</v>
      </c>
    </row>
    <row r="586" spans="1:1" x14ac:dyDescent="0.25">
      <c r="A586" t="s">
        <v>650</v>
      </c>
    </row>
    <row r="587" spans="1:1" x14ac:dyDescent="0.25">
      <c r="A587" t="s">
        <v>651</v>
      </c>
    </row>
    <row r="588" spans="1:1" x14ac:dyDescent="0.25">
      <c r="A588" t="s">
        <v>652</v>
      </c>
    </row>
    <row r="589" spans="1:1" x14ac:dyDescent="0.25">
      <c r="A589" t="s">
        <v>653</v>
      </c>
    </row>
    <row r="590" spans="1:1" x14ac:dyDescent="0.25">
      <c r="A590" t="s">
        <v>654</v>
      </c>
    </row>
    <row r="591" spans="1:1" x14ac:dyDescent="0.25">
      <c r="A591" t="s">
        <v>655</v>
      </c>
    </row>
    <row r="592" spans="1:1" x14ac:dyDescent="0.25">
      <c r="A592" t="s">
        <v>656</v>
      </c>
    </row>
    <row r="593" spans="1:1" x14ac:dyDescent="0.25">
      <c r="A593" t="s">
        <v>657</v>
      </c>
    </row>
    <row r="594" spans="1:1" x14ac:dyDescent="0.25">
      <c r="A594" t="s">
        <v>658</v>
      </c>
    </row>
    <row r="595" spans="1:1" x14ac:dyDescent="0.25">
      <c r="A595" t="s">
        <v>659</v>
      </c>
    </row>
    <row r="596" spans="1:1" x14ac:dyDescent="0.25">
      <c r="A596" t="s">
        <v>660</v>
      </c>
    </row>
    <row r="597" spans="1:1" x14ac:dyDescent="0.25">
      <c r="A597" t="s">
        <v>661</v>
      </c>
    </row>
    <row r="598" spans="1:1" x14ac:dyDescent="0.25">
      <c r="A598" t="s">
        <v>662</v>
      </c>
    </row>
    <row r="599" spans="1:1" x14ac:dyDescent="0.25">
      <c r="A599" t="s">
        <v>663</v>
      </c>
    </row>
    <row r="600" spans="1:1" x14ac:dyDescent="0.25">
      <c r="A600" t="s">
        <v>664</v>
      </c>
    </row>
    <row r="601" spans="1:1" x14ac:dyDescent="0.25">
      <c r="A601" t="s">
        <v>665</v>
      </c>
    </row>
    <row r="602" spans="1:1" x14ac:dyDescent="0.25">
      <c r="A602" t="s">
        <v>666</v>
      </c>
    </row>
    <row r="603" spans="1:1" x14ac:dyDescent="0.25">
      <c r="A603" t="s">
        <v>667</v>
      </c>
    </row>
    <row r="604" spans="1:1" x14ac:dyDescent="0.25">
      <c r="A604" t="s">
        <v>668</v>
      </c>
    </row>
    <row r="605" spans="1:1" x14ac:dyDescent="0.25">
      <c r="A605" t="s">
        <v>669</v>
      </c>
    </row>
    <row r="606" spans="1:1" x14ac:dyDescent="0.25">
      <c r="A606" t="s">
        <v>670</v>
      </c>
    </row>
    <row r="607" spans="1:1" x14ac:dyDescent="0.25">
      <c r="A607" t="s">
        <v>671</v>
      </c>
    </row>
    <row r="608" spans="1:1" x14ac:dyDescent="0.25">
      <c r="A608" t="s">
        <v>672</v>
      </c>
    </row>
    <row r="609" spans="1:1" x14ac:dyDescent="0.25">
      <c r="A609" t="s">
        <v>673</v>
      </c>
    </row>
    <row r="610" spans="1:1" x14ac:dyDescent="0.25">
      <c r="A610" t="s">
        <v>674</v>
      </c>
    </row>
    <row r="611" spans="1:1" x14ac:dyDescent="0.25">
      <c r="A611" t="s">
        <v>675</v>
      </c>
    </row>
    <row r="612" spans="1:1" x14ac:dyDescent="0.25">
      <c r="A612" t="s">
        <v>676</v>
      </c>
    </row>
    <row r="613" spans="1:1" x14ac:dyDescent="0.25">
      <c r="A613" t="s">
        <v>677</v>
      </c>
    </row>
    <row r="614" spans="1:1" x14ac:dyDescent="0.25">
      <c r="A614" t="s">
        <v>678</v>
      </c>
    </row>
    <row r="615" spans="1:1" x14ac:dyDescent="0.25">
      <c r="A615" t="s">
        <v>679</v>
      </c>
    </row>
    <row r="616" spans="1:1" x14ac:dyDescent="0.25">
      <c r="A616" t="s">
        <v>680</v>
      </c>
    </row>
    <row r="617" spans="1:1" x14ac:dyDescent="0.25">
      <c r="A617" t="s">
        <v>681</v>
      </c>
    </row>
    <row r="618" spans="1:1" x14ac:dyDescent="0.25">
      <c r="A618" t="s">
        <v>682</v>
      </c>
    </row>
    <row r="619" spans="1:1" x14ac:dyDescent="0.25">
      <c r="A619" t="s">
        <v>683</v>
      </c>
    </row>
    <row r="620" spans="1:1" x14ac:dyDescent="0.25">
      <c r="A620" t="s">
        <v>684</v>
      </c>
    </row>
    <row r="621" spans="1:1" x14ac:dyDescent="0.25">
      <c r="A621" t="s">
        <v>685</v>
      </c>
    </row>
    <row r="622" spans="1:1" x14ac:dyDescent="0.25">
      <c r="A622" t="s">
        <v>686</v>
      </c>
    </row>
    <row r="623" spans="1:1" x14ac:dyDescent="0.25">
      <c r="A623" t="s">
        <v>687</v>
      </c>
    </row>
    <row r="624" spans="1:1" x14ac:dyDescent="0.25">
      <c r="A624" t="s">
        <v>688</v>
      </c>
    </row>
    <row r="625" spans="1:1" x14ac:dyDescent="0.25">
      <c r="A625" t="s">
        <v>689</v>
      </c>
    </row>
    <row r="626" spans="1:1" x14ac:dyDescent="0.25">
      <c r="A626" t="s">
        <v>690</v>
      </c>
    </row>
    <row r="627" spans="1:1" x14ac:dyDescent="0.25">
      <c r="A627" t="s">
        <v>691</v>
      </c>
    </row>
    <row r="628" spans="1:1" x14ac:dyDescent="0.25">
      <c r="A628" t="s">
        <v>692</v>
      </c>
    </row>
    <row r="629" spans="1:1" x14ac:dyDescent="0.25">
      <c r="A629" t="s">
        <v>693</v>
      </c>
    </row>
    <row r="630" spans="1:1" x14ac:dyDescent="0.25">
      <c r="A630" t="s">
        <v>694</v>
      </c>
    </row>
    <row r="631" spans="1:1" x14ac:dyDescent="0.25">
      <c r="A631" t="s">
        <v>695</v>
      </c>
    </row>
    <row r="632" spans="1:1" x14ac:dyDescent="0.25">
      <c r="A632" t="s">
        <v>696</v>
      </c>
    </row>
    <row r="633" spans="1:1" x14ac:dyDescent="0.25">
      <c r="A633" t="s">
        <v>697</v>
      </c>
    </row>
    <row r="634" spans="1:1" x14ac:dyDescent="0.25">
      <c r="A634" t="s">
        <v>698</v>
      </c>
    </row>
    <row r="635" spans="1:1" x14ac:dyDescent="0.25">
      <c r="A635" t="s">
        <v>699</v>
      </c>
    </row>
    <row r="636" spans="1:1" x14ac:dyDescent="0.25">
      <c r="A636" t="s">
        <v>700</v>
      </c>
    </row>
    <row r="637" spans="1:1" x14ac:dyDescent="0.25">
      <c r="A637" t="s">
        <v>701</v>
      </c>
    </row>
    <row r="638" spans="1:1" x14ac:dyDescent="0.25">
      <c r="A638" t="s">
        <v>702</v>
      </c>
    </row>
    <row r="639" spans="1:1" x14ac:dyDescent="0.25">
      <c r="A639" t="s">
        <v>703</v>
      </c>
    </row>
    <row r="640" spans="1:1" x14ac:dyDescent="0.25">
      <c r="A640" t="s">
        <v>704</v>
      </c>
    </row>
    <row r="641" spans="1:1" x14ac:dyDescent="0.25">
      <c r="A641" t="s">
        <v>705</v>
      </c>
    </row>
    <row r="642" spans="1:1" x14ac:dyDescent="0.25">
      <c r="A642" t="s">
        <v>706</v>
      </c>
    </row>
    <row r="643" spans="1:1" x14ac:dyDescent="0.25">
      <c r="A643" t="s">
        <v>707</v>
      </c>
    </row>
    <row r="644" spans="1:1" x14ac:dyDescent="0.25">
      <c r="A644" t="s">
        <v>708</v>
      </c>
    </row>
    <row r="645" spans="1:1" x14ac:dyDescent="0.25">
      <c r="A645" t="s">
        <v>709</v>
      </c>
    </row>
    <row r="646" spans="1:1" x14ac:dyDescent="0.25">
      <c r="A646" t="s">
        <v>710</v>
      </c>
    </row>
    <row r="647" spans="1:1" x14ac:dyDescent="0.25">
      <c r="A647" t="s">
        <v>711</v>
      </c>
    </row>
    <row r="648" spans="1:1" x14ac:dyDescent="0.25">
      <c r="A648" t="s">
        <v>712</v>
      </c>
    </row>
    <row r="649" spans="1:1" x14ac:dyDescent="0.25">
      <c r="A649" t="s">
        <v>713</v>
      </c>
    </row>
    <row r="650" spans="1:1" x14ac:dyDescent="0.25">
      <c r="A650" t="s">
        <v>714</v>
      </c>
    </row>
    <row r="651" spans="1:1" x14ac:dyDescent="0.25">
      <c r="A651" t="s">
        <v>715</v>
      </c>
    </row>
    <row r="652" spans="1:1" x14ac:dyDescent="0.25">
      <c r="A652" t="s">
        <v>716</v>
      </c>
    </row>
    <row r="653" spans="1:1" x14ac:dyDescent="0.25">
      <c r="A653" t="s">
        <v>717</v>
      </c>
    </row>
    <row r="654" spans="1:1" x14ac:dyDescent="0.25">
      <c r="A654" t="s">
        <v>718</v>
      </c>
    </row>
    <row r="655" spans="1:1" x14ac:dyDescent="0.25">
      <c r="A655" t="s">
        <v>719</v>
      </c>
    </row>
    <row r="656" spans="1:1" x14ac:dyDescent="0.25">
      <c r="A656" t="s">
        <v>720</v>
      </c>
    </row>
    <row r="657" spans="1:1" x14ac:dyDescent="0.25">
      <c r="A657" t="s">
        <v>721</v>
      </c>
    </row>
    <row r="658" spans="1:1" x14ac:dyDescent="0.25">
      <c r="A658" t="s">
        <v>722</v>
      </c>
    </row>
    <row r="659" spans="1:1" x14ac:dyDescent="0.25">
      <c r="A659" t="s">
        <v>723</v>
      </c>
    </row>
    <row r="660" spans="1:1" x14ac:dyDescent="0.25">
      <c r="A660" t="s">
        <v>724</v>
      </c>
    </row>
    <row r="661" spans="1:1" x14ac:dyDescent="0.25">
      <c r="A661" t="s">
        <v>725</v>
      </c>
    </row>
    <row r="662" spans="1:1" x14ac:dyDescent="0.25">
      <c r="A662" t="s">
        <v>726</v>
      </c>
    </row>
    <row r="663" spans="1:1" x14ac:dyDescent="0.25">
      <c r="A663" t="s">
        <v>727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733</v>
      </c>
    </row>
    <row r="670" spans="1:1" x14ac:dyDescent="0.25">
      <c r="A670" t="s">
        <v>734</v>
      </c>
    </row>
    <row r="671" spans="1:1" x14ac:dyDescent="0.25">
      <c r="A671" t="s">
        <v>735</v>
      </c>
    </row>
    <row r="672" spans="1:1" x14ac:dyDescent="0.25">
      <c r="A672" t="s">
        <v>736</v>
      </c>
    </row>
    <row r="673" spans="1:1" x14ac:dyDescent="0.25">
      <c r="A673" t="s">
        <v>737</v>
      </c>
    </row>
    <row r="674" spans="1:1" x14ac:dyDescent="0.25">
      <c r="A674" t="s">
        <v>738</v>
      </c>
    </row>
    <row r="675" spans="1:1" x14ac:dyDescent="0.25">
      <c r="A675" t="s">
        <v>739</v>
      </c>
    </row>
    <row r="676" spans="1:1" x14ac:dyDescent="0.25">
      <c r="A676" t="s">
        <v>740</v>
      </c>
    </row>
    <row r="677" spans="1:1" x14ac:dyDescent="0.25">
      <c r="A677" t="s">
        <v>741</v>
      </c>
    </row>
    <row r="678" spans="1:1" x14ac:dyDescent="0.25">
      <c r="A678" t="s">
        <v>742</v>
      </c>
    </row>
    <row r="679" spans="1:1" x14ac:dyDescent="0.25">
      <c r="A679" t="s">
        <v>743</v>
      </c>
    </row>
    <row r="680" spans="1:1" x14ac:dyDescent="0.25">
      <c r="A680" t="s">
        <v>744</v>
      </c>
    </row>
    <row r="681" spans="1:1" x14ac:dyDescent="0.25">
      <c r="A681" t="s">
        <v>745</v>
      </c>
    </row>
    <row r="682" spans="1:1" x14ac:dyDescent="0.25">
      <c r="A682" t="s">
        <v>746</v>
      </c>
    </row>
    <row r="683" spans="1:1" x14ac:dyDescent="0.25">
      <c r="A683" t="s">
        <v>747</v>
      </c>
    </row>
    <row r="684" spans="1:1" x14ac:dyDescent="0.25">
      <c r="A684" t="s">
        <v>748</v>
      </c>
    </row>
    <row r="685" spans="1:1" x14ac:dyDescent="0.25">
      <c r="A685" t="s">
        <v>749</v>
      </c>
    </row>
    <row r="686" spans="1:1" x14ac:dyDescent="0.25">
      <c r="A686" t="s">
        <v>750</v>
      </c>
    </row>
    <row r="687" spans="1:1" x14ac:dyDescent="0.25">
      <c r="A687" t="s">
        <v>751</v>
      </c>
    </row>
    <row r="688" spans="1:1" x14ac:dyDescent="0.25">
      <c r="A688" t="s">
        <v>752</v>
      </c>
    </row>
    <row r="689" spans="1:1" x14ac:dyDescent="0.25">
      <c r="A689" t="s">
        <v>753</v>
      </c>
    </row>
    <row r="690" spans="1:1" x14ac:dyDescent="0.25">
      <c r="A690" t="s">
        <v>754</v>
      </c>
    </row>
    <row r="691" spans="1:1" x14ac:dyDescent="0.25">
      <c r="A691" t="s">
        <v>755</v>
      </c>
    </row>
    <row r="692" spans="1:1" x14ac:dyDescent="0.25">
      <c r="A692" t="s">
        <v>756</v>
      </c>
    </row>
    <row r="693" spans="1:1" x14ac:dyDescent="0.25">
      <c r="A693" t="s">
        <v>757</v>
      </c>
    </row>
    <row r="694" spans="1:1" x14ac:dyDescent="0.25">
      <c r="A694" t="s">
        <v>758</v>
      </c>
    </row>
    <row r="695" spans="1:1" x14ac:dyDescent="0.25">
      <c r="A695" t="s">
        <v>759</v>
      </c>
    </row>
    <row r="696" spans="1:1" x14ac:dyDescent="0.25">
      <c r="A696" t="s">
        <v>760</v>
      </c>
    </row>
    <row r="697" spans="1:1" x14ac:dyDescent="0.25">
      <c r="A697" t="s">
        <v>761</v>
      </c>
    </row>
    <row r="698" spans="1:1" x14ac:dyDescent="0.25">
      <c r="A698" t="s">
        <v>762</v>
      </c>
    </row>
    <row r="699" spans="1:1" x14ac:dyDescent="0.25">
      <c r="A699" t="s">
        <v>763</v>
      </c>
    </row>
    <row r="700" spans="1:1" x14ac:dyDescent="0.25">
      <c r="A700" t="s">
        <v>764</v>
      </c>
    </row>
    <row r="701" spans="1:1" x14ac:dyDescent="0.25">
      <c r="A701" t="s">
        <v>765</v>
      </c>
    </row>
    <row r="702" spans="1:1" x14ac:dyDescent="0.25">
      <c r="A702" t="s">
        <v>766</v>
      </c>
    </row>
    <row r="703" spans="1:1" x14ac:dyDescent="0.25">
      <c r="A703" t="s">
        <v>767</v>
      </c>
    </row>
    <row r="704" spans="1:1" x14ac:dyDescent="0.25">
      <c r="A704" t="s">
        <v>768</v>
      </c>
    </row>
    <row r="705" spans="1:1" x14ac:dyDescent="0.25">
      <c r="A705" t="s">
        <v>769</v>
      </c>
    </row>
    <row r="706" spans="1:1" x14ac:dyDescent="0.25">
      <c r="A706" t="s">
        <v>770</v>
      </c>
    </row>
    <row r="707" spans="1:1" x14ac:dyDescent="0.25">
      <c r="A707" t="s">
        <v>771</v>
      </c>
    </row>
    <row r="708" spans="1:1" x14ac:dyDescent="0.25">
      <c r="A708" t="s">
        <v>772</v>
      </c>
    </row>
    <row r="709" spans="1:1" x14ac:dyDescent="0.25">
      <c r="A709" t="s">
        <v>773</v>
      </c>
    </row>
    <row r="710" spans="1:1" x14ac:dyDescent="0.25">
      <c r="A710" t="s">
        <v>774</v>
      </c>
    </row>
    <row r="711" spans="1:1" x14ac:dyDescent="0.25">
      <c r="A711" t="s">
        <v>775</v>
      </c>
    </row>
    <row r="712" spans="1:1" x14ac:dyDescent="0.25">
      <c r="A712" t="s">
        <v>776</v>
      </c>
    </row>
    <row r="713" spans="1:1" x14ac:dyDescent="0.25">
      <c r="A713" t="s">
        <v>777</v>
      </c>
    </row>
    <row r="714" spans="1:1" x14ac:dyDescent="0.25">
      <c r="A714" t="s">
        <v>778</v>
      </c>
    </row>
    <row r="715" spans="1:1" x14ac:dyDescent="0.25">
      <c r="A715" t="s">
        <v>779</v>
      </c>
    </row>
    <row r="716" spans="1:1" x14ac:dyDescent="0.25">
      <c r="A716" t="s">
        <v>780</v>
      </c>
    </row>
    <row r="717" spans="1:1" x14ac:dyDescent="0.25">
      <c r="A717" t="s">
        <v>781</v>
      </c>
    </row>
    <row r="718" spans="1:1" x14ac:dyDescent="0.25">
      <c r="A718" t="s">
        <v>782</v>
      </c>
    </row>
    <row r="719" spans="1:1" x14ac:dyDescent="0.25">
      <c r="A719" t="s">
        <v>783</v>
      </c>
    </row>
    <row r="720" spans="1:1" x14ac:dyDescent="0.25">
      <c r="A720" t="s">
        <v>784</v>
      </c>
    </row>
    <row r="721" spans="1:1" x14ac:dyDescent="0.25">
      <c r="A721" t="s">
        <v>785</v>
      </c>
    </row>
    <row r="722" spans="1:1" x14ac:dyDescent="0.25">
      <c r="A722" t="s">
        <v>786</v>
      </c>
    </row>
    <row r="723" spans="1:1" x14ac:dyDescent="0.25">
      <c r="A723" t="s">
        <v>787</v>
      </c>
    </row>
    <row r="724" spans="1:1" x14ac:dyDescent="0.25">
      <c r="A724" t="s">
        <v>788</v>
      </c>
    </row>
    <row r="725" spans="1:1" x14ac:dyDescent="0.25">
      <c r="A725" t="s">
        <v>789</v>
      </c>
    </row>
    <row r="726" spans="1:1" x14ac:dyDescent="0.25">
      <c r="A726" t="s">
        <v>790</v>
      </c>
    </row>
    <row r="727" spans="1:1" x14ac:dyDescent="0.25">
      <c r="A727" t="s">
        <v>791</v>
      </c>
    </row>
    <row r="728" spans="1:1" x14ac:dyDescent="0.25">
      <c r="A728" t="s">
        <v>792</v>
      </c>
    </row>
    <row r="729" spans="1:1" x14ac:dyDescent="0.25">
      <c r="A729" t="s">
        <v>793</v>
      </c>
    </row>
    <row r="730" spans="1:1" x14ac:dyDescent="0.25">
      <c r="A730" t="s">
        <v>794</v>
      </c>
    </row>
    <row r="731" spans="1:1" x14ac:dyDescent="0.25">
      <c r="A731" t="s">
        <v>795</v>
      </c>
    </row>
    <row r="732" spans="1:1" x14ac:dyDescent="0.25">
      <c r="A732" t="s">
        <v>796</v>
      </c>
    </row>
    <row r="733" spans="1:1" x14ac:dyDescent="0.25">
      <c r="A733" t="s">
        <v>797</v>
      </c>
    </row>
    <row r="734" spans="1:1" x14ac:dyDescent="0.25">
      <c r="A734" t="s">
        <v>798</v>
      </c>
    </row>
    <row r="735" spans="1:1" x14ac:dyDescent="0.25">
      <c r="A735" t="s">
        <v>799</v>
      </c>
    </row>
    <row r="736" spans="1:1" x14ac:dyDescent="0.25">
      <c r="A736" t="s">
        <v>800</v>
      </c>
    </row>
    <row r="737" spans="1:1" x14ac:dyDescent="0.25">
      <c r="A737" t="s">
        <v>801</v>
      </c>
    </row>
    <row r="738" spans="1:1" x14ac:dyDescent="0.25">
      <c r="A738" t="s">
        <v>802</v>
      </c>
    </row>
    <row r="739" spans="1:1" x14ac:dyDescent="0.25">
      <c r="A739" t="s">
        <v>803</v>
      </c>
    </row>
    <row r="740" spans="1:1" x14ac:dyDescent="0.25">
      <c r="A740" t="s">
        <v>804</v>
      </c>
    </row>
    <row r="741" spans="1:1" x14ac:dyDescent="0.25">
      <c r="A741" t="s">
        <v>805</v>
      </c>
    </row>
    <row r="742" spans="1:1" x14ac:dyDescent="0.25">
      <c r="A742" t="s">
        <v>806</v>
      </c>
    </row>
    <row r="743" spans="1:1" x14ac:dyDescent="0.25">
      <c r="A743" t="s">
        <v>807</v>
      </c>
    </row>
    <row r="744" spans="1:1" x14ac:dyDescent="0.25">
      <c r="A744" t="s">
        <v>808</v>
      </c>
    </row>
    <row r="745" spans="1:1" x14ac:dyDescent="0.25">
      <c r="A745" t="s">
        <v>809</v>
      </c>
    </row>
    <row r="746" spans="1:1" x14ac:dyDescent="0.25">
      <c r="A746" t="s">
        <v>810</v>
      </c>
    </row>
    <row r="747" spans="1:1" x14ac:dyDescent="0.25">
      <c r="A747" t="s">
        <v>811</v>
      </c>
    </row>
    <row r="748" spans="1:1" x14ac:dyDescent="0.25">
      <c r="A748" t="s">
        <v>812</v>
      </c>
    </row>
    <row r="749" spans="1:1" x14ac:dyDescent="0.25">
      <c r="A749" t="s">
        <v>813</v>
      </c>
    </row>
    <row r="750" spans="1:1" x14ac:dyDescent="0.25">
      <c r="A750" t="s">
        <v>814</v>
      </c>
    </row>
    <row r="751" spans="1:1" x14ac:dyDescent="0.25">
      <c r="A751" t="s">
        <v>815</v>
      </c>
    </row>
    <row r="752" spans="1:1" x14ac:dyDescent="0.25">
      <c r="A752" t="s">
        <v>816</v>
      </c>
    </row>
    <row r="753" spans="1:1" x14ac:dyDescent="0.25">
      <c r="A753" t="s">
        <v>817</v>
      </c>
    </row>
    <row r="754" spans="1:1" x14ac:dyDescent="0.25">
      <c r="A754" t="s">
        <v>818</v>
      </c>
    </row>
    <row r="755" spans="1:1" x14ac:dyDescent="0.25">
      <c r="A755" t="s">
        <v>819</v>
      </c>
    </row>
    <row r="756" spans="1:1" x14ac:dyDescent="0.25">
      <c r="A756" t="s">
        <v>820</v>
      </c>
    </row>
    <row r="757" spans="1:1" x14ac:dyDescent="0.25">
      <c r="A757" t="s">
        <v>821</v>
      </c>
    </row>
    <row r="758" spans="1:1" x14ac:dyDescent="0.25">
      <c r="A758" t="s">
        <v>822</v>
      </c>
    </row>
    <row r="759" spans="1:1" x14ac:dyDescent="0.25">
      <c r="A759" t="s">
        <v>823</v>
      </c>
    </row>
    <row r="760" spans="1:1" x14ac:dyDescent="0.25">
      <c r="A760" t="s">
        <v>824</v>
      </c>
    </row>
    <row r="761" spans="1:1" x14ac:dyDescent="0.25">
      <c r="A761" t="s">
        <v>825</v>
      </c>
    </row>
    <row r="762" spans="1:1" x14ac:dyDescent="0.25">
      <c r="A762" t="s">
        <v>826</v>
      </c>
    </row>
    <row r="763" spans="1:1" x14ac:dyDescent="0.25">
      <c r="A763" t="s">
        <v>827</v>
      </c>
    </row>
    <row r="764" spans="1:1" x14ac:dyDescent="0.25">
      <c r="A764" t="s">
        <v>828</v>
      </c>
    </row>
    <row r="765" spans="1:1" x14ac:dyDescent="0.25">
      <c r="A765" t="s">
        <v>829</v>
      </c>
    </row>
    <row r="766" spans="1:1" x14ac:dyDescent="0.25">
      <c r="A766" t="s">
        <v>830</v>
      </c>
    </row>
    <row r="767" spans="1:1" x14ac:dyDescent="0.25">
      <c r="A767" t="s">
        <v>831</v>
      </c>
    </row>
    <row r="768" spans="1:1" x14ac:dyDescent="0.25">
      <c r="A768" t="s">
        <v>832</v>
      </c>
    </row>
    <row r="769" spans="1:1" x14ac:dyDescent="0.25">
      <c r="A769" t="s">
        <v>833</v>
      </c>
    </row>
    <row r="770" spans="1:1" x14ac:dyDescent="0.25">
      <c r="A770" t="s">
        <v>834</v>
      </c>
    </row>
    <row r="771" spans="1:1" x14ac:dyDescent="0.25">
      <c r="A771" t="s">
        <v>835</v>
      </c>
    </row>
    <row r="772" spans="1:1" x14ac:dyDescent="0.25">
      <c r="A772" t="s">
        <v>836</v>
      </c>
    </row>
    <row r="773" spans="1:1" x14ac:dyDescent="0.25">
      <c r="A773" t="s">
        <v>837</v>
      </c>
    </row>
    <row r="774" spans="1:1" x14ac:dyDescent="0.25">
      <c r="A774" t="s">
        <v>838</v>
      </c>
    </row>
    <row r="775" spans="1:1" x14ac:dyDescent="0.25">
      <c r="A775" t="s">
        <v>839</v>
      </c>
    </row>
    <row r="776" spans="1:1" x14ac:dyDescent="0.25">
      <c r="A776" t="s">
        <v>840</v>
      </c>
    </row>
    <row r="777" spans="1:1" x14ac:dyDescent="0.25">
      <c r="A777" t="s">
        <v>841</v>
      </c>
    </row>
    <row r="778" spans="1:1" x14ac:dyDescent="0.25">
      <c r="A778" t="s">
        <v>842</v>
      </c>
    </row>
    <row r="779" spans="1:1" x14ac:dyDescent="0.25">
      <c r="A779" t="s">
        <v>843</v>
      </c>
    </row>
    <row r="780" spans="1:1" x14ac:dyDescent="0.25">
      <c r="A780" t="s">
        <v>844</v>
      </c>
    </row>
    <row r="781" spans="1:1" x14ac:dyDescent="0.25">
      <c r="A781" t="s">
        <v>845</v>
      </c>
    </row>
    <row r="782" spans="1:1" x14ac:dyDescent="0.25">
      <c r="A782" t="s">
        <v>846</v>
      </c>
    </row>
    <row r="783" spans="1:1" x14ac:dyDescent="0.25">
      <c r="A783" t="s">
        <v>847</v>
      </c>
    </row>
    <row r="784" spans="1:1" x14ac:dyDescent="0.25">
      <c r="A784" t="s">
        <v>848</v>
      </c>
    </row>
    <row r="785" spans="1:1" x14ac:dyDescent="0.25">
      <c r="A785" t="s">
        <v>849</v>
      </c>
    </row>
    <row r="786" spans="1:1" x14ac:dyDescent="0.25">
      <c r="A786" t="s">
        <v>850</v>
      </c>
    </row>
    <row r="787" spans="1:1" x14ac:dyDescent="0.25">
      <c r="A787" t="s">
        <v>851</v>
      </c>
    </row>
    <row r="788" spans="1:1" x14ac:dyDescent="0.25">
      <c r="A788" t="s">
        <v>852</v>
      </c>
    </row>
    <row r="789" spans="1:1" x14ac:dyDescent="0.25">
      <c r="A789" t="s">
        <v>853</v>
      </c>
    </row>
    <row r="790" spans="1:1" x14ac:dyDescent="0.25">
      <c r="A790" t="s">
        <v>854</v>
      </c>
    </row>
    <row r="791" spans="1:1" x14ac:dyDescent="0.25">
      <c r="A791" t="s">
        <v>855</v>
      </c>
    </row>
    <row r="792" spans="1:1" x14ac:dyDescent="0.25">
      <c r="A792" t="s">
        <v>856</v>
      </c>
    </row>
    <row r="793" spans="1:1" x14ac:dyDescent="0.25">
      <c r="A793" t="s">
        <v>857</v>
      </c>
    </row>
    <row r="794" spans="1:1" x14ac:dyDescent="0.25">
      <c r="A794" t="s">
        <v>858</v>
      </c>
    </row>
    <row r="795" spans="1:1" x14ac:dyDescent="0.25">
      <c r="A795" t="s">
        <v>859</v>
      </c>
    </row>
    <row r="796" spans="1:1" x14ac:dyDescent="0.25">
      <c r="A796" t="s">
        <v>860</v>
      </c>
    </row>
    <row r="797" spans="1:1" x14ac:dyDescent="0.25">
      <c r="A797" t="s">
        <v>861</v>
      </c>
    </row>
    <row r="798" spans="1:1" x14ac:dyDescent="0.25">
      <c r="A798" t="s">
        <v>862</v>
      </c>
    </row>
    <row r="799" spans="1:1" x14ac:dyDescent="0.25">
      <c r="A799" t="s">
        <v>863</v>
      </c>
    </row>
    <row r="800" spans="1:1" x14ac:dyDescent="0.25">
      <c r="A800" t="s">
        <v>864</v>
      </c>
    </row>
    <row r="801" spans="1:1" x14ac:dyDescent="0.25">
      <c r="A801" t="s">
        <v>865</v>
      </c>
    </row>
    <row r="802" spans="1:1" x14ac:dyDescent="0.25">
      <c r="A802" t="s">
        <v>866</v>
      </c>
    </row>
    <row r="803" spans="1:1" x14ac:dyDescent="0.25">
      <c r="A803" t="s">
        <v>867</v>
      </c>
    </row>
    <row r="804" spans="1:1" x14ac:dyDescent="0.25">
      <c r="A804" t="s">
        <v>868</v>
      </c>
    </row>
    <row r="805" spans="1:1" x14ac:dyDescent="0.25">
      <c r="A805" t="s">
        <v>869</v>
      </c>
    </row>
    <row r="806" spans="1:1" x14ac:dyDescent="0.25">
      <c r="A806" t="s">
        <v>870</v>
      </c>
    </row>
    <row r="807" spans="1:1" x14ac:dyDescent="0.25">
      <c r="A807" t="s">
        <v>871</v>
      </c>
    </row>
    <row r="808" spans="1:1" x14ac:dyDescent="0.25">
      <c r="A808" t="s">
        <v>872</v>
      </c>
    </row>
    <row r="809" spans="1:1" x14ac:dyDescent="0.25">
      <c r="A809" t="s">
        <v>873</v>
      </c>
    </row>
    <row r="810" spans="1:1" x14ac:dyDescent="0.25">
      <c r="A810" t="s">
        <v>874</v>
      </c>
    </row>
    <row r="811" spans="1:1" x14ac:dyDescent="0.25">
      <c r="A811" t="s">
        <v>875</v>
      </c>
    </row>
    <row r="812" spans="1:1" x14ac:dyDescent="0.25">
      <c r="A812" t="s">
        <v>876</v>
      </c>
    </row>
    <row r="813" spans="1:1" x14ac:dyDescent="0.25">
      <c r="A813" t="s">
        <v>877</v>
      </c>
    </row>
    <row r="814" spans="1:1" x14ac:dyDescent="0.25">
      <c r="A814" t="s">
        <v>878</v>
      </c>
    </row>
    <row r="815" spans="1:1" x14ac:dyDescent="0.25">
      <c r="A815" t="s">
        <v>879</v>
      </c>
    </row>
    <row r="816" spans="1:1" x14ac:dyDescent="0.25">
      <c r="A816" t="s">
        <v>880</v>
      </c>
    </row>
    <row r="817" spans="1:1" x14ac:dyDescent="0.25">
      <c r="A817" t="s">
        <v>881</v>
      </c>
    </row>
    <row r="818" spans="1:1" x14ac:dyDescent="0.25">
      <c r="A818" t="s">
        <v>882</v>
      </c>
    </row>
    <row r="819" spans="1:1" x14ac:dyDescent="0.25">
      <c r="A819" t="s">
        <v>883</v>
      </c>
    </row>
    <row r="820" spans="1:1" x14ac:dyDescent="0.25">
      <c r="A820" t="s">
        <v>884</v>
      </c>
    </row>
    <row r="821" spans="1:1" x14ac:dyDescent="0.25">
      <c r="A821" t="s">
        <v>885</v>
      </c>
    </row>
    <row r="822" spans="1:1" x14ac:dyDescent="0.25">
      <c r="A822" t="s">
        <v>886</v>
      </c>
    </row>
    <row r="823" spans="1:1" x14ac:dyDescent="0.25">
      <c r="A823" t="s">
        <v>887</v>
      </c>
    </row>
    <row r="824" spans="1:1" x14ac:dyDescent="0.25">
      <c r="A824" t="s">
        <v>888</v>
      </c>
    </row>
    <row r="825" spans="1:1" x14ac:dyDescent="0.25">
      <c r="A825" t="s">
        <v>889</v>
      </c>
    </row>
    <row r="826" spans="1:1" x14ac:dyDescent="0.25">
      <c r="A826" t="s">
        <v>890</v>
      </c>
    </row>
    <row r="827" spans="1:1" x14ac:dyDescent="0.25">
      <c r="A827" t="s">
        <v>891</v>
      </c>
    </row>
    <row r="828" spans="1:1" x14ac:dyDescent="0.25">
      <c r="A828" t="s">
        <v>892</v>
      </c>
    </row>
    <row r="829" spans="1:1" x14ac:dyDescent="0.25">
      <c r="A829" t="s">
        <v>893</v>
      </c>
    </row>
    <row r="830" spans="1:1" x14ac:dyDescent="0.25">
      <c r="A830" t="s">
        <v>894</v>
      </c>
    </row>
    <row r="831" spans="1:1" x14ac:dyDescent="0.25">
      <c r="A831" t="s">
        <v>895</v>
      </c>
    </row>
    <row r="832" spans="1:1" x14ac:dyDescent="0.25">
      <c r="A832" t="s">
        <v>896</v>
      </c>
    </row>
    <row r="833" spans="1:1" x14ac:dyDescent="0.25">
      <c r="A833" t="s">
        <v>897</v>
      </c>
    </row>
    <row r="834" spans="1:1" x14ac:dyDescent="0.25">
      <c r="A834" t="s">
        <v>898</v>
      </c>
    </row>
    <row r="835" spans="1:1" x14ac:dyDescent="0.25">
      <c r="A835" t="s">
        <v>899</v>
      </c>
    </row>
    <row r="836" spans="1:1" x14ac:dyDescent="0.25">
      <c r="A836" t="s">
        <v>900</v>
      </c>
    </row>
    <row r="837" spans="1:1" x14ac:dyDescent="0.25">
      <c r="A837" t="s">
        <v>901</v>
      </c>
    </row>
    <row r="838" spans="1:1" x14ac:dyDescent="0.25">
      <c r="A838" t="s">
        <v>902</v>
      </c>
    </row>
    <row r="839" spans="1:1" x14ac:dyDescent="0.25">
      <c r="A839" t="s">
        <v>903</v>
      </c>
    </row>
    <row r="840" spans="1:1" x14ac:dyDescent="0.25">
      <c r="A840" t="s">
        <v>904</v>
      </c>
    </row>
    <row r="841" spans="1:1" x14ac:dyDescent="0.25">
      <c r="A841" t="s">
        <v>905</v>
      </c>
    </row>
    <row r="842" spans="1:1" x14ac:dyDescent="0.25">
      <c r="A842" t="s">
        <v>906</v>
      </c>
    </row>
    <row r="843" spans="1:1" x14ac:dyDescent="0.25">
      <c r="A843" t="s">
        <v>907</v>
      </c>
    </row>
    <row r="844" spans="1:1" x14ac:dyDescent="0.25">
      <c r="A844" t="s">
        <v>908</v>
      </c>
    </row>
    <row r="845" spans="1:1" x14ac:dyDescent="0.25">
      <c r="A845" t="s">
        <v>909</v>
      </c>
    </row>
    <row r="846" spans="1:1" x14ac:dyDescent="0.25">
      <c r="A846" t="s">
        <v>910</v>
      </c>
    </row>
    <row r="847" spans="1:1" x14ac:dyDescent="0.25">
      <c r="A847" t="s">
        <v>911</v>
      </c>
    </row>
    <row r="848" spans="1:1" x14ac:dyDescent="0.25">
      <c r="A848" t="s">
        <v>912</v>
      </c>
    </row>
    <row r="849" spans="1:1" x14ac:dyDescent="0.25">
      <c r="A849" t="s">
        <v>913</v>
      </c>
    </row>
    <row r="850" spans="1:1" x14ac:dyDescent="0.25">
      <c r="A850" t="s">
        <v>914</v>
      </c>
    </row>
    <row r="851" spans="1:1" x14ac:dyDescent="0.25">
      <c r="A851" t="s">
        <v>915</v>
      </c>
    </row>
    <row r="852" spans="1:1" x14ac:dyDescent="0.25">
      <c r="A852" t="s">
        <v>916</v>
      </c>
    </row>
    <row r="853" spans="1:1" x14ac:dyDescent="0.25">
      <c r="A853" t="s">
        <v>917</v>
      </c>
    </row>
    <row r="854" spans="1:1" x14ac:dyDescent="0.25">
      <c r="A854" t="s">
        <v>918</v>
      </c>
    </row>
    <row r="855" spans="1:1" x14ac:dyDescent="0.25">
      <c r="A855" t="s">
        <v>919</v>
      </c>
    </row>
    <row r="856" spans="1:1" x14ac:dyDescent="0.25">
      <c r="A856" t="s">
        <v>920</v>
      </c>
    </row>
    <row r="857" spans="1:1" x14ac:dyDescent="0.25">
      <c r="A857" t="s">
        <v>921</v>
      </c>
    </row>
    <row r="858" spans="1:1" x14ac:dyDescent="0.25">
      <c r="A858" t="s">
        <v>922</v>
      </c>
    </row>
    <row r="859" spans="1:1" x14ac:dyDescent="0.25">
      <c r="A859" t="s">
        <v>923</v>
      </c>
    </row>
    <row r="860" spans="1:1" x14ac:dyDescent="0.25">
      <c r="A860" t="s">
        <v>924</v>
      </c>
    </row>
    <row r="861" spans="1:1" x14ac:dyDescent="0.25">
      <c r="A861" t="s">
        <v>925</v>
      </c>
    </row>
    <row r="862" spans="1:1" x14ac:dyDescent="0.25">
      <c r="A862" t="s">
        <v>926</v>
      </c>
    </row>
    <row r="863" spans="1:1" x14ac:dyDescent="0.25">
      <c r="A863" t="s">
        <v>927</v>
      </c>
    </row>
    <row r="864" spans="1:1" x14ac:dyDescent="0.25">
      <c r="A864" t="s">
        <v>928</v>
      </c>
    </row>
    <row r="865" spans="1:1" x14ac:dyDescent="0.25">
      <c r="A865" t="s">
        <v>929</v>
      </c>
    </row>
    <row r="866" spans="1:1" x14ac:dyDescent="0.25">
      <c r="A866" t="s">
        <v>930</v>
      </c>
    </row>
    <row r="867" spans="1:1" x14ac:dyDescent="0.25">
      <c r="A867" t="s">
        <v>931</v>
      </c>
    </row>
    <row r="868" spans="1:1" x14ac:dyDescent="0.25">
      <c r="A868" t="s">
        <v>932</v>
      </c>
    </row>
    <row r="869" spans="1:1" x14ac:dyDescent="0.25">
      <c r="A869" t="s">
        <v>933</v>
      </c>
    </row>
    <row r="870" spans="1:1" x14ac:dyDescent="0.25">
      <c r="A870" t="s">
        <v>934</v>
      </c>
    </row>
    <row r="871" spans="1:1" x14ac:dyDescent="0.25">
      <c r="A871" t="s">
        <v>935</v>
      </c>
    </row>
    <row r="872" spans="1:1" x14ac:dyDescent="0.25">
      <c r="A872" t="s">
        <v>936</v>
      </c>
    </row>
    <row r="873" spans="1:1" x14ac:dyDescent="0.25">
      <c r="A873" t="s">
        <v>937</v>
      </c>
    </row>
    <row r="874" spans="1:1" x14ac:dyDescent="0.25">
      <c r="A874" t="s">
        <v>938</v>
      </c>
    </row>
    <row r="875" spans="1:1" x14ac:dyDescent="0.25">
      <c r="A875" t="s">
        <v>939</v>
      </c>
    </row>
    <row r="876" spans="1:1" x14ac:dyDescent="0.25">
      <c r="A876" t="s">
        <v>940</v>
      </c>
    </row>
    <row r="877" spans="1:1" x14ac:dyDescent="0.25">
      <c r="A877" t="s">
        <v>941</v>
      </c>
    </row>
    <row r="878" spans="1:1" x14ac:dyDescent="0.25">
      <c r="A878" t="s">
        <v>942</v>
      </c>
    </row>
    <row r="879" spans="1:1" x14ac:dyDescent="0.25">
      <c r="A879" t="s">
        <v>943</v>
      </c>
    </row>
    <row r="880" spans="1:1" x14ac:dyDescent="0.25">
      <c r="A880" t="s">
        <v>944</v>
      </c>
    </row>
    <row r="881" spans="1:1" x14ac:dyDescent="0.25">
      <c r="A881" t="s">
        <v>945</v>
      </c>
    </row>
    <row r="882" spans="1:1" x14ac:dyDescent="0.25">
      <c r="A882" t="s">
        <v>946</v>
      </c>
    </row>
    <row r="883" spans="1:1" x14ac:dyDescent="0.25">
      <c r="A883" t="s">
        <v>947</v>
      </c>
    </row>
    <row r="884" spans="1:1" x14ac:dyDescent="0.25">
      <c r="A884" t="s">
        <v>948</v>
      </c>
    </row>
    <row r="885" spans="1:1" x14ac:dyDescent="0.25">
      <c r="A885" t="s">
        <v>949</v>
      </c>
    </row>
    <row r="886" spans="1:1" x14ac:dyDescent="0.25">
      <c r="A886" t="s">
        <v>950</v>
      </c>
    </row>
    <row r="887" spans="1:1" x14ac:dyDescent="0.25">
      <c r="A887" t="s">
        <v>951</v>
      </c>
    </row>
    <row r="888" spans="1:1" x14ac:dyDescent="0.25">
      <c r="A888" t="s">
        <v>952</v>
      </c>
    </row>
    <row r="889" spans="1:1" x14ac:dyDescent="0.25">
      <c r="A889" t="s">
        <v>953</v>
      </c>
    </row>
    <row r="890" spans="1:1" x14ac:dyDescent="0.25">
      <c r="A890" t="s">
        <v>954</v>
      </c>
    </row>
    <row r="891" spans="1:1" x14ac:dyDescent="0.25">
      <c r="A891" t="s">
        <v>955</v>
      </c>
    </row>
    <row r="892" spans="1:1" x14ac:dyDescent="0.25">
      <c r="A892" t="s">
        <v>956</v>
      </c>
    </row>
    <row r="893" spans="1:1" x14ac:dyDescent="0.25">
      <c r="A893" t="s">
        <v>957</v>
      </c>
    </row>
    <row r="894" spans="1:1" x14ac:dyDescent="0.25">
      <c r="A894" t="s">
        <v>958</v>
      </c>
    </row>
    <row r="895" spans="1:1" x14ac:dyDescent="0.25">
      <c r="A895" t="s">
        <v>959</v>
      </c>
    </row>
    <row r="896" spans="1:1" x14ac:dyDescent="0.25">
      <c r="A896" t="s">
        <v>960</v>
      </c>
    </row>
    <row r="897" spans="1:1" x14ac:dyDescent="0.25">
      <c r="A897" t="s">
        <v>961</v>
      </c>
    </row>
    <row r="898" spans="1:1" x14ac:dyDescent="0.25">
      <c r="A898" t="s">
        <v>962</v>
      </c>
    </row>
    <row r="899" spans="1:1" x14ac:dyDescent="0.25">
      <c r="A899" t="s">
        <v>963</v>
      </c>
    </row>
    <row r="900" spans="1:1" x14ac:dyDescent="0.25">
      <c r="A900" t="s">
        <v>964</v>
      </c>
    </row>
    <row r="901" spans="1:1" x14ac:dyDescent="0.25">
      <c r="A901" t="s">
        <v>965</v>
      </c>
    </row>
    <row r="902" spans="1:1" x14ac:dyDescent="0.25">
      <c r="A902" t="s">
        <v>966</v>
      </c>
    </row>
    <row r="903" spans="1:1" x14ac:dyDescent="0.25">
      <c r="A903" t="s">
        <v>967</v>
      </c>
    </row>
    <row r="904" spans="1:1" x14ac:dyDescent="0.25">
      <c r="A904" t="s">
        <v>968</v>
      </c>
    </row>
    <row r="905" spans="1:1" x14ac:dyDescent="0.25">
      <c r="A905" t="s">
        <v>969</v>
      </c>
    </row>
    <row r="906" spans="1:1" x14ac:dyDescent="0.25">
      <c r="A906" t="s">
        <v>970</v>
      </c>
    </row>
    <row r="907" spans="1:1" x14ac:dyDescent="0.25">
      <c r="A907" t="s">
        <v>971</v>
      </c>
    </row>
    <row r="908" spans="1:1" x14ac:dyDescent="0.25">
      <c r="A908" t="s">
        <v>972</v>
      </c>
    </row>
    <row r="909" spans="1:1" x14ac:dyDescent="0.25">
      <c r="A909" t="s">
        <v>973</v>
      </c>
    </row>
    <row r="910" spans="1:1" x14ac:dyDescent="0.25">
      <c r="A910" t="s">
        <v>974</v>
      </c>
    </row>
    <row r="911" spans="1:1" x14ac:dyDescent="0.25">
      <c r="A911" t="s">
        <v>975</v>
      </c>
    </row>
    <row r="912" spans="1:1" x14ac:dyDescent="0.25">
      <c r="A912" t="s">
        <v>976</v>
      </c>
    </row>
    <row r="913" spans="1:1" x14ac:dyDescent="0.25">
      <c r="A913" t="s">
        <v>977</v>
      </c>
    </row>
    <row r="914" spans="1:1" x14ac:dyDescent="0.25">
      <c r="A914" t="s">
        <v>978</v>
      </c>
    </row>
    <row r="915" spans="1:1" x14ac:dyDescent="0.25">
      <c r="A915" t="s">
        <v>979</v>
      </c>
    </row>
    <row r="916" spans="1:1" x14ac:dyDescent="0.25">
      <c r="A916" t="s">
        <v>980</v>
      </c>
    </row>
    <row r="917" spans="1:1" x14ac:dyDescent="0.25">
      <c r="A917" t="s">
        <v>981</v>
      </c>
    </row>
    <row r="918" spans="1:1" x14ac:dyDescent="0.25">
      <c r="A918" t="s">
        <v>982</v>
      </c>
    </row>
    <row r="919" spans="1:1" x14ac:dyDescent="0.25">
      <c r="A919" t="s">
        <v>983</v>
      </c>
    </row>
    <row r="920" spans="1:1" x14ac:dyDescent="0.25">
      <c r="A920" t="s">
        <v>984</v>
      </c>
    </row>
    <row r="921" spans="1:1" x14ac:dyDescent="0.25">
      <c r="A921" t="s">
        <v>985</v>
      </c>
    </row>
    <row r="922" spans="1:1" x14ac:dyDescent="0.25">
      <c r="A922" t="s">
        <v>986</v>
      </c>
    </row>
    <row r="923" spans="1:1" x14ac:dyDescent="0.25">
      <c r="A923" t="s">
        <v>987</v>
      </c>
    </row>
    <row r="924" spans="1:1" x14ac:dyDescent="0.25">
      <c r="A924" t="s">
        <v>988</v>
      </c>
    </row>
    <row r="925" spans="1:1" x14ac:dyDescent="0.25">
      <c r="A925" t="s">
        <v>989</v>
      </c>
    </row>
    <row r="926" spans="1:1" x14ac:dyDescent="0.25">
      <c r="A926" t="s">
        <v>990</v>
      </c>
    </row>
    <row r="927" spans="1:1" x14ac:dyDescent="0.25">
      <c r="A927" t="s">
        <v>991</v>
      </c>
    </row>
    <row r="928" spans="1:1" x14ac:dyDescent="0.25">
      <c r="A928" t="s">
        <v>992</v>
      </c>
    </row>
    <row r="929" spans="1:1" x14ac:dyDescent="0.25">
      <c r="A929" t="s">
        <v>993</v>
      </c>
    </row>
    <row r="930" spans="1:1" x14ac:dyDescent="0.25">
      <c r="A930" t="s">
        <v>994</v>
      </c>
    </row>
    <row r="931" spans="1:1" x14ac:dyDescent="0.25">
      <c r="A931" t="s">
        <v>995</v>
      </c>
    </row>
    <row r="932" spans="1:1" x14ac:dyDescent="0.25">
      <c r="A932" t="s">
        <v>996</v>
      </c>
    </row>
    <row r="933" spans="1:1" x14ac:dyDescent="0.25">
      <c r="A933" t="s">
        <v>997</v>
      </c>
    </row>
    <row r="934" spans="1:1" x14ac:dyDescent="0.25">
      <c r="A934" t="s">
        <v>998</v>
      </c>
    </row>
    <row r="935" spans="1:1" x14ac:dyDescent="0.25">
      <c r="A935" t="s">
        <v>999</v>
      </c>
    </row>
    <row r="936" spans="1:1" x14ac:dyDescent="0.25">
      <c r="A936" t="s">
        <v>1000</v>
      </c>
    </row>
    <row r="937" spans="1:1" x14ac:dyDescent="0.25">
      <c r="A937" t="s">
        <v>1001</v>
      </c>
    </row>
    <row r="938" spans="1:1" x14ac:dyDescent="0.25">
      <c r="A938" t="s">
        <v>1002</v>
      </c>
    </row>
    <row r="939" spans="1:1" x14ac:dyDescent="0.25">
      <c r="A939" t="s">
        <v>1003</v>
      </c>
    </row>
    <row r="940" spans="1:1" x14ac:dyDescent="0.25">
      <c r="A940" t="s">
        <v>1004</v>
      </c>
    </row>
    <row r="941" spans="1:1" x14ac:dyDescent="0.25">
      <c r="A941" t="s">
        <v>1005</v>
      </c>
    </row>
    <row r="942" spans="1:1" x14ac:dyDescent="0.25">
      <c r="A942" t="s">
        <v>1006</v>
      </c>
    </row>
    <row r="943" spans="1:1" x14ac:dyDescent="0.25">
      <c r="A943" t="s">
        <v>1007</v>
      </c>
    </row>
    <row r="944" spans="1:1" x14ac:dyDescent="0.25">
      <c r="A944" t="s">
        <v>1008</v>
      </c>
    </row>
    <row r="945" spans="1:1" x14ac:dyDescent="0.25">
      <c r="A945" t="s">
        <v>1009</v>
      </c>
    </row>
    <row r="946" spans="1:1" x14ac:dyDescent="0.25">
      <c r="A946" t="s">
        <v>1010</v>
      </c>
    </row>
    <row r="947" spans="1:1" x14ac:dyDescent="0.25">
      <c r="A947" t="s">
        <v>1011</v>
      </c>
    </row>
    <row r="948" spans="1:1" x14ac:dyDescent="0.25">
      <c r="A948" t="s">
        <v>1012</v>
      </c>
    </row>
    <row r="949" spans="1:1" x14ac:dyDescent="0.25">
      <c r="A949" t="s">
        <v>1013</v>
      </c>
    </row>
    <row r="950" spans="1:1" x14ac:dyDescent="0.25">
      <c r="A950" t="s">
        <v>1014</v>
      </c>
    </row>
    <row r="951" spans="1:1" x14ac:dyDescent="0.25">
      <c r="A951" t="s">
        <v>1015</v>
      </c>
    </row>
    <row r="952" spans="1:1" x14ac:dyDescent="0.25">
      <c r="A952" t="s">
        <v>1016</v>
      </c>
    </row>
    <row r="953" spans="1:1" x14ac:dyDescent="0.25">
      <c r="A953" t="s">
        <v>1017</v>
      </c>
    </row>
    <row r="954" spans="1:1" x14ac:dyDescent="0.25">
      <c r="A954" t="s">
        <v>1018</v>
      </c>
    </row>
    <row r="955" spans="1:1" x14ac:dyDescent="0.25">
      <c r="A955" t="s">
        <v>1019</v>
      </c>
    </row>
    <row r="956" spans="1:1" x14ac:dyDescent="0.25">
      <c r="A956" t="s">
        <v>1020</v>
      </c>
    </row>
    <row r="957" spans="1:1" x14ac:dyDescent="0.25">
      <c r="A957" t="s">
        <v>1021</v>
      </c>
    </row>
    <row r="958" spans="1:1" x14ac:dyDescent="0.25">
      <c r="A958" t="s">
        <v>1022</v>
      </c>
    </row>
    <row r="959" spans="1:1" x14ac:dyDescent="0.25">
      <c r="A959" t="s">
        <v>1023</v>
      </c>
    </row>
    <row r="960" spans="1:1" x14ac:dyDescent="0.25">
      <c r="A960" t="s">
        <v>1024</v>
      </c>
    </row>
    <row r="961" spans="1:1" x14ac:dyDescent="0.25">
      <c r="A961" t="s">
        <v>1025</v>
      </c>
    </row>
    <row r="962" spans="1:1" x14ac:dyDescent="0.25">
      <c r="A962" t="s">
        <v>1026</v>
      </c>
    </row>
    <row r="963" spans="1:1" x14ac:dyDescent="0.25">
      <c r="A963" t="s">
        <v>1027</v>
      </c>
    </row>
    <row r="964" spans="1:1" x14ac:dyDescent="0.25">
      <c r="A964" t="s">
        <v>1028</v>
      </c>
    </row>
    <row r="965" spans="1:1" x14ac:dyDescent="0.25">
      <c r="A965" t="s">
        <v>1029</v>
      </c>
    </row>
    <row r="966" spans="1:1" x14ac:dyDescent="0.25">
      <c r="A966" t="s">
        <v>1030</v>
      </c>
    </row>
    <row r="967" spans="1:1" x14ac:dyDescent="0.25">
      <c r="A967" t="s">
        <v>1031</v>
      </c>
    </row>
    <row r="968" spans="1:1" x14ac:dyDescent="0.25">
      <c r="A968" t="s">
        <v>1032</v>
      </c>
    </row>
    <row r="969" spans="1:1" x14ac:dyDescent="0.25">
      <c r="A969" t="s">
        <v>1033</v>
      </c>
    </row>
    <row r="970" spans="1:1" x14ac:dyDescent="0.25">
      <c r="A970" t="s">
        <v>1034</v>
      </c>
    </row>
    <row r="971" spans="1:1" x14ac:dyDescent="0.25">
      <c r="A971" t="s">
        <v>1035</v>
      </c>
    </row>
    <row r="972" spans="1:1" x14ac:dyDescent="0.25">
      <c r="A972" t="s">
        <v>1036</v>
      </c>
    </row>
    <row r="973" spans="1:1" x14ac:dyDescent="0.25">
      <c r="A973" t="s">
        <v>1037</v>
      </c>
    </row>
    <row r="974" spans="1:1" x14ac:dyDescent="0.25">
      <c r="A974" t="s">
        <v>1038</v>
      </c>
    </row>
    <row r="975" spans="1:1" x14ac:dyDescent="0.25">
      <c r="A975" t="s">
        <v>1039</v>
      </c>
    </row>
    <row r="976" spans="1:1" x14ac:dyDescent="0.25">
      <c r="A976" t="s">
        <v>1040</v>
      </c>
    </row>
    <row r="977" spans="1:1" x14ac:dyDescent="0.25">
      <c r="A977" t="s">
        <v>1041</v>
      </c>
    </row>
    <row r="978" spans="1:1" x14ac:dyDescent="0.25">
      <c r="A978" t="s">
        <v>1042</v>
      </c>
    </row>
    <row r="979" spans="1:1" x14ac:dyDescent="0.25">
      <c r="A979" t="s">
        <v>1043</v>
      </c>
    </row>
    <row r="980" spans="1:1" x14ac:dyDescent="0.25">
      <c r="A980" t="s">
        <v>1044</v>
      </c>
    </row>
    <row r="981" spans="1:1" x14ac:dyDescent="0.25">
      <c r="A981" t="s">
        <v>1045</v>
      </c>
    </row>
    <row r="982" spans="1:1" x14ac:dyDescent="0.25">
      <c r="A982" t="s">
        <v>1046</v>
      </c>
    </row>
    <row r="983" spans="1:1" x14ac:dyDescent="0.25">
      <c r="A983" t="s">
        <v>1047</v>
      </c>
    </row>
    <row r="984" spans="1:1" x14ac:dyDescent="0.25">
      <c r="A984" t="s">
        <v>1048</v>
      </c>
    </row>
    <row r="985" spans="1:1" x14ac:dyDescent="0.25">
      <c r="A985" t="s">
        <v>1049</v>
      </c>
    </row>
    <row r="986" spans="1:1" x14ac:dyDescent="0.25">
      <c r="A986" t="s">
        <v>1050</v>
      </c>
    </row>
    <row r="987" spans="1:1" x14ac:dyDescent="0.25">
      <c r="A987" t="s">
        <v>1051</v>
      </c>
    </row>
    <row r="988" spans="1:1" x14ac:dyDescent="0.25">
      <c r="A988" t="s">
        <v>1052</v>
      </c>
    </row>
    <row r="989" spans="1:1" x14ac:dyDescent="0.25">
      <c r="A989" t="s">
        <v>1053</v>
      </c>
    </row>
    <row r="990" spans="1:1" x14ac:dyDescent="0.25">
      <c r="A990" t="s">
        <v>1054</v>
      </c>
    </row>
    <row r="991" spans="1:1" x14ac:dyDescent="0.25">
      <c r="A991" t="s">
        <v>1055</v>
      </c>
    </row>
    <row r="992" spans="1:1" x14ac:dyDescent="0.25">
      <c r="A992" t="s">
        <v>1056</v>
      </c>
    </row>
    <row r="993" spans="1:1" x14ac:dyDescent="0.25">
      <c r="A993" t="s">
        <v>1057</v>
      </c>
    </row>
    <row r="994" spans="1:1" x14ac:dyDescent="0.25">
      <c r="A994" t="s">
        <v>1058</v>
      </c>
    </row>
    <row r="995" spans="1:1" x14ac:dyDescent="0.25">
      <c r="A995" t="s">
        <v>1059</v>
      </c>
    </row>
    <row r="996" spans="1:1" x14ac:dyDescent="0.25">
      <c r="A996" t="s">
        <v>1060</v>
      </c>
    </row>
    <row r="997" spans="1:1" x14ac:dyDescent="0.25">
      <c r="A997" t="s">
        <v>1061</v>
      </c>
    </row>
    <row r="998" spans="1:1" x14ac:dyDescent="0.25">
      <c r="A998" t="s">
        <v>1062</v>
      </c>
    </row>
    <row r="999" spans="1:1" x14ac:dyDescent="0.25">
      <c r="A999" t="s">
        <v>1063</v>
      </c>
    </row>
    <row r="1000" spans="1:1" x14ac:dyDescent="0.25">
      <c r="A1000" t="s">
        <v>1064</v>
      </c>
    </row>
    <row r="1001" spans="1:1" x14ac:dyDescent="0.25">
      <c r="A1001" t="s">
        <v>1065</v>
      </c>
    </row>
    <row r="1002" spans="1:1" x14ac:dyDescent="0.25">
      <c r="A1002" t="s">
        <v>1066</v>
      </c>
    </row>
    <row r="1003" spans="1:1" x14ac:dyDescent="0.25">
      <c r="A1003" t="s">
        <v>1067</v>
      </c>
    </row>
    <row r="1004" spans="1:1" x14ac:dyDescent="0.25">
      <c r="A1004" t="s">
        <v>1068</v>
      </c>
    </row>
    <row r="1005" spans="1:1" x14ac:dyDescent="0.25">
      <c r="A1005" t="s">
        <v>1069</v>
      </c>
    </row>
    <row r="1006" spans="1:1" x14ac:dyDescent="0.25">
      <c r="A1006" t="s">
        <v>1070</v>
      </c>
    </row>
    <row r="1007" spans="1:1" x14ac:dyDescent="0.25">
      <c r="A1007" t="s">
        <v>1071</v>
      </c>
    </row>
    <row r="1008" spans="1:1" x14ac:dyDescent="0.25">
      <c r="A1008" t="s">
        <v>1072</v>
      </c>
    </row>
    <row r="1009" spans="1:1" x14ac:dyDescent="0.25">
      <c r="A1009" t="s">
        <v>1073</v>
      </c>
    </row>
    <row r="1010" spans="1:1" x14ac:dyDescent="0.25">
      <c r="A1010" t="s">
        <v>1074</v>
      </c>
    </row>
    <row r="1011" spans="1:1" x14ac:dyDescent="0.25">
      <c r="A1011" t="s">
        <v>1075</v>
      </c>
    </row>
    <row r="1012" spans="1:1" x14ac:dyDescent="0.25">
      <c r="A1012" t="s">
        <v>1076</v>
      </c>
    </row>
    <row r="1013" spans="1:1" x14ac:dyDescent="0.25">
      <c r="A1013" t="s">
        <v>1077</v>
      </c>
    </row>
    <row r="1014" spans="1:1" x14ac:dyDescent="0.25">
      <c r="A1014" t="s">
        <v>1078</v>
      </c>
    </row>
    <row r="1015" spans="1:1" x14ac:dyDescent="0.25">
      <c r="A1015" t="s">
        <v>1079</v>
      </c>
    </row>
    <row r="1016" spans="1:1" x14ac:dyDescent="0.25">
      <c r="A1016" t="s">
        <v>1080</v>
      </c>
    </row>
    <row r="1017" spans="1:1" x14ac:dyDescent="0.25">
      <c r="A1017" t="s">
        <v>1081</v>
      </c>
    </row>
    <row r="1018" spans="1:1" x14ac:dyDescent="0.25">
      <c r="A1018" t="s">
        <v>1082</v>
      </c>
    </row>
    <row r="1019" spans="1:1" x14ac:dyDescent="0.25">
      <c r="A1019" t="s">
        <v>1083</v>
      </c>
    </row>
    <row r="1020" spans="1:1" x14ac:dyDescent="0.25">
      <c r="A1020" t="s">
        <v>1084</v>
      </c>
    </row>
    <row r="1021" spans="1:1" x14ac:dyDescent="0.25">
      <c r="A1021" t="s">
        <v>1085</v>
      </c>
    </row>
    <row r="1022" spans="1:1" x14ac:dyDescent="0.25">
      <c r="A1022" t="s">
        <v>1086</v>
      </c>
    </row>
    <row r="1023" spans="1:1" x14ac:dyDescent="0.25">
      <c r="A1023" t="s">
        <v>1087</v>
      </c>
    </row>
    <row r="1024" spans="1:1" x14ac:dyDescent="0.25">
      <c r="A1024" t="s">
        <v>1088</v>
      </c>
    </row>
    <row r="1025" spans="1:1" x14ac:dyDescent="0.25">
      <c r="A1025" t="s">
        <v>1089</v>
      </c>
    </row>
    <row r="1026" spans="1:1" x14ac:dyDescent="0.25">
      <c r="A1026" t="s">
        <v>1090</v>
      </c>
    </row>
    <row r="1027" spans="1:1" x14ac:dyDescent="0.25">
      <c r="A1027" t="s">
        <v>1091</v>
      </c>
    </row>
    <row r="1028" spans="1:1" x14ac:dyDescent="0.25">
      <c r="A1028" t="s">
        <v>1092</v>
      </c>
    </row>
    <row r="1029" spans="1:1" x14ac:dyDescent="0.25">
      <c r="A1029" t="s">
        <v>1093</v>
      </c>
    </row>
    <row r="1030" spans="1:1" x14ac:dyDescent="0.25">
      <c r="A1030" t="s">
        <v>1094</v>
      </c>
    </row>
    <row r="1031" spans="1:1" x14ac:dyDescent="0.25">
      <c r="A1031" t="s">
        <v>1095</v>
      </c>
    </row>
    <row r="1032" spans="1:1" x14ac:dyDescent="0.25">
      <c r="A1032" t="s">
        <v>1096</v>
      </c>
    </row>
    <row r="1033" spans="1:1" x14ac:dyDescent="0.25">
      <c r="A1033" t="s">
        <v>1097</v>
      </c>
    </row>
    <row r="1034" spans="1:1" x14ac:dyDescent="0.25">
      <c r="A1034" t="s">
        <v>1098</v>
      </c>
    </row>
    <row r="1035" spans="1:1" x14ac:dyDescent="0.25">
      <c r="A1035" t="s">
        <v>1099</v>
      </c>
    </row>
    <row r="1036" spans="1:1" x14ac:dyDescent="0.25">
      <c r="A1036" t="s">
        <v>1100</v>
      </c>
    </row>
    <row r="1037" spans="1:1" x14ac:dyDescent="0.25">
      <c r="A1037" t="s">
        <v>1101</v>
      </c>
    </row>
    <row r="1038" spans="1:1" x14ac:dyDescent="0.25">
      <c r="A1038" t="s">
        <v>1102</v>
      </c>
    </row>
    <row r="1039" spans="1:1" x14ac:dyDescent="0.25">
      <c r="A1039" t="s">
        <v>1103</v>
      </c>
    </row>
    <row r="1040" spans="1:1" x14ac:dyDescent="0.25">
      <c r="A1040" t="s">
        <v>1104</v>
      </c>
    </row>
    <row r="1041" spans="1:1" x14ac:dyDescent="0.25">
      <c r="A1041" t="s">
        <v>1105</v>
      </c>
    </row>
    <row r="1042" spans="1:1" x14ac:dyDescent="0.25">
      <c r="A1042" t="s">
        <v>1106</v>
      </c>
    </row>
    <row r="1043" spans="1:1" x14ac:dyDescent="0.25">
      <c r="A1043" t="s">
        <v>1107</v>
      </c>
    </row>
    <row r="1044" spans="1:1" x14ac:dyDescent="0.25">
      <c r="A1044" t="s">
        <v>1108</v>
      </c>
    </row>
    <row r="1045" spans="1:1" x14ac:dyDescent="0.25">
      <c r="A1045" t="s">
        <v>1109</v>
      </c>
    </row>
    <row r="1046" spans="1:1" x14ac:dyDescent="0.25">
      <c r="A1046" t="s">
        <v>1110</v>
      </c>
    </row>
    <row r="1047" spans="1:1" x14ac:dyDescent="0.25">
      <c r="A1047" t="s">
        <v>1111</v>
      </c>
    </row>
    <row r="1048" spans="1:1" x14ac:dyDescent="0.25">
      <c r="A1048" t="s">
        <v>1112</v>
      </c>
    </row>
    <row r="1049" spans="1:1" x14ac:dyDescent="0.25">
      <c r="A1049" t="s">
        <v>1113</v>
      </c>
    </row>
    <row r="1050" spans="1:1" x14ac:dyDescent="0.25">
      <c r="A1050" t="s">
        <v>1114</v>
      </c>
    </row>
    <row r="1051" spans="1:1" x14ac:dyDescent="0.25">
      <c r="A1051" t="s">
        <v>1115</v>
      </c>
    </row>
    <row r="1052" spans="1:1" x14ac:dyDescent="0.25">
      <c r="A1052" t="s">
        <v>1116</v>
      </c>
    </row>
    <row r="1053" spans="1:1" x14ac:dyDescent="0.25">
      <c r="A1053" t="s">
        <v>1117</v>
      </c>
    </row>
    <row r="1054" spans="1:1" x14ac:dyDescent="0.25">
      <c r="A1054" t="s">
        <v>1118</v>
      </c>
    </row>
    <row r="1055" spans="1:1" x14ac:dyDescent="0.25">
      <c r="A1055" t="s">
        <v>1119</v>
      </c>
    </row>
    <row r="1056" spans="1:1" x14ac:dyDescent="0.25">
      <c r="A1056" t="s">
        <v>1120</v>
      </c>
    </row>
    <row r="1057" spans="1:1" x14ac:dyDescent="0.25">
      <c r="A1057" t="s">
        <v>1121</v>
      </c>
    </row>
    <row r="1058" spans="1:1" x14ac:dyDescent="0.25">
      <c r="A1058" t="s">
        <v>1122</v>
      </c>
    </row>
    <row r="1059" spans="1:1" x14ac:dyDescent="0.25">
      <c r="A1059" t="s">
        <v>1123</v>
      </c>
    </row>
    <row r="1060" spans="1:1" x14ac:dyDescent="0.25">
      <c r="A1060" t="s">
        <v>1124</v>
      </c>
    </row>
    <row r="1061" spans="1:1" x14ac:dyDescent="0.25">
      <c r="A1061" t="s">
        <v>1125</v>
      </c>
    </row>
    <row r="1062" spans="1:1" x14ac:dyDescent="0.25">
      <c r="A1062" t="s">
        <v>1126</v>
      </c>
    </row>
    <row r="1063" spans="1:1" x14ac:dyDescent="0.25">
      <c r="A1063" t="s">
        <v>1127</v>
      </c>
    </row>
    <row r="1064" spans="1:1" x14ac:dyDescent="0.25">
      <c r="A1064" t="s">
        <v>1128</v>
      </c>
    </row>
    <row r="1065" spans="1:1" x14ac:dyDescent="0.25">
      <c r="A1065" t="s">
        <v>1129</v>
      </c>
    </row>
    <row r="1066" spans="1:1" x14ac:dyDescent="0.25">
      <c r="A1066" t="s">
        <v>1130</v>
      </c>
    </row>
    <row r="1067" spans="1:1" x14ac:dyDescent="0.25">
      <c r="A1067" t="s">
        <v>1131</v>
      </c>
    </row>
    <row r="1068" spans="1:1" x14ac:dyDescent="0.25">
      <c r="A1068" t="s">
        <v>1132</v>
      </c>
    </row>
    <row r="1069" spans="1:1" x14ac:dyDescent="0.25">
      <c r="A1069" t="s">
        <v>1133</v>
      </c>
    </row>
    <row r="1070" spans="1:1" x14ac:dyDescent="0.25">
      <c r="A1070" t="s">
        <v>1134</v>
      </c>
    </row>
    <row r="1071" spans="1:1" x14ac:dyDescent="0.25">
      <c r="A1071" t="s">
        <v>1135</v>
      </c>
    </row>
    <row r="1072" spans="1:1" x14ac:dyDescent="0.25">
      <c r="A1072" t="s">
        <v>1136</v>
      </c>
    </row>
    <row r="1073" spans="1:1" x14ac:dyDescent="0.25">
      <c r="A1073" t="s">
        <v>1137</v>
      </c>
    </row>
    <row r="1074" spans="1:1" x14ac:dyDescent="0.25">
      <c r="A1074" t="s">
        <v>1138</v>
      </c>
    </row>
    <row r="1075" spans="1:1" x14ac:dyDescent="0.25">
      <c r="A1075" t="s">
        <v>1139</v>
      </c>
    </row>
    <row r="1076" spans="1:1" x14ac:dyDescent="0.25">
      <c r="A1076" t="s">
        <v>1140</v>
      </c>
    </row>
    <row r="1077" spans="1:1" x14ac:dyDescent="0.25">
      <c r="A1077" t="s">
        <v>1141</v>
      </c>
    </row>
    <row r="1078" spans="1:1" x14ac:dyDescent="0.25">
      <c r="A1078" t="s">
        <v>1142</v>
      </c>
    </row>
    <row r="1079" spans="1:1" x14ac:dyDescent="0.25">
      <c r="A1079" t="s">
        <v>1143</v>
      </c>
    </row>
    <row r="1080" spans="1:1" x14ac:dyDescent="0.25">
      <c r="A1080" t="s">
        <v>1144</v>
      </c>
    </row>
    <row r="1081" spans="1:1" x14ac:dyDescent="0.25">
      <c r="A1081" t="s">
        <v>1145</v>
      </c>
    </row>
    <row r="1082" spans="1:1" x14ac:dyDescent="0.25">
      <c r="A1082" t="s">
        <v>1146</v>
      </c>
    </row>
    <row r="1083" spans="1:1" x14ac:dyDescent="0.25">
      <c r="A1083" t="s">
        <v>1147</v>
      </c>
    </row>
    <row r="1084" spans="1:1" x14ac:dyDescent="0.25">
      <c r="A1084" t="s">
        <v>1148</v>
      </c>
    </row>
    <row r="1085" spans="1:1" x14ac:dyDescent="0.25">
      <c r="A1085" t="s">
        <v>1149</v>
      </c>
    </row>
    <row r="1086" spans="1:1" x14ac:dyDescent="0.25">
      <c r="A1086" t="s">
        <v>1150</v>
      </c>
    </row>
    <row r="1087" spans="1:1" x14ac:dyDescent="0.25">
      <c r="A1087" t="s">
        <v>1151</v>
      </c>
    </row>
    <row r="1088" spans="1:1" x14ac:dyDescent="0.25">
      <c r="A1088" t="s">
        <v>1152</v>
      </c>
    </row>
    <row r="1089" spans="1:1" x14ac:dyDescent="0.25">
      <c r="A1089" t="s">
        <v>1153</v>
      </c>
    </row>
    <row r="1090" spans="1:1" x14ac:dyDescent="0.25">
      <c r="A1090" t="s">
        <v>1154</v>
      </c>
    </row>
    <row r="1091" spans="1:1" x14ac:dyDescent="0.25">
      <c r="A1091" t="s">
        <v>1155</v>
      </c>
    </row>
    <row r="1092" spans="1:1" x14ac:dyDescent="0.25">
      <c r="A1092" t="s">
        <v>1156</v>
      </c>
    </row>
    <row r="1093" spans="1:1" x14ac:dyDescent="0.25">
      <c r="A1093" t="s">
        <v>1157</v>
      </c>
    </row>
    <row r="1094" spans="1:1" x14ac:dyDescent="0.25">
      <c r="A1094" t="s">
        <v>1158</v>
      </c>
    </row>
    <row r="1095" spans="1:1" x14ac:dyDescent="0.25">
      <c r="A1095" t="s">
        <v>1159</v>
      </c>
    </row>
    <row r="1096" spans="1:1" x14ac:dyDescent="0.25">
      <c r="A1096" t="s">
        <v>1160</v>
      </c>
    </row>
    <row r="1097" spans="1:1" x14ac:dyDescent="0.25">
      <c r="A1097" t="s">
        <v>1161</v>
      </c>
    </row>
    <row r="1098" spans="1:1" x14ac:dyDescent="0.25">
      <c r="A1098" t="s">
        <v>1162</v>
      </c>
    </row>
    <row r="1099" spans="1:1" x14ac:dyDescent="0.25">
      <c r="A1099" t="s">
        <v>1163</v>
      </c>
    </row>
    <row r="1100" spans="1:1" x14ac:dyDescent="0.25">
      <c r="A1100" t="s">
        <v>1164</v>
      </c>
    </row>
    <row r="1101" spans="1:1" x14ac:dyDescent="0.25">
      <c r="A1101" t="s">
        <v>1165</v>
      </c>
    </row>
    <row r="1102" spans="1:1" x14ac:dyDescent="0.25">
      <c r="A1102" t="s">
        <v>1166</v>
      </c>
    </row>
    <row r="1103" spans="1:1" x14ac:dyDescent="0.25">
      <c r="A1103" t="s">
        <v>1167</v>
      </c>
    </row>
    <row r="1104" spans="1:1" x14ac:dyDescent="0.25">
      <c r="A1104" t="s">
        <v>1168</v>
      </c>
    </row>
    <row r="1105" spans="1:1" x14ac:dyDescent="0.25">
      <c r="A1105" t="s">
        <v>1169</v>
      </c>
    </row>
    <row r="1106" spans="1:1" x14ac:dyDescent="0.25">
      <c r="A1106" t="s">
        <v>1170</v>
      </c>
    </row>
    <row r="1107" spans="1:1" x14ac:dyDescent="0.25">
      <c r="A1107" t="s">
        <v>1171</v>
      </c>
    </row>
    <row r="1108" spans="1:1" x14ac:dyDescent="0.25">
      <c r="A1108" t="s">
        <v>1172</v>
      </c>
    </row>
    <row r="1109" spans="1:1" x14ac:dyDescent="0.25">
      <c r="A1109" t="s">
        <v>1173</v>
      </c>
    </row>
    <row r="1110" spans="1:1" x14ac:dyDescent="0.25">
      <c r="A1110" t="s">
        <v>1174</v>
      </c>
    </row>
    <row r="1111" spans="1:1" x14ac:dyDescent="0.25">
      <c r="A1111" t="s">
        <v>1175</v>
      </c>
    </row>
    <row r="1112" spans="1:1" x14ac:dyDescent="0.25">
      <c r="A1112" t="s">
        <v>1176</v>
      </c>
    </row>
    <row r="1113" spans="1:1" x14ac:dyDescent="0.25">
      <c r="A1113" t="s">
        <v>1177</v>
      </c>
    </row>
    <row r="1114" spans="1:1" x14ac:dyDescent="0.25">
      <c r="A1114" t="s">
        <v>1178</v>
      </c>
    </row>
    <row r="1115" spans="1:1" x14ac:dyDescent="0.25">
      <c r="A1115" t="s">
        <v>1179</v>
      </c>
    </row>
    <row r="1116" spans="1:1" x14ac:dyDescent="0.25">
      <c r="A1116" t="s">
        <v>1180</v>
      </c>
    </row>
    <row r="1117" spans="1:1" x14ac:dyDescent="0.25">
      <c r="A1117" t="s">
        <v>1181</v>
      </c>
    </row>
    <row r="1118" spans="1:1" x14ac:dyDescent="0.25">
      <c r="A1118" t="s">
        <v>1182</v>
      </c>
    </row>
    <row r="1119" spans="1:1" x14ac:dyDescent="0.25">
      <c r="A1119" t="s">
        <v>1183</v>
      </c>
    </row>
    <row r="1120" spans="1:1" x14ac:dyDescent="0.25">
      <c r="A1120" t="s">
        <v>1184</v>
      </c>
    </row>
    <row r="1121" spans="1:1" x14ac:dyDescent="0.25">
      <c r="A1121" t="s">
        <v>1185</v>
      </c>
    </row>
    <row r="1122" spans="1:1" x14ac:dyDescent="0.25">
      <c r="A1122" t="s">
        <v>1186</v>
      </c>
    </row>
    <row r="1123" spans="1:1" x14ac:dyDescent="0.25">
      <c r="A1123" t="s">
        <v>1187</v>
      </c>
    </row>
    <row r="1124" spans="1:1" x14ac:dyDescent="0.25">
      <c r="A1124" t="s">
        <v>1188</v>
      </c>
    </row>
    <row r="1125" spans="1:1" x14ac:dyDescent="0.25">
      <c r="A1125" t="s">
        <v>1189</v>
      </c>
    </row>
    <row r="1126" spans="1:1" x14ac:dyDescent="0.25">
      <c r="A1126" t="s">
        <v>1190</v>
      </c>
    </row>
    <row r="1127" spans="1:1" x14ac:dyDescent="0.25">
      <c r="A1127" t="s">
        <v>1191</v>
      </c>
    </row>
    <row r="1128" spans="1:1" x14ac:dyDescent="0.25">
      <c r="A1128" t="s">
        <v>1192</v>
      </c>
    </row>
    <row r="1129" spans="1:1" x14ac:dyDescent="0.25">
      <c r="A1129" t="s">
        <v>1193</v>
      </c>
    </row>
    <row r="1130" spans="1:1" x14ac:dyDescent="0.25">
      <c r="A1130" t="s">
        <v>1194</v>
      </c>
    </row>
    <row r="1131" spans="1:1" x14ac:dyDescent="0.25">
      <c r="A1131" t="s">
        <v>1195</v>
      </c>
    </row>
    <row r="1132" spans="1:1" x14ac:dyDescent="0.25">
      <c r="A1132" t="s">
        <v>1196</v>
      </c>
    </row>
    <row r="1133" spans="1:1" x14ac:dyDescent="0.25">
      <c r="A1133" t="s">
        <v>1197</v>
      </c>
    </row>
    <row r="1134" spans="1:1" x14ac:dyDescent="0.25">
      <c r="A1134" t="s">
        <v>1198</v>
      </c>
    </row>
    <row r="1135" spans="1:1" x14ac:dyDescent="0.25">
      <c r="A1135" t="s">
        <v>1199</v>
      </c>
    </row>
    <row r="1136" spans="1:1" x14ac:dyDescent="0.25">
      <c r="A1136" t="s">
        <v>1200</v>
      </c>
    </row>
    <row r="1137" spans="1:1" x14ac:dyDescent="0.25">
      <c r="A1137" t="s">
        <v>1201</v>
      </c>
    </row>
    <row r="1138" spans="1:1" x14ac:dyDescent="0.25">
      <c r="A1138" t="s">
        <v>1202</v>
      </c>
    </row>
    <row r="1139" spans="1:1" x14ac:dyDescent="0.25">
      <c r="A1139" t="s">
        <v>1203</v>
      </c>
    </row>
    <row r="1140" spans="1:1" x14ac:dyDescent="0.25">
      <c r="A1140" t="s">
        <v>1204</v>
      </c>
    </row>
    <row r="1141" spans="1:1" x14ac:dyDescent="0.25">
      <c r="A1141" t="s">
        <v>1205</v>
      </c>
    </row>
    <row r="1142" spans="1:1" x14ac:dyDescent="0.25">
      <c r="A1142" t="s">
        <v>1206</v>
      </c>
    </row>
    <row r="1143" spans="1:1" x14ac:dyDescent="0.25">
      <c r="A1143" t="s">
        <v>1207</v>
      </c>
    </row>
    <row r="1144" spans="1:1" x14ac:dyDescent="0.25">
      <c r="A1144" t="s">
        <v>1208</v>
      </c>
    </row>
    <row r="1145" spans="1:1" x14ac:dyDescent="0.25">
      <c r="A1145" t="s">
        <v>1209</v>
      </c>
    </row>
    <row r="1146" spans="1:1" x14ac:dyDescent="0.25">
      <c r="A1146" t="s">
        <v>1210</v>
      </c>
    </row>
    <row r="1147" spans="1:1" x14ac:dyDescent="0.25">
      <c r="A1147" t="s">
        <v>1211</v>
      </c>
    </row>
    <row r="1148" spans="1:1" x14ac:dyDescent="0.25">
      <c r="A1148" t="s">
        <v>1212</v>
      </c>
    </row>
    <row r="1149" spans="1:1" x14ac:dyDescent="0.25">
      <c r="A1149" t="s">
        <v>1213</v>
      </c>
    </row>
    <row r="1150" spans="1:1" x14ac:dyDescent="0.25">
      <c r="A1150" t="s">
        <v>1214</v>
      </c>
    </row>
    <row r="1151" spans="1:1" x14ac:dyDescent="0.25">
      <c r="A1151" t="s">
        <v>1215</v>
      </c>
    </row>
    <row r="1152" spans="1:1" x14ac:dyDescent="0.25">
      <c r="A1152" t="s">
        <v>1216</v>
      </c>
    </row>
    <row r="1153" spans="1:1" x14ac:dyDescent="0.25">
      <c r="A1153" t="s">
        <v>1217</v>
      </c>
    </row>
    <row r="1154" spans="1:1" x14ac:dyDescent="0.25">
      <c r="A1154" t="s">
        <v>1218</v>
      </c>
    </row>
    <row r="1155" spans="1:1" x14ac:dyDescent="0.25">
      <c r="A1155" t="s">
        <v>1219</v>
      </c>
    </row>
    <row r="1156" spans="1:1" x14ac:dyDescent="0.25">
      <c r="A1156" t="s">
        <v>1220</v>
      </c>
    </row>
    <row r="1157" spans="1:1" x14ac:dyDescent="0.25">
      <c r="A1157" t="s">
        <v>1221</v>
      </c>
    </row>
    <row r="1158" spans="1:1" x14ac:dyDescent="0.25">
      <c r="A1158" t="s">
        <v>1222</v>
      </c>
    </row>
    <row r="1159" spans="1:1" x14ac:dyDescent="0.25">
      <c r="A1159" t="s">
        <v>1223</v>
      </c>
    </row>
    <row r="1160" spans="1:1" x14ac:dyDescent="0.25">
      <c r="A1160" t="s">
        <v>1224</v>
      </c>
    </row>
    <row r="1161" spans="1:1" x14ac:dyDescent="0.25">
      <c r="A1161" t="s">
        <v>1225</v>
      </c>
    </row>
    <row r="1162" spans="1:1" x14ac:dyDescent="0.25">
      <c r="A1162" t="s">
        <v>1226</v>
      </c>
    </row>
    <row r="1163" spans="1:1" x14ac:dyDescent="0.25">
      <c r="A1163" t="s">
        <v>1227</v>
      </c>
    </row>
    <row r="1164" spans="1:1" x14ac:dyDescent="0.25">
      <c r="A1164" t="s">
        <v>1228</v>
      </c>
    </row>
    <row r="1165" spans="1:1" x14ac:dyDescent="0.25">
      <c r="A1165" t="s">
        <v>1229</v>
      </c>
    </row>
    <row r="1166" spans="1:1" x14ac:dyDescent="0.25">
      <c r="A1166" t="s">
        <v>1230</v>
      </c>
    </row>
    <row r="1167" spans="1:1" x14ac:dyDescent="0.25">
      <c r="A1167" t="s">
        <v>1231</v>
      </c>
    </row>
    <row r="1168" spans="1:1" x14ac:dyDescent="0.25">
      <c r="A1168" t="s">
        <v>1232</v>
      </c>
    </row>
    <row r="1169" spans="1:1" x14ac:dyDescent="0.25">
      <c r="A1169" t="s">
        <v>1233</v>
      </c>
    </row>
    <row r="1170" spans="1:1" x14ac:dyDescent="0.25">
      <c r="A1170" t="s">
        <v>1234</v>
      </c>
    </row>
    <row r="1171" spans="1:1" x14ac:dyDescent="0.25">
      <c r="A1171" t="s">
        <v>1235</v>
      </c>
    </row>
    <row r="1172" spans="1:1" x14ac:dyDescent="0.25">
      <c r="A1172" t="s">
        <v>1236</v>
      </c>
    </row>
    <row r="1173" spans="1:1" x14ac:dyDescent="0.25">
      <c r="A1173" t="s">
        <v>1237</v>
      </c>
    </row>
    <row r="1174" spans="1:1" x14ac:dyDescent="0.25">
      <c r="A1174" t="s">
        <v>1238</v>
      </c>
    </row>
    <row r="1175" spans="1:1" x14ac:dyDescent="0.25">
      <c r="A1175" t="s">
        <v>1239</v>
      </c>
    </row>
    <row r="1176" spans="1:1" x14ac:dyDescent="0.25">
      <c r="A1176" t="s">
        <v>1240</v>
      </c>
    </row>
    <row r="1177" spans="1:1" x14ac:dyDescent="0.25">
      <c r="A1177" t="s">
        <v>1241</v>
      </c>
    </row>
    <row r="1178" spans="1:1" x14ac:dyDescent="0.25">
      <c r="A1178" t="s">
        <v>1242</v>
      </c>
    </row>
    <row r="1179" spans="1:1" x14ac:dyDescent="0.25">
      <c r="A1179" t="s">
        <v>1243</v>
      </c>
    </row>
    <row r="1180" spans="1:1" x14ac:dyDescent="0.25">
      <c r="A1180" t="s">
        <v>1244</v>
      </c>
    </row>
    <row r="1181" spans="1:1" x14ac:dyDescent="0.25">
      <c r="A1181" t="s">
        <v>1245</v>
      </c>
    </row>
    <row r="1182" spans="1:1" x14ac:dyDescent="0.25">
      <c r="A1182" t="s">
        <v>1246</v>
      </c>
    </row>
    <row r="1183" spans="1:1" x14ac:dyDescent="0.25">
      <c r="A1183" t="s">
        <v>1247</v>
      </c>
    </row>
    <row r="1184" spans="1:1" x14ac:dyDescent="0.25">
      <c r="A1184" t="s">
        <v>1248</v>
      </c>
    </row>
    <row r="1185" spans="1:1" x14ac:dyDescent="0.25">
      <c r="A1185" t="s">
        <v>1249</v>
      </c>
    </row>
    <row r="1186" spans="1:1" x14ac:dyDescent="0.25">
      <c r="A1186" t="s">
        <v>1250</v>
      </c>
    </row>
    <row r="1187" spans="1:1" x14ac:dyDescent="0.25">
      <c r="A1187" t="s">
        <v>1251</v>
      </c>
    </row>
    <row r="1188" spans="1:1" x14ac:dyDescent="0.25">
      <c r="A1188" t="s">
        <v>1252</v>
      </c>
    </row>
    <row r="1189" spans="1:1" x14ac:dyDescent="0.25">
      <c r="A1189" t="s">
        <v>1253</v>
      </c>
    </row>
    <row r="1190" spans="1:1" x14ac:dyDescent="0.25">
      <c r="A1190" t="s">
        <v>1254</v>
      </c>
    </row>
    <row r="1191" spans="1:1" x14ac:dyDescent="0.25">
      <c r="A1191" t="s">
        <v>1255</v>
      </c>
    </row>
    <row r="1192" spans="1:1" x14ac:dyDescent="0.25">
      <c r="A1192" t="s">
        <v>1256</v>
      </c>
    </row>
    <row r="1193" spans="1:1" x14ac:dyDescent="0.25">
      <c r="A1193" t="s">
        <v>1257</v>
      </c>
    </row>
    <row r="1194" spans="1:1" x14ac:dyDescent="0.25">
      <c r="A1194" t="s">
        <v>1258</v>
      </c>
    </row>
    <row r="1195" spans="1:1" x14ac:dyDescent="0.25">
      <c r="A1195" t="s">
        <v>1259</v>
      </c>
    </row>
    <row r="1196" spans="1:1" x14ac:dyDescent="0.25">
      <c r="A1196" t="s">
        <v>1260</v>
      </c>
    </row>
    <row r="1197" spans="1:1" x14ac:dyDescent="0.25">
      <c r="A1197" t="s">
        <v>1261</v>
      </c>
    </row>
    <row r="1198" spans="1:1" x14ac:dyDescent="0.25">
      <c r="A1198" t="s">
        <v>1262</v>
      </c>
    </row>
    <row r="1199" spans="1:1" x14ac:dyDescent="0.25">
      <c r="A1199" t="s">
        <v>1263</v>
      </c>
    </row>
    <row r="1200" spans="1:1" x14ac:dyDescent="0.25">
      <c r="A1200" t="s">
        <v>1264</v>
      </c>
    </row>
    <row r="1201" spans="1:1" x14ac:dyDescent="0.25">
      <c r="A1201" t="s">
        <v>1265</v>
      </c>
    </row>
    <row r="1202" spans="1:1" x14ac:dyDescent="0.25">
      <c r="A1202" t="s">
        <v>1266</v>
      </c>
    </row>
    <row r="1203" spans="1:1" x14ac:dyDescent="0.25">
      <c r="A1203" t="s">
        <v>1267</v>
      </c>
    </row>
    <row r="1204" spans="1:1" x14ac:dyDescent="0.25">
      <c r="A1204" t="s">
        <v>1268</v>
      </c>
    </row>
    <row r="1205" spans="1:1" x14ac:dyDescent="0.25">
      <c r="A1205" t="s">
        <v>1269</v>
      </c>
    </row>
    <row r="1206" spans="1:1" x14ac:dyDescent="0.25">
      <c r="A1206" t="s">
        <v>1270</v>
      </c>
    </row>
    <row r="1207" spans="1:1" x14ac:dyDescent="0.25">
      <c r="A1207" t="s">
        <v>1271</v>
      </c>
    </row>
    <row r="1208" spans="1:1" x14ac:dyDescent="0.25">
      <c r="A1208" t="s">
        <v>1272</v>
      </c>
    </row>
    <row r="1209" spans="1:1" x14ac:dyDescent="0.25">
      <c r="A1209" t="s">
        <v>1273</v>
      </c>
    </row>
    <row r="1210" spans="1:1" x14ac:dyDescent="0.25">
      <c r="A1210" t="s">
        <v>1274</v>
      </c>
    </row>
    <row r="1211" spans="1:1" x14ac:dyDescent="0.25">
      <c r="A1211" t="s">
        <v>1275</v>
      </c>
    </row>
    <row r="1212" spans="1:1" x14ac:dyDescent="0.25">
      <c r="A1212" t="s">
        <v>1276</v>
      </c>
    </row>
    <row r="1213" spans="1:1" x14ac:dyDescent="0.25">
      <c r="A1213" t="s">
        <v>1277</v>
      </c>
    </row>
    <row r="1214" spans="1:1" x14ac:dyDescent="0.25">
      <c r="A1214" t="s">
        <v>1278</v>
      </c>
    </row>
    <row r="1215" spans="1:1" x14ac:dyDescent="0.25">
      <c r="A1215" t="s">
        <v>1279</v>
      </c>
    </row>
    <row r="1216" spans="1:1" x14ac:dyDescent="0.25">
      <c r="A1216" t="s">
        <v>1280</v>
      </c>
    </row>
    <row r="1217" spans="1:1" x14ac:dyDescent="0.25">
      <c r="A1217" t="s">
        <v>1281</v>
      </c>
    </row>
    <row r="1218" spans="1:1" x14ac:dyDescent="0.25">
      <c r="A1218" t="s">
        <v>1282</v>
      </c>
    </row>
    <row r="1219" spans="1:1" x14ac:dyDescent="0.25">
      <c r="A1219" t="s">
        <v>1283</v>
      </c>
    </row>
    <row r="1220" spans="1:1" x14ac:dyDescent="0.25">
      <c r="A1220" t="s">
        <v>1284</v>
      </c>
    </row>
    <row r="1221" spans="1:1" x14ac:dyDescent="0.25">
      <c r="A1221" t="s">
        <v>1285</v>
      </c>
    </row>
    <row r="1222" spans="1:1" x14ac:dyDescent="0.25">
      <c r="A1222" t="s">
        <v>1286</v>
      </c>
    </row>
    <row r="1223" spans="1:1" x14ac:dyDescent="0.25">
      <c r="A1223" t="s">
        <v>1287</v>
      </c>
    </row>
    <row r="1224" spans="1:1" x14ac:dyDescent="0.25">
      <c r="A1224" t="s">
        <v>1288</v>
      </c>
    </row>
    <row r="1225" spans="1:1" x14ac:dyDescent="0.25">
      <c r="A1225" t="s">
        <v>1289</v>
      </c>
    </row>
    <row r="1226" spans="1:1" x14ac:dyDescent="0.25">
      <c r="A1226" t="s">
        <v>1290</v>
      </c>
    </row>
    <row r="1227" spans="1:1" x14ac:dyDescent="0.25">
      <c r="A1227" t="s">
        <v>1291</v>
      </c>
    </row>
    <row r="1228" spans="1:1" x14ac:dyDescent="0.25">
      <c r="A1228" t="s">
        <v>1292</v>
      </c>
    </row>
    <row r="1229" spans="1:1" x14ac:dyDescent="0.25">
      <c r="A1229" t="s">
        <v>1293</v>
      </c>
    </row>
    <row r="1230" spans="1:1" x14ac:dyDescent="0.25">
      <c r="A1230" t="s">
        <v>1294</v>
      </c>
    </row>
    <row r="1231" spans="1:1" x14ac:dyDescent="0.25">
      <c r="A1231" t="s">
        <v>1295</v>
      </c>
    </row>
    <row r="1232" spans="1:1" x14ac:dyDescent="0.25">
      <c r="A1232" t="s">
        <v>1296</v>
      </c>
    </row>
    <row r="1233" spans="1:1" x14ac:dyDescent="0.25">
      <c r="A1233" t="s">
        <v>1297</v>
      </c>
    </row>
    <row r="1234" spans="1:1" x14ac:dyDescent="0.25">
      <c r="A1234" t="s">
        <v>1298</v>
      </c>
    </row>
    <row r="1235" spans="1:1" x14ac:dyDescent="0.25">
      <c r="A1235" t="s">
        <v>1299</v>
      </c>
    </row>
    <row r="1236" spans="1:1" x14ac:dyDescent="0.25">
      <c r="A1236" t="s">
        <v>1300</v>
      </c>
    </row>
    <row r="1237" spans="1:1" x14ac:dyDescent="0.25">
      <c r="A1237" t="s">
        <v>1301</v>
      </c>
    </row>
    <row r="1238" spans="1:1" x14ac:dyDescent="0.25">
      <c r="A1238" t="s">
        <v>1302</v>
      </c>
    </row>
    <row r="1239" spans="1:1" x14ac:dyDescent="0.25">
      <c r="A1239" t="s">
        <v>1303</v>
      </c>
    </row>
    <row r="1240" spans="1:1" x14ac:dyDescent="0.25">
      <c r="A1240" t="s">
        <v>1304</v>
      </c>
    </row>
    <row r="1241" spans="1:1" x14ac:dyDescent="0.25">
      <c r="A1241" t="s">
        <v>1305</v>
      </c>
    </row>
    <row r="1242" spans="1:1" x14ac:dyDescent="0.25">
      <c r="A1242" t="s">
        <v>1306</v>
      </c>
    </row>
    <row r="1243" spans="1:1" x14ac:dyDescent="0.25">
      <c r="A1243" t="s">
        <v>1307</v>
      </c>
    </row>
    <row r="1244" spans="1:1" x14ac:dyDescent="0.25">
      <c r="A1244" t="s">
        <v>1308</v>
      </c>
    </row>
    <row r="1245" spans="1:1" x14ac:dyDescent="0.25">
      <c r="A1245" t="s">
        <v>1309</v>
      </c>
    </row>
    <row r="1246" spans="1:1" x14ac:dyDescent="0.25">
      <c r="A1246" t="s">
        <v>1310</v>
      </c>
    </row>
    <row r="1247" spans="1:1" x14ac:dyDescent="0.25">
      <c r="A1247" t="s">
        <v>1311</v>
      </c>
    </row>
    <row r="1248" spans="1:1" x14ac:dyDescent="0.25">
      <c r="A1248" t="s">
        <v>1312</v>
      </c>
    </row>
    <row r="1249" spans="1:1" x14ac:dyDescent="0.25">
      <c r="A1249" t="s">
        <v>1313</v>
      </c>
    </row>
    <row r="1250" spans="1:1" x14ac:dyDescent="0.25">
      <c r="A1250" t="s">
        <v>1314</v>
      </c>
    </row>
    <row r="1251" spans="1:1" x14ac:dyDescent="0.25">
      <c r="A1251" t="s">
        <v>1315</v>
      </c>
    </row>
    <row r="1252" spans="1:1" x14ac:dyDescent="0.25">
      <c r="A1252" t="s">
        <v>1316</v>
      </c>
    </row>
    <row r="1253" spans="1:1" x14ac:dyDescent="0.25">
      <c r="A1253" t="s">
        <v>1317</v>
      </c>
    </row>
    <row r="1254" spans="1:1" x14ac:dyDescent="0.25">
      <c r="A1254" t="s">
        <v>1318</v>
      </c>
    </row>
    <row r="1255" spans="1:1" x14ac:dyDescent="0.25">
      <c r="A1255" t="s">
        <v>1319</v>
      </c>
    </row>
    <row r="1256" spans="1:1" x14ac:dyDescent="0.25">
      <c r="A1256" t="s">
        <v>1320</v>
      </c>
    </row>
    <row r="1257" spans="1:1" x14ac:dyDescent="0.25">
      <c r="A1257" t="s">
        <v>1321</v>
      </c>
    </row>
    <row r="1258" spans="1:1" x14ac:dyDescent="0.25">
      <c r="A1258" t="s">
        <v>1322</v>
      </c>
    </row>
    <row r="1259" spans="1:1" x14ac:dyDescent="0.25">
      <c r="A1259" t="s">
        <v>1323</v>
      </c>
    </row>
    <row r="1260" spans="1:1" x14ac:dyDescent="0.25">
      <c r="A1260" t="s">
        <v>1324</v>
      </c>
    </row>
    <row r="1261" spans="1:1" x14ac:dyDescent="0.25">
      <c r="A1261" t="s">
        <v>1325</v>
      </c>
    </row>
    <row r="1262" spans="1:1" x14ac:dyDescent="0.25">
      <c r="A1262" t="s">
        <v>1326</v>
      </c>
    </row>
    <row r="1263" spans="1:1" x14ac:dyDescent="0.25">
      <c r="A1263" t="s">
        <v>1327</v>
      </c>
    </row>
    <row r="1264" spans="1:1" x14ac:dyDescent="0.25">
      <c r="A1264" t="s">
        <v>1328</v>
      </c>
    </row>
    <row r="1265" spans="1:1" x14ac:dyDescent="0.25">
      <c r="A1265" t="s">
        <v>1329</v>
      </c>
    </row>
    <row r="1266" spans="1:1" x14ac:dyDescent="0.25">
      <c r="A1266" t="s">
        <v>1330</v>
      </c>
    </row>
    <row r="1267" spans="1:1" x14ac:dyDescent="0.25">
      <c r="A1267" t="s">
        <v>1331</v>
      </c>
    </row>
    <row r="1268" spans="1:1" x14ac:dyDescent="0.25">
      <c r="A1268" t="s">
        <v>1332</v>
      </c>
    </row>
    <row r="1269" spans="1:1" x14ac:dyDescent="0.25">
      <c r="A1269" t="s">
        <v>1333</v>
      </c>
    </row>
    <row r="1270" spans="1:1" x14ac:dyDescent="0.25">
      <c r="A1270" t="s">
        <v>1334</v>
      </c>
    </row>
    <row r="1271" spans="1:1" x14ac:dyDescent="0.25">
      <c r="A1271" t="s">
        <v>1335</v>
      </c>
    </row>
    <row r="1272" spans="1:1" x14ac:dyDescent="0.25">
      <c r="A1272" t="s">
        <v>1336</v>
      </c>
    </row>
    <row r="1273" spans="1:1" x14ac:dyDescent="0.25">
      <c r="A1273" t="s">
        <v>1337</v>
      </c>
    </row>
    <row r="1274" spans="1:1" x14ac:dyDescent="0.25">
      <c r="A1274" t="s">
        <v>1338</v>
      </c>
    </row>
    <row r="1275" spans="1:1" x14ac:dyDescent="0.25">
      <c r="A1275" t="s">
        <v>1339</v>
      </c>
    </row>
    <row r="1276" spans="1:1" x14ac:dyDescent="0.25">
      <c r="A1276" t="s">
        <v>1340</v>
      </c>
    </row>
    <row r="1277" spans="1:1" x14ac:dyDescent="0.25">
      <c r="A1277" t="s">
        <v>1341</v>
      </c>
    </row>
    <row r="1278" spans="1:1" x14ac:dyDescent="0.25">
      <c r="A1278" t="s">
        <v>1342</v>
      </c>
    </row>
    <row r="1279" spans="1:1" x14ac:dyDescent="0.25">
      <c r="A1279" t="s">
        <v>1343</v>
      </c>
    </row>
    <row r="1280" spans="1:1" x14ac:dyDescent="0.25">
      <c r="A1280" t="s">
        <v>1344</v>
      </c>
    </row>
    <row r="1281" spans="1:1" x14ac:dyDescent="0.25">
      <c r="A1281" t="s">
        <v>1345</v>
      </c>
    </row>
    <row r="1282" spans="1:1" x14ac:dyDescent="0.25">
      <c r="A1282" t="s">
        <v>1346</v>
      </c>
    </row>
    <row r="1283" spans="1:1" x14ac:dyDescent="0.25">
      <c r="A1283" t="s">
        <v>1347</v>
      </c>
    </row>
    <row r="1284" spans="1:1" x14ac:dyDescent="0.25">
      <c r="A1284" t="s">
        <v>1348</v>
      </c>
    </row>
    <row r="1285" spans="1:1" x14ac:dyDescent="0.25">
      <c r="A1285" t="s">
        <v>1349</v>
      </c>
    </row>
    <row r="1286" spans="1:1" x14ac:dyDescent="0.25">
      <c r="A1286" t="s">
        <v>1350</v>
      </c>
    </row>
    <row r="1287" spans="1:1" x14ac:dyDescent="0.25">
      <c r="A1287" t="s">
        <v>1351</v>
      </c>
    </row>
    <row r="1288" spans="1:1" x14ac:dyDescent="0.25">
      <c r="A1288" t="s">
        <v>1352</v>
      </c>
    </row>
    <row r="1289" spans="1:1" x14ac:dyDescent="0.25">
      <c r="A1289" t="s">
        <v>1353</v>
      </c>
    </row>
    <row r="1290" spans="1:1" x14ac:dyDescent="0.25">
      <c r="A1290" t="s">
        <v>1354</v>
      </c>
    </row>
    <row r="1291" spans="1:1" x14ac:dyDescent="0.25">
      <c r="A1291" t="s">
        <v>1355</v>
      </c>
    </row>
    <row r="1292" spans="1:1" x14ac:dyDescent="0.25">
      <c r="A1292" t="s">
        <v>1356</v>
      </c>
    </row>
    <row r="1293" spans="1:1" x14ac:dyDescent="0.25">
      <c r="A1293" t="s">
        <v>1357</v>
      </c>
    </row>
    <row r="1294" spans="1:1" x14ac:dyDescent="0.25">
      <c r="A1294" t="s">
        <v>1358</v>
      </c>
    </row>
    <row r="1295" spans="1:1" x14ac:dyDescent="0.25">
      <c r="A1295" t="s">
        <v>1359</v>
      </c>
    </row>
    <row r="1296" spans="1:1" x14ac:dyDescent="0.25">
      <c r="A1296" t="s">
        <v>1360</v>
      </c>
    </row>
    <row r="1297" spans="1:1" x14ac:dyDescent="0.25">
      <c r="A1297" t="s">
        <v>1361</v>
      </c>
    </row>
    <row r="1298" spans="1:1" x14ac:dyDescent="0.25">
      <c r="A1298" t="s">
        <v>1362</v>
      </c>
    </row>
    <row r="1299" spans="1:1" x14ac:dyDescent="0.25">
      <c r="A1299" t="s">
        <v>1363</v>
      </c>
    </row>
    <row r="1300" spans="1:1" x14ac:dyDescent="0.25">
      <c r="A1300" t="s">
        <v>1364</v>
      </c>
    </row>
    <row r="1301" spans="1:1" x14ac:dyDescent="0.25">
      <c r="A1301" t="s">
        <v>1365</v>
      </c>
    </row>
    <row r="1302" spans="1:1" x14ac:dyDescent="0.25">
      <c r="A1302" t="s">
        <v>1366</v>
      </c>
    </row>
    <row r="1303" spans="1:1" x14ac:dyDescent="0.25">
      <c r="A1303" t="s">
        <v>1367</v>
      </c>
    </row>
    <row r="1304" spans="1:1" x14ac:dyDescent="0.25">
      <c r="A1304" t="s">
        <v>1368</v>
      </c>
    </row>
    <row r="1305" spans="1:1" x14ac:dyDescent="0.25">
      <c r="A1305" t="s">
        <v>1369</v>
      </c>
    </row>
    <row r="1306" spans="1:1" x14ac:dyDescent="0.25">
      <c r="A1306" t="s">
        <v>1370</v>
      </c>
    </row>
    <row r="1307" spans="1:1" x14ac:dyDescent="0.25">
      <c r="A1307" t="s">
        <v>1371</v>
      </c>
    </row>
    <row r="1308" spans="1:1" x14ac:dyDescent="0.25">
      <c r="A1308" t="s">
        <v>1372</v>
      </c>
    </row>
    <row r="1309" spans="1:1" x14ac:dyDescent="0.25">
      <c r="A1309" t="s">
        <v>1373</v>
      </c>
    </row>
    <row r="1310" spans="1:1" x14ac:dyDescent="0.25">
      <c r="A1310" t="s">
        <v>1374</v>
      </c>
    </row>
    <row r="1311" spans="1:1" x14ac:dyDescent="0.25">
      <c r="A1311" t="s">
        <v>1375</v>
      </c>
    </row>
    <row r="1312" spans="1:1" x14ac:dyDescent="0.25">
      <c r="A1312" t="s">
        <v>1376</v>
      </c>
    </row>
    <row r="1313" spans="1:1" x14ac:dyDescent="0.25">
      <c r="A1313" t="s">
        <v>1377</v>
      </c>
    </row>
    <row r="1314" spans="1:1" x14ac:dyDescent="0.25">
      <c r="A1314" t="s">
        <v>1378</v>
      </c>
    </row>
    <row r="1315" spans="1:1" x14ac:dyDescent="0.25">
      <c r="A1315" t="s">
        <v>1379</v>
      </c>
    </row>
    <row r="1316" spans="1:1" x14ac:dyDescent="0.25">
      <c r="A1316" t="s">
        <v>1380</v>
      </c>
    </row>
    <row r="1317" spans="1:1" x14ac:dyDescent="0.25">
      <c r="A1317" t="s">
        <v>1381</v>
      </c>
    </row>
    <row r="1318" spans="1:1" x14ac:dyDescent="0.25">
      <c r="A1318" t="s">
        <v>1382</v>
      </c>
    </row>
    <row r="1319" spans="1:1" x14ac:dyDescent="0.25">
      <c r="A1319" t="s">
        <v>1383</v>
      </c>
    </row>
    <row r="1320" spans="1:1" x14ac:dyDescent="0.25">
      <c r="A1320" t="s">
        <v>1384</v>
      </c>
    </row>
    <row r="1321" spans="1:1" x14ac:dyDescent="0.25">
      <c r="A1321" t="s">
        <v>1385</v>
      </c>
    </row>
    <row r="1322" spans="1:1" x14ac:dyDescent="0.25">
      <c r="A1322" t="s">
        <v>1386</v>
      </c>
    </row>
    <row r="1323" spans="1:1" x14ac:dyDescent="0.25">
      <c r="A1323" t="s">
        <v>1387</v>
      </c>
    </row>
    <row r="1324" spans="1:1" x14ac:dyDescent="0.25">
      <c r="A1324" t="s">
        <v>1388</v>
      </c>
    </row>
    <row r="1325" spans="1:1" x14ac:dyDescent="0.25">
      <c r="A1325" t="s">
        <v>1389</v>
      </c>
    </row>
    <row r="1326" spans="1:1" x14ac:dyDescent="0.25">
      <c r="A1326" t="s">
        <v>1390</v>
      </c>
    </row>
    <row r="1327" spans="1:1" x14ac:dyDescent="0.25">
      <c r="A1327" t="s">
        <v>1391</v>
      </c>
    </row>
    <row r="1328" spans="1:1" x14ac:dyDescent="0.25">
      <c r="A1328" t="s">
        <v>1392</v>
      </c>
    </row>
    <row r="1329" spans="1:1" x14ac:dyDescent="0.25">
      <c r="A1329" t="s">
        <v>1393</v>
      </c>
    </row>
    <row r="1330" spans="1:1" x14ac:dyDescent="0.25">
      <c r="A1330" t="s">
        <v>1394</v>
      </c>
    </row>
    <row r="1331" spans="1:1" x14ac:dyDescent="0.25">
      <c r="A1331" t="s">
        <v>1395</v>
      </c>
    </row>
    <row r="1332" spans="1:1" x14ac:dyDescent="0.25">
      <c r="A1332" t="s">
        <v>1396</v>
      </c>
    </row>
    <row r="1333" spans="1:1" x14ac:dyDescent="0.25">
      <c r="A1333" t="s">
        <v>1397</v>
      </c>
    </row>
    <row r="1334" spans="1:1" x14ac:dyDescent="0.25">
      <c r="A1334" t="s">
        <v>1398</v>
      </c>
    </row>
    <row r="1335" spans="1:1" x14ac:dyDescent="0.25">
      <c r="A1335" t="s">
        <v>1399</v>
      </c>
    </row>
    <row r="1336" spans="1:1" x14ac:dyDescent="0.25">
      <c r="A1336" t="s">
        <v>1400</v>
      </c>
    </row>
    <row r="1337" spans="1:1" x14ac:dyDescent="0.25">
      <c r="A1337" t="s">
        <v>1401</v>
      </c>
    </row>
    <row r="1338" spans="1:1" x14ac:dyDescent="0.25">
      <c r="A1338" t="s">
        <v>1402</v>
      </c>
    </row>
    <row r="1339" spans="1:1" x14ac:dyDescent="0.25">
      <c r="A1339" t="s">
        <v>1403</v>
      </c>
    </row>
    <row r="1340" spans="1:1" x14ac:dyDescent="0.25">
      <c r="A1340" t="s">
        <v>1404</v>
      </c>
    </row>
    <row r="1341" spans="1:1" x14ac:dyDescent="0.25">
      <c r="A1341" t="s">
        <v>1405</v>
      </c>
    </row>
    <row r="1342" spans="1:1" x14ac:dyDescent="0.25">
      <c r="A1342" t="s">
        <v>1406</v>
      </c>
    </row>
    <row r="1343" spans="1:1" x14ac:dyDescent="0.25">
      <c r="A1343" t="s">
        <v>1407</v>
      </c>
    </row>
    <row r="1344" spans="1:1" x14ac:dyDescent="0.25">
      <c r="A1344" t="s">
        <v>1408</v>
      </c>
    </row>
    <row r="1345" spans="1:1" x14ac:dyDescent="0.25">
      <c r="A1345" t="s">
        <v>1409</v>
      </c>
    </row>
    <row r="1346" spans="1:1" x14ac:dyDescent="0.25">
      <c r="A1346" t="s">
        <v>1410</v>
      </c>
    </row>
    <row r="1347" spans="1:1" x14ac:dyDescent="0.25">
      <c r="A1347" t="s">
        <v>1411</v>
      </c>
    </row>
    <row r="1348" spans="1:1" x14ac:dyDescent="0.25">
      <c r="A1348" t="s">
        <v>1412</v>
      </c>
    </row>
    <row r="1349" spans="1:1" x14ac:dyDescent="0.25">
      <c r="A1349" t="s">
        <v>1413</v>
      </c>
    </row>
    <row r="1350" spans="1:1" x14ac:dyDescent="0.25">
      <c r="A1350" t="s">
        <v>1414</v>
      </c>
    </row>
    <row r="1351" spans="1:1" x14ac:dyDescent="0.25">
      <c r="A1351" t="s">
        <v>1415</v>
      </c>
    </row>
    <row r="1352" spans="1:1" x14ac:dyDescent="0.25">
      <c r="A1352" t="s">
        <v>1416</v>
      </c>
    </row>
    <row r="1353" spans="1:1" x14ac:dyDescent="0.25">
      <c r="A1353" t="s">
        <v>1417</v>
      </c>
    </row>
    <row r="1354" spans="1:1" x14ac:dyDescent="0.25">
      <c r="A1354" t="s">
        <v>1418</v>
      </c>
    </row>
    <row r="1355" spans="1:1" x14ac:dyDescent="0.25">
      <c r="A1355" t="s">
        <v>1419</v>
      </c>
    </row>
    <row r="1356" spans="1:1" x14ac:dyDescent="0.25">
      <c r="A1356" t="s">
        <v>1420</v>
      </c>
    </row>
    <row r="1357" spans="1:1" x14ac:dyDescent="0.25">
      <c r="A1357" t="s">
        <v>1421</v>
      </c>
    </row>
    <row r="1358" spans="1:1" x14ac:dyDescent="0.25">
      <c r="A1358" t="s">
        <v>1422</v>
      </c>
    </row>
    <row r="1359" spans="1:1" x14ac:dyDescent="0.25">
      <c r="A1359" t="s">
        <v>1423</v>
      </c>
    </row>
    <row r="1360" spans="1:1" x14ac:dyDescent="0.25">
      <c r="A1360" t="s">
        <v>1424</v>
      </c>
    </row>
    <row r="1361" spans="1:1" x14ac:dyDescent="0.25">
      <c r="A1361" t="s">
        <v>1425</v>
      </c>
    </row>
    <row r="1362" spans="1:1" x14ac:dyDescent="0.25">
      <c r="A1362" t="s">
        <v>1426</v>
      </c>
    </row>
    <row r="1363" spans="1:1" x14ac:dyDescent="0.25">
      <c r="A1363" t="s">
        <v>1427</v>
      </c>
    </row>
    <row r="1364" spans="1:1" x14ac:dyDescent="0.25">
      <c r="A1364" t="s">
        <v>1428</v>
      </c>
    </row>
    <row r="1365" spans="1:1" x14ac:dyDescent="0.25">
      <c r="A1365" t="s">
        <v>1429</v>
      </c>
    </row>
    <row r="1366" spans="1:1" x14ac:dyDescent="0.25">
      <c r="A1366" t="s">
        <v>1430</v>
      </c>
    </row>
    <row r="1367" spans="1:1" x14ac:dyDescent="0.25">
      <c r="A1367" t="s">
        <v>1431</v>
      </c>
    </row>
    <row r="1368" spans="1:1" x14ac:dyDescent="0.25">
      <c r="A1368" t="s">
        <v>1432</v>
      </c>
    </row>
    <row r="1369" spans="1:1" x14ac:dyDescent="0.25">
      <c r="A1369" t="s">
        <v>1433</v>
      </c>
    </row>
    <row r="1370" spans="1:1" x14ac:dyDescent="0.25">
      <c r="A1370" t="s">
        <v>1434</v>
      </c>
    </row>
    <row r="1371" spans="1:1" x14ac:dyDescent="0.25">
      <c r="A1371" t="s">
        <v>1435</v>
      </c>
    </row>
    <row r="1372" spans="1:1" x14ac:dyDescent="0.25">
      <c r="A1372" t="s">
        <v>1436</v>
      </c>
    </row>
    <row r="1373" spans="1:1" x14ac:dyDescent="0.25">
      <c r="A1373" t="s">
        <v>1437</v>
      </c>
    </row>
    <row r="1374" spans="1:1" x14ac:dyDescent="0.25">
      <c r="A1374" t="s">
        <v>1438</v>
      </c>
    </row>
    <row r="1375" spans="1:1" x14ac:dyDescent="0.25">
      <c r="A1375" t="s">
        <v>1439</v>
      </c>
    </row>
    <row r="1376" spans="1:1" x14ac:dyDescent="0.25">
      <c r="A1376" t="s">
        <v>1440</v>
      </c>
    </row>
    <row r="1377" spans="1:1" x14ac:dyDescent="0.25">
      <c r="A1377" t="s">
        <v>1441</v>
      </c>
    </row>
    <row r="1378" spans="1:1" x14ac:dyDescent="0.25">
      <c r="A1378" t="s">
        <v>1442</v>
      </c>
    </row>
    <row r="1379" spans="1:1" x14ac:dyDescent="0.25">
      <c r="A1379" t="s">
        <v>1443</v>
      </c>
    </row>
    <row r="1380" spans="1:1" x14ac:dyDescent="0.25">
      <c r="A1380" t="s">
        <v>1444</v>
      </c>
    </row>
    <row r="1381" spans="1:1" x14ac:dyDescent="0.25">
      <c r="A1381" t="s">
        <v>1445</v>
      </c>
    </row>
    <row r="1382" spans="1:1" x14ac:dyDescent="0.25">
      <c r="A1382" t="s">
        <v>1446</v>
      </c>
    </row>
    <row r="1383" spans="1:1" x14ac:dyDescent="0.25">
      <c r="A1383" t="s">
        <v>1447</v>
      </c>
    </row>
    <row r="1384" spans="1:1" x14ac:dyDescent="0.25">
      <c r="A1384" t="s">
        <v>1448</v>
      </c>
    </row>
    <row r="1385" spans="1:1" x14ac:dyDescent="0.25">
      <c r="A1385" t="s">
        <v>1449</v>
      </c>
    </row>
    <row r="1386" spans="1:1" x14ac:dyDescent="0.25">
      <c r="A1386" t="s">
        <v>1450</v>
      </c>
    </row>
    <row r="1387" spans="1:1" x14ac:dyDescent="0.25">
      <c r="A1387" t="s">
        <v>1451</v>
      </c>
    </row>
    <row r="1388" spans="1:1" x14ac:dyDescent="0.25">
      <c r="A1388" t="s">
        <v>1452</v>
      </c>
    </row>
    <row r="1389" spans="1:1" x14ac:dyDescent="0.25">
      <c r="A1389" t="s">
        <v>1453</v>
      </c>
    </row>
    <row r="1390" spans="1:1" x14ac:dyDescent="0.25">
      <c r="A1390" t="s">
        <v>1454</v>
      </c>
    </row>
    <row r="1391" spans="1:1" x14ac:dyDescent="0.25">
      <c r="A1391" t="s">
        <v>1455</v>
      </c>
    </row>
    <row r="1392" spans="1:1" x14ac:dyDescent="0.25">
      <c r="A1392" t="s">
        <v>1456</v>
      </c>
    </row>
    <row r="1393" spans="1:1" x14ac:dyDescent="0.25">
      <c r="A1393" t="s">
        <v>1457</v>
      </c>
    </row>
    <row r="1394" spans="1:1" x14ac:dyDescent="0.25">
      <c r="A1394" t="s">
        <v>1458</v>
      </c>
    </row>
    <row r="1395" spans="1:1" x14ac:dyDescent="0.25">
      <c r="A1395" t="s">
        <v>1459</v>
      </c>
    </row>
    <row r="1396" spans="1:1" x14ac:dyDescent="0.25">
      <c r="A1396" t="s">
        <v>1460</v>
      </c>
    </row>
    <row r="1397" spans="1:1" x14ac:dyDescent="0.25">
      <c r="A1397" t="s">
        <v>1461</v>
      </c>
    </row>
    <row r="1398" spans="1:1" x14ac:dyDescent="0.25">
      <c r="A1398" t="s">
        <v>1462</v>
      </c>
    </row>
    <row r="1399" spans="1:1" x14ac:dyDescent="0.25">
      <c r="A1399" t="s">
        <v>1463</v>
      </c>
    </row>
    <row r="1400" spans="1:1" x14ac:dyDescent="0.25">
      <c r="A1400" t="s">
        <v>1464</v>
      </c>
    </row>
    <row r="1401" spans="1:1" x14ac:dyDescent="0.25">
      <c r="A1401" t="s">
        <v>1465</v>
      </c>
    </row>
    <row r="1402" spans="1:1" x14ac:dyDescent="0.25">
      <c r="A1402" t="s">
        <v>1466</v>
      </c>
    </row>
    <row r="1403" spans="1:1" x14ac:dyDescent="0.25">
      <c r="A1403" t="s">
        <v>1467</v>
      </c>
    </row>
    <row r="1404" spans="1:1" x14ac:dyDescent="0.25">
      <c r="A1404" t="s">
        <v>1468</v>
      </c>
    </row>
    <row r="1405" spans="1:1" x14ac:dyDescent="0.25">
      <c r="A1405" t="s">
        <v>1469</v>
      </c>
    </row>
    <row r="1406" spans="1:1" x14ac:dyDescent="0.25">
      <c r="A1406" t="s">
        <v>1470</v>
      </c>
    </row>
    <row r="1407" spans="1:1" x14ac:dyDescent="0.25">
      <c r="A1407" t="s">
        <v>1471</v>
      </c>
    </row>
    <row r="1408" spans="1:1" x14ac:dyDescent="0.25">
      <c r="A1408" t="s">
        <v>1472</v>
      </c>
    </row>
    <row r="1409" spans="1:1" x14ac:dyDescent="0.25">
      <c r="A1409" t="s">
        <v>1473</v>
      </c>
    </row>
    <row r="1410" spans="1:1" x14ac:dyDescent="0.25">
      <c r="A1410" t="s">
        <v>1474</v>
      </c>
    </row>
    <row r="1411" spans="1:1" x14ac:dyDescent="0.25">
      <c r="A1411" t="s">
        <v>1475</v>
      </c>
    </row>
    <row r="1412" spans="1:1" x14ac:dyDescent="0.25">
      <c r="A1412" t="s">
        <v>1476</v>
      </c>
    </row>
    <row r="1413" spans="1:1" x14ac:dyDescent="0.25">
      <c r="A1413" t="s">
        <v>1477</v>
      </c>
    </row>
    <row r="1414" spans="1:1" x14ac:dyDescent="0.25">
      <c r="A1414" t="s">
        <v>1478</v>
      </c>
    </row>
    <row r="1415" spans="1:1" x14ac:dyDescent="0.25">
      <c r="A1415" t="s">
        <v>1479</v>
      </c>
    </row>
    <row r="1416" spans="1:1" x14ac:dyDescent="0.25">
      <c r="A1416" t="s">
        <v>1480</v>
      </c>
    </row>
    <row r="1417" spans="1:1" x14ac:dyDescent="0.25">
      <c r="A1417" t="s">
        <v>1481</v>
      </c>
    </row>
    <row r="1418" spans="1:1" x14ac:dyDescent="0.25">
      <c r="A1418" t="s">
        <v>1482</v>
      </c>
    </row>
    <row r="1419" spans="1:1" x14ac:dyDescent="0.25">
      <c r="A1419" t="s">
        <v>1483</v>
      </c>
    </row>
    <row r="1420" spans="1:1" x14ac:dyDescent="0.25">
      <c r="A1420" t="s">
        <v>1484</v>
      </c>
    </row>
    <row r="1421" spans="1:1" x14ac:dyDescent="0.25">
      <c r="A1421" t="s">
        <v>1485</v>
      </c>
    </row>
    <row r="1422" spans="1:1" x14ac:dyDescent="0.25">
      <c r="A1422" t="s">
        <v>1486</v>
      </c>
    </row>
    <row r="1423" spans="1:1" x14ac:dyDescent="0.25">
      <c r="A1423" t="s">
        <v>1487</v>
      </c>
    </row>
    <row r="1424" spans="1:1" x14ac:dyDescent="0.25">
      <c r="A1424" t="s">
        <v>1488</v>
      </c>
    </row>
    <row r="1425" spans="1:1" x14ac:dyDescent="0.25">
      <c r="A1425" t="s">
        <v>1489</v>
      </c>
    </row>
    <row r="1426" spans="1:1" x14ac:dyDescent="0.25">
      <c r="A1426" t="s">
        <v>1490</v>
      </c>
    </row>
    <row r="1427" spans="1:1" x14ac:dyDescent="0.25">
      <c r="A1427" t="s">
        <v>1491</v>
      </c>
    </row>
    <row r="1428" spans="1:1" x14ac:dyDescent="0.25">
      <c r="A1428" t="s">
        <v>1492</v>
      </c>
    </row>
    <row r="1429" spans="1:1" x14ac:dyDescent="0.25">
      <c r="A1429" t="s">
        <v>1493</v>
      </c>
    </row>
    <row r="1430" spans="1:1" x14ac:dyDescent="0.25">
      <c r="A1430" t="s">
        <v>1494</v>
      </c>
    </row>
    <row r="1431" spans="1:1" x14ac:dyDescent="0.25">
      <c r="A1431" t="s">
        <v>1495</v>
      </c>
    </row>
    <row r="1432" spans="1:1" x14ac:dyDescent="0.25">
      <c r="A1432" t="s">
        <v>1496</v>
      </c>
    </row>
    <row r="1433" spans="1:1" x14ac:dyDescent="0.25">
      <c r="A1433" t="s">
        <v>1497</v>
      </c>
    </row>
    <row r="1434" spans="1:1" x14ac:dyDescent="0.25">
      <c r="A1434" t="s">
        <v>1498</v>
      </c>
    </row>
    <row r="1435" spans="1:1" x14ac:dyDescent="0.25">
      <c r="A1435" t="s">
        <v>1499</v>
      </c>
    </row>
    <row r="1436" spans="1:1" x14ac:dyDescent="0.25">
      <c r="A1436" t="s">
        <v>1500</v>
      </c>
    </row>
    <row r="1437" spans="1:1" x14ac:dyDescent="0.25">
      <c r="A1437" t="s">
        <v>1501</v>
      </c>
    </row>
    <row r="1438" spans="1:1" x14ac:dyDescent="0.25">
      <c r="A1438" t="s">
        <v>1502</v>
      </c>
    </row>
    <row r="1439" spans="1:1" x14ac:dyDescent="0.25">
      <c r="A1439" t="s">
        <v>1503</v>
      </c>
    </row>
    <row r="1440" spans="1:1" x14ac:dyDescent="0.25">
      <c r="A1440" t="s">
        <v>1504</v>
      </c>
    </row>
    <row r="1441" spans="1:1" x14ac:dyDescent="0.25">
      <c r="A1441" t="s">
        <v>1505</v>
      </c>
    </row>
    <row r="1442" spans="1:1" x14ac:dyDescent="0.25">
      <c r="A1442" t="s">
        <v>1506</v>
      </c>
    </row>
    <row r="1443" spans="1:1" x14ac:dyDescent="0.25">
      <c r="A1443" t="s">
        <v>1507</v>
      </c>
    </row>
    <row r="1444" spans="1:1" x14ac:dyDescent="0.25">
      <c r="A1444" t="s">
        <v>1508</v>
      </c>
    </row>
    <row r="1445" spans="1:1" x14ac:dyDescent="0.25">
      <c r="A1445" t="s">
        <v>1509</v>
      </c>
    </row>
    <row r="1446" spans="1:1" x14ac:dyDescent="0.25">
      <c r="A1446" t="s">
        <v>1510</v>
      </c>
    </row>
    <row r="1447" spans="1:1" x14ac:dyDescent="0.25">
      <c r="A1447" t="s">
        <v>1511</v>
      </c>
    </row>
    <row r="1448" spans="1:1" x14ac:dyDescent="0.25">
      <c r="A1448" t="s">
        <v>1512</v>
      </c>
    </row>
    <row r="1449" spans="1:1" x14ac:dyDescent="0.25">
      <c r="A1449" t="s">
        <v>1513</v>
      </c>
    </row>
    <row r="1450" spans="1:1" x14ac:dyDescent="0.25">
      <c r="A1450" t="s">
        <v>1514</v>
      </c>
    </row>
    <row r="1451" spans="1:1" x14ac:dyDescent="0.25">
      <c r="A1451" t="s">
        <v>1515</v>
      </c>
    </row>
    <row r="1452" spans="1:1" x14ac:dyDescent="0.25">
      <c r="A1452" t="s">
        <v>1516</v>
      </c>
    </row>
    <row r="1453" spans="1:1" x14ac:dyDescent="0.25">
      <c r="A1453" t="s">
        <v>1517</v>
      </c>
    </row>
    <row r="1454" spans="1:1" x14ac:dyDescent="0.25">
      <c r="A1454" t="s">
        <v>1518</v>
      </c>
    </row>
    <row r="1455" spans="1:1" x14ac:dyDescent="0.25">
      <c r="A1455" t="s">
        <v>1519</v>
      </c>
    </row>
    <row r="1456" spans="1:1" x14ac:dyDescent="0.25">
      <c r="A1456" t="s">
        <v>1520</v>
      </c>
    </row>
    <row r="1457" spans="1:1" x14ac:dyDescent="0.25">
      <c r="A1457" t="s">
        <v>1521</v>
      </c>
    </row>
    <row r="1458" spans="1:1" x14ac:dyDescent="0.25">
      <c r="A1458" t="s">
        <v>1522</v>
      </c>
    </row>
    <row r="1459" spans="1:1" x14ac:dyDescent="0.25">
      <c r="A1459" t="s">
        <v>1523</v>
      </c>
    </row>
    <row r="1460" spans="1:1" x14ac:dyDescent="0.25">
      <c r="A1460" t="s">
        <v>1524</v>
      </c>
    </row>
    <row r="1461" spans="1:1" x14ac:dyDescent="0.25">
      <c r="A1461" t="s">
        <v>1525</v>
      </c>
    </row>
    <row r="1462" spans="1:1" x14ac:dyDescent="0.25">
      <c r="A1462" t="s">
        <v>1526</v>
      </c>
    </row>
    <row r="1463" spans="1:1" x14ac:dyDescent="0.25">
      <c r="A1463" t="s">
        <v>1527</v>
      </c>
    </row>
    <row r="1464" spans="1:1" x14ac:dyDescent="0.25">
      <c r="A1464" t="s">
        <v>1528</v>
      </c>
    </row>
    <row r="1465" spans="1:1" x14ac:dyDescent="0.25">
      <c r="A1465" t="s">
        <v>1529</v>
      </c>
    </row>
    <row r="1466" spans="1:1" x14ac:dyDescent="0.25">
      <c r="A1466" t="s">
        <v>1530</v>
      </c>
    </row>
    <row r="1467" spans="1:1" x14ac:dyDescent="0.25">
      <c r="A1467" t="s">
        <v>1531</v>
      </c>
    </row>
    <row r="1468" spans="1:1" x14ac:dyDescent="0.25">
      <c r="A1468" t="s">
        <v>1532</v>
      </c>
    </row>
    <row r="1469" spans="1:1" x14ac:dyDescent="0.25">
      <c r="A1469" t="s">
        <v>1533</v>
      </c>
    </row>
    <row r="1470" spans="1:1" x14ac:dyDescent="0.25">
      <c r="A1470" t="s">
        <v>1534</v>
      </c>
    </row>
    <row r="1471" spans="1:1" x14ac:dyDescent="0.25">
      <c r="A1471" t="s">
        <v>1535</v>
      </c>
    </row>
    <row r="1472" spans="1:1" x14ac:dyDescent="0.25">
      <c r="A1472" t="s">
        <v>1536</v>
      </c>
    </row>
    <row r="1473" spans="1:1" x14ac:dyDescent="0.25">
      <c r="A1473" t="s">
        <v>1537</v>
      </c>
    </row>
    <row r="1474" spans="1:1" x14ac:dyDescent="0.25">
      <c r="A1474" t="s">
        <v>1538</v>
      </c>
    </row>
    <row r="1475" spans="1:1" x14ac:dyDescent="0.25">
      <c r="A1475" t="s">
        <v>1539</v>
      </c>
    </row>
    <row r="1476" spans="1:1" x14ac:dyDescent="0.25">
      <c r="A1476" t="s">
        <v>1540</v>
      </c>
    </row>
    <row r="1477" spans="1:1" x14ac:dyDescent="0.25">
      <c r="A1477" t="s">
        <v>1541</v>
      </c>
    </row>
    <row r="1478" spans="1:1" x14ac:dyDescent="0.25">
      <c r="A1478" t="s">
        <v>1542</v>
      </c>
    </row>
    <row r="1479" spans="1:1" x14ac:dyDescent="0.25">
      <c r="A1479" t="s">
        <v>1543</v>
      </c>
    </row>
    <row r="1480" spans="1:1" x14ac:dyDescent="0.25">
      <c r="A1480" t="s">
        <v>1544</v>
      </c>
    </row>
    <row r="1481" spans="1:1" x14ac:dyDescent="0.25">
      <c r="A1481" t="s">
        <v>1545</v>
      </c>
    </row>
    <row r="1482" spans="1:1" x14ac:dyDescent="0.25">
      <c r="A1482" t="s">
        <v>1546</v>
      </c>
    </row>
    <row r="1483" spans="1:1" x14ac:dyDescent="0.25">
      <c r="A1483" t="s">
        <v>1547</v>
      </c>
    </row>
    <row r="1484" spans="1:1" x14ac:dyDescent="0.25">
      <c r="A1484" t="s">
        <v>1548</v>
      </c>
    </row>
    <row r="1485" spans="1:1" x14ac:dyDescent="0.25">
      <c r="A1485" t="s">
        <v>1549</v>
      </c>
    </row>
    <row r="1486" spans="1:1" x14ac:dyDescent="0.25">
      <c r="A1486" t="s">
        <v>1550</v>
      </c>
    </row>
    <row r="1487" spans="1:1" x14ac:dyDescent="0.25">
      <c r="A1487" t="s">
        <v>1551</v>
      </c>
    </row>
    <row r="1488" spans="1:1" x14ac:dyDescent="0.25">
      <c r="A1488" t="s">
        <v>1552</v>
      </c>
    </row>
    <row r="1489" spans="1:1" x14ac:dyDescent="0.25">
      <c r="A1489" t="s">
        <v>1553</v>
      </c>
    </row>
    <row r="1490" spans="1:1" x14ac:dyDescent="0.25">
      <c r="A1490" t="s">
        <v>1554</v>
      </c>
    </row>
    <row r="1491" spans="1:1" x14ac:dyDescent="0.25">
      <c r="A1491" t="s">
        <v>1555</v>
      </c>
    </row>
    <row r="1492" spans="1:1" x14ac:dyDescent="0.25">
      <c r="A1492" t="s">
        <v>1556</v>
      </c>
    </row>
    <row r="1493" spans="1:1" x14ac:dyDescent="0.25">
      <c r="A1493" t="s">
        <v>1557</v>
      </c>
    </row>
    <row r="1494" spans="1:1" x14ac:dyDescent="0.25">
      <c r="A1494" t="s">
        <v>1558</v>
      </c>
    </row>
    <row r="1495" spans="1:1" x14ac:dyDescent="0.25">
      <c r="A1495" t="s">
        <v>1559</v>
      </c>
    </row>
    <row r="1496" spans="1:1" x14ac:dyDescent="0.25">
      <c r="A1496" t="s">
        <v>1560</v>
      </c>
    </row>
    <row r="1497" spans="1:1" x14ac:dyDescent="0.25">
      <c r="A1497" t="s">
        <v>1561</v>
      </c>
    </row>
    <row r="1498" spans="1:1" x14ac:dyDescent="0.25">
      <c r="A1498" t="s">
        <v>1562</v>
      </c>
    </row>
    <row r="1499" spans="1:1" x14ac:dyDescent="0.25">
      <c r="A1499" t="s">
        <v>1563</v>
      </c>
    </row>
    <row r="1500" spans="1:1" x14ac:dyDescent="0.25">
      <c r="A1500" t="s">
        <v>1564</v>
      </c>
    </row>
    <row r="1501" spans="1:1" x14ac:dyDescent="0.25">
      <c r="A1501" t="s">
        <v>1565</v>
      </c>
    </row>
    <row r="1502" spans="1:1" x14ac:dyDescent="0.25">
      <c r="A1502" t="s">
        <v>1566</v>
      </c>
    </row>
    <row r="1503" spans="1:1" x14ac:dyDescent="0.25">
      <c r="A1503" t="s">
        <v>1567</v>
      </c>
    </row>
    <row r="1504" spans="1:1" x14ac:dyDescent="0.25">
      <c r="A1504" t="s">
        <v>1568</v>
      </c>
    </row>
    <row r="1505" spans="1:1" x14ac:dyDescent="0.25">
      <c r="A1505" t="s">
        <v>1569</v>
      </c>
    </row>
    <row r="1506" spans="1:1" x14ac:dyDescent="0.25">
      <c r="A1506" t="s">
        <v>1570</v>
      </c>
    </row>
    <row r="1507" spans="1:1" x14ac:dyDescent="0.25">
      <c r="A1507" t="s">
        <v>1571</v>
      </c>
    </row>
    <row r="1508" spans="1:1" x14ac:dyDescent="0.25">
      <c r="A1508" t="s">
        <v>1572</v>
      </c>
    </row>
    <row r="1509" spans="1:1" x14ac:dyDescent="0.25">
      <c r="A1509" t="s">
        <v>1573</v>
      </c>
    </row>
    <row r="1510" spans="1:1" x14ac:dyDescent="0.25">
      <c r="A1510" t="s">
        <v>1574</v>
      </c>
    </row>
    <row r="1511" spans="1:1" x14ac:dyDescent="0.25">
      <c r="A1511" t="s">
        <v>1575</v>
      </c>
    </row>
    <row r="1512" spans="1:1" x14ac:dyDescent="0.25">
      <c r="A1512" t="s">
        <v>1576</v>
      </c>
    </row>
    <row r="1513" spans="1:1" x14ac:dyDescent="0.25">
      <c r="A1513" t="s">
        <v>1577</v>
      </c>
    </row>
    <row r="1514" spans="1:1" x14ac:dyDescent="0.25">
      <c r="A1514" t="s">
        <v>1578</v>
      </c>
    </row>
    <row r="1515" spans="1:1" x14ac:dyDescent="0.25">
      <c r="A1515" t="s">
        <v>1579</v>
      </c>
    </row>
    <row r="1516" spans="1:1" x14ac:dyDescent="0.25">
      <c r="A1516" t="s">
        <v>1580</v>
      </c>
    </row>
    <row r="1517" spans="1:1" x14ac:dyDescent="0.25">
      <c r="A1517" t="s">
        <v>1581</v>
      </c>
    </row>
    <row r="1518" spans="1:1" x14ac:dyDescent="0.25">
      <c r="A1518" t="s">
        <v>1582</v>
      </c>
    </row>
    <row r="1519" spans="1:1" x14ac:dyDescent="0.25">
      <c r="A1519" t="s">
        <v>1583</v>
      </c>
    </row>
    <row r="1520" spans="1:1" x14ac:dyDescent="0.25">
      <c r="A1520" t="s">
        <v>1584</v>
      </c>
    </row>
    <row r="1521" spans="1:1" x14ac:dyDescent="0.25">
      <c r="A1521" t="s">
        <v>1585</v>
      </c>
    </row>
    <row r="1522" spans="1:1" x14ac:dyDescent="0.25">
      <c r="A1522" t="s">
        <v>1586</v>
      </c>
    </row>
    <row r="1523" spans="1:1" x14ac:dyDescent="0.25">
      <c r="A1523" t="s">
        <v>1587</v>
      </c>
    </row>
    <row r="1524" spans="1:1" x14ac:dyDescent="0.25">
      <c r="A1524" t="s">
        <v>1588</v>
      </c>
    </row>
    <row r="1525" spans="1:1" x14ac:dyDescent="0.25">
      <c r="A1525" t="s">
        <v>1589</v>
      </c>
    </row>
    <row r="1526" spans="1:1" x14ac:dyDescent="0.25">
      <c r="A1526" t="s">
        <v>1590</v>
      </c>
    </row>
    <row r="1527" spans="1:1" x14ac:dyDescent="0.25">
      <c r="A1527" t="s">
        <v>1591</v>
      </c>
    </row>
    <row r="1528" spans="1:1" x14ac:dyDescent="0.25">
      <c r="A1528" t="s">
        <v>1592</v>
      </c>
    </row>
    <row r="1529" spans="1:1" x14ac:dyDescent="0.25">
      <c r="A1529" t="s">
        <v>1593</v>
      </c>
    </row>
    <row r="1530" spans="1:1" x14ac:dyDescent="0.25">
      <c r="A1530" t="s">
        <v>1594</v>
      </c>
    </row>
    <row r="1531" spans="1:1" x14ac:dyDescent="0.25">
      <c r="A1531" t="s">
        <v>1595</v>
      </c>
    </row>
    <row r="1532" spans="1:1" x14ac:dyDescent="0.25">
      <c r="A1532" t="s">
        <v>1596</v>
      </c>
    </row>
    <row r="1533" spans="1:1" x14ac:dyDescent="0.25">
      <c r="A1533" t="s">
        <v>1597</v>
      </c>
    </row>
    <row r="1534" spans="1:1" x14ac:dyDescent="0.25">
      <c r="A1534" t="s">
        <v>1598</v>
      </c>
    </row>
    <row r="1535" spans="1:1" x14ac:dyDescent="0.25">
      <c r="A1535" t="s">
        <v>1599</v>
      </c>
    </row>
    <row r="1536" spans="1:1" x14ac:dyDescent="0.25">
      <c r="A1536" t="s">
        <v>1600</v>
      </c>
    </row>
    <row r="1537" spans="1:1" x14ac:dyDescent="0.25">
      <c r="A1537" t="s">
        <v>1601</v>
      </c>
    </row>
    <row r="1538" spans="1:1" x14ac:dyDescent="0.25">
      <c r="A1538" t="s">
        <v>1602</v>
      </c>
    </row>
    <row r="1539" spans="1:1" x14ac:dyDescent="0.25">
      <c r="A1539" t="s">
        <v>1603</v>
      </c>
    </row>
    <row r="1540" spans="1:1" x14ac:dyDescent="0.25">
      <c r="A1540" t="s">
        <v>1604</v>
      </c>
    </row>
    <row r="1541" spans="1:1" x14ac:dyDescent="0.25">
      <c r="A1541" t="s">
        <v>1605</v>
      </c>
    </row>
    <row r="1542" spans="1:1" x14ac:dyDescent="0.25">
      <c r="A1542" t="s">
        <v>1606</v>
      </c>
    </row>
    <row r="1543" spans="1:1" x14ac:dyDescent="0.25">
      <c r="A1543" t="s">
        <v>1607</v>
      </c>
    </row>
    <row r="1544" spans="1:1" x14ac:dyDescent="0.25">
      <c r="A1544" t="s">
        <v>1608</v>
      </c>
    </row>
    <row r="1545" spans="1:1" x14ac:dyDescent="0.25">
      <c r="A1545" t="s">
        <v>1609</v>
      </c>
    </row>
    <row r="1546" spans="1:1" x14ac:dyDescent="0.25">
      <c r="A1546" t="s">
        <v>1610</v>
      </c>
    </row>
    <row r="1547" spans="1:1" x14ac:dyDescent="0.25">
      <c r="A1547" t="s">
        <v>1611</v>
      </c>
    </row>
    <row r="1548" spans="1:1" x14ac:dyDescent="0.25">
      <c r="A1548" t="s">
        <v>1612</v>
      </c>
    </row>
    <row r="1549" spans="1:1" x14ac:dyDescent="0.25">
      <c r="A1549" t="s">
        <v>1613</v>
      </c>
    </row>
    <row r="1550" spans="1:1" x14ac:dyDescent="0.25">
      <c r="A1550" t="s">
        <v>1614</v>
      </c>
    </row>
    <row r="1551" spans="1:1" x14ac:dyDescent="0.25">
      <c r="A1551" t="s">
        <v>1615</v>
      </c>
    </row>
    <row r="1552" spans="1:1" x14ac:dyDescent="0.25">
      <c r="A1552" t="s">
        <v>1616</v>
      </c>
    </row>
    <row r="1553" spans="1:1" x14ac:dyDescent="0.25">
      <c r="A1553" t="s">
        <v>1617</v>
      </c>
    </row>
    <row r="1554" spans="1:1" x14ac:dyDescent="0.25">
      <c r="A1554" t="s">
        <v>1618</v>
      </c>
    </row>
    <row r="1555" spans="1:1" x14ac:dyDescent="0.25">
      <c r="A1555" t="s">
        <v>1619</v>
      </c>
    </row>
    <row r="1556" spans="1:1" x14ac:dyDescent="0.25">
      <c r="A1556" t="s">
        <v>1620</v>
      </c>
    </row>
    <row r="1557" spans="1:1" x14ac:dyDescent="0.25">
      <c r="A1557" t="s">
        <v>1621</v>
      </c>
    </row>
    <row r="1558" spans="1:1" x14ac:dyDescent="0.25">
      <c r="A1558" t="s">
        <v>1622</v>
      </c>
    </row>
    <row r="1559" spans="1:1" x14ac:dyDescent="0.25">
      <c r="A1559" t="s">
        <v>1623</v>
      </c>
    </row>
    <row r="1560" spans="1:1" x14ac:dyDescent="0.25">
      <c r="A1560" t="s">
        <v>1624</v>
      </c>
    </row>
    <row r="1561" spans="1:1" x14ac:dyDescent="0.25">
      <c r="A1561" t="s">
        <v>1625</v>
      </c>
    </row>
    <row r="1562" spans="1:1" x14ac:dyDescent="0.25">
      <c r="A1562" t="s">
        <v>1626</v>
      </c>
    </row>
    <row r="1563" spans="1:1" x14ac:dyDescent="0.25">
      <c r="A1563" t="s">
        <v>1627</v>
      </c>
    </row>
    <row r="1564" spans="1:1" x14ac:dyDescent="0.25">
      <c r="A1564" t="s">
        <v>1628</v>
      </c>
    </row>
    <row r="1565" spans="1:1" x14ac:dyDescent="0.25">
      <c r="A1565" t="s">
        <v>1629</v>
      </c>
    </row>
    <row r="1566" spans="1:1" x14ac:dyDescent="0.25">
      <c r="A1566" t="s">
        <v>1630</v>
      </c>
    </row>
    <row r="1567" spans="1:1" x14ac:dyDescent="0.25">
      <c r="A1567" t="s">
        <v>1631</v>
      </c>
    </row>
    <row r="1568" spans="1:1" x14ac:dyDescent="0.25">
      <c r="A1568" t="s">
        <v>1632</v>
      </c>
    </row>
    <row r="1569" spans="1:1" x14ac:dyDescent="0.25">
      <c r="A1569" t="s">
        <v>1633</v>
      </c>
    </row>
    <row r="1570" spans="1:1" x14ac:dyDescent="0.25">
      <c r="A1570" t="s">
        <v>1634</v>
      </c>
    </row>
    <row r="1571" spans="1:1" x14ac:dyDescent="0.25">
      <c r="A1571" t="s">
        <v>1635</v>
      </c>
    </row>
    <row r="1572" spans="1:1" x14ac:dyDescent="0.25">
      <c r="A1572" t="s">
        <v>1636</v>
      </c>
    </row>
    <row r="1573" spans="1:1" x14ac:dyDescent="0.25">
      <c r="A1573" t="s">
        <v>1637</v>
      </c>
    </row>
    <row r="1574" spans="1:1" x14ac:dyDescent="0.25">
      <c r="A1574" t="s">
        <v>1638</v>
      </c>
    </row>
    <row r="1575" spans="1:1" x14ac:dyDescent="0.25">
      <c r="A1575" t="s">
        <v>1639</v>
      </c>
    </row>
    <row r="1576" spans="1:1" x14ac:dyDescent="0.25">
      <c r="A1576" t="s">
        <v>1640</v>
      </c>
    </row>
    <row r="1577" spans="1:1" x14ac:dyDescent="0.25">
      <c r="A1577" t="s">
        <v>1641</v>
      </c>
    </row>
    <row r="1578" spans="1:1" x14ac:dyDescent="0.25">
      <c r="A1578" t="s">
        <v>1642</v>
      </c>
    </row>
    <row r="1579" spans="1:1" x14ac:dyDescent="0.25">
      <c r="A1579" t="s">
        <v>1643</v>
      </c>
    </row>
    <row r="1580" spans="1:1" x14ac:dyDescent="0.25">
      <c r="A1580" t="s">
        <v>1644</v>
      </c>
    </row>
    <row r="1581" spans="1:1" x14ac:dyDescent="0.25">
      <c r="A1581" t="s">
        <v>1645</v>
      </c>
    </row>
    <row r="1582" spans="1:1" x14ac:dyDescent="0.25">
      <c r="A1582" t="s">
        <v>1646</v>
      </c>
    </row>
    <row r="1583" spans="1:1" x14ac:dyDescent="0.25">
      <c r="A1583" t="s">
        <v>1647</v>
      </c>
    </row>
    <row r="1584" spans="1:1" x14ac:dyDescent="0.25">
      <c r="A1584" t="s">
        <v>1648</v>
      </c>
    </row>
    <row r="1585" spans="1:1" x14ac:dyDescent="0.25">
      <c r="A1585" t="s">
        <v>1649</v>
      </c>
    </row>
    <row r="1586" spans="1:1" x14ac:dyDescent="0.25">
      <c r="A1586" t="s">
        <v>1650</v>
      </c>
    </row>
    <row r="1587" spans="1:1" x14ac:dyDescent="0.25">
      <c r="A1587" t="s">
        <v>1651</v>
      </c>
    </row>
    <row r="1588" spans="1:1" x14ac:dyDescent="0.25">
      <c r="A1588" t="s">
        <v>1652</v>
      </c>
    </row>
    <row r="1589" spans="1:1" x14ac:dyDescent="0.25">
      <c r="A1589" t="s">
        <v>1653</v>
      </c>
    </row>
    <row r="1590" spans="1:1" x14ac:dyDescent="0.25">
      <c r="A1590" t="s">
        <v>1654</v>
      </c>
    </row>
    <row r="1591" spans="1:1" x14ac:dyDescent="0.25">
      <c r="A1591" t="s">
        <v>1655</v>
      </c>
    </row>
    <row r="1592" spans="1:1" x14ac:dyDescent="0.25">
      <c r="A1592" t="s">
        <v>1656</v>
      </c>
    </row>
    <row r="1593" spans="1:1" x14ac:dyDescent="0.25">
      <c r="A1593" t="s">
        <v>1657</v>
      </c>
    </row>
    <row r="1594" spans="1:1" x14ac:dyDescent="0.25">
      <c r="A1594" t="s">
        <v>1658</v>
      </c>
    </row>
    <row r="1595" spans="1:1" x14ac:dyDescent="0.25">
      <c r="A1595" t="s">
        <v>1659</v>
      </c>
    </row>
    <row r="1596" spans="1:1" x14ac:dyDescent="0.25">
      <c r="A1596" t="s">
        <v>1660</v>
      </c>
    </row>
    <row r="1597" spans="1:1" x14ac:dyDescent="0.25">
      <c r="A1597" t="s">
        <v>1661</v>
      </c>
    </row>
    <row r="1598" spans="1:1" x14ac:dyDescent="0.25">
      <c r="A1598" t="s">
        <v>1662</v>
      </c>
    </row>
    <row r="1599" spans="1:1" x14ac:dyDescent="0.25">
      <c r="A1599" t="s">
        <v>1663</v>
      </c>
    </row>
    <row r="1600" spans="1:1" x14ac:dyDescent="0.25">
      <c r="A1600" t="s">
        <v>1664</v>
      </c>
    </row>
    <row r="1601" spans="1:1" x14ac:dyDescent="0.25">
      <c r="A1601" t="s">
        <v>1665</v>
      </c>
    </row>
    <row r="1602" spans="1:1" x14ac:dyDescent="0.25">
      <c r="A1602" t="s">
        <v>1666</v>
      </c>
    </row>
    <row r="1603" spans="1:1" x14ac:dyDescent="0.25">
      <c r="A1603" t="s">
        <v>1667</v>
      </c>
    </row>
    <row r="1604" spans="1:1" x14ac:dyDescent="0.25">
      <c r="A1604" t="s">
        <v>1668</v>
      </c>
    </row>
    <row r="1605" spans="1:1" x14ac:dyDescent="0.25">
      <c r="A1605" t="s">
        <v>1669</v>
      </c>
    </row>
    <row r="1606" spans="1:1" x14ac:dyDescent="0.25">
      <c r="A1606" t="s">
        <v>1670</v>
      </c>
    </row>
    <row r="1607" spans="1:1" x14ac:dyDescent="0.25">
      <c r="A1607" t="s">
        <v>1671</v>
      </c>
    </row>
    <row r="1608" spans="1:1" x14ac:dyDescent="0.25">
      <c r="A1608" t="s">
        <v>1672</v>
      </c>
    </row>
    <row r="1609" spans="1:1" x14ac:dyDescent="0.25">
      <c r="A1609" t="s">
        <v>1673</v>
      </c>
    </row>
    <row r="1610" spans="1:1" x14ac:dyDescent="0.25">
      <c r="A1610" t="s">
        <v>1674</v>
      </c>
    </row>
    <row r="1611" spans="1:1" x14ac:dyDescent="0.25">
      <c r="A1611" t="s">
        <v>1675</v>
      </c>
    </row>
    <row r="1612" spans="1:1" x14ac:dyDescent="0.25">
      <c r="A1612" t="s">
        <v>1676</v>
      </c>
    </row>
    <row r="1613" spans="1:1" x14ac:dyDescent="0.25">
      <c r="A1613" t="s">
        <v>1677</v>
      </c>
    </row>
    <row r="1614" spans="1:1" x14ac:dyDescent="0.25">
      <c r="A1614" t="s">
        <v>1678</v>
      </c>
    </row>
    <row r="1615" spans="1:1" x14ac:dyDescent="0.25">
      <c r="A1615" t="s">
        <v>1679</v>
      </c>
    </row>
    <row r="1616" spans="1:1" x14ac:dyDescent="0.25">
      <c r="A1616" t="s">
        <v>1680</v>
      </c>
    </row>
    <row r="1617" spans="1:1" x14ac:dyDescent="0.25">
      <c r="A1617" t="s">
        <v>1681</v>
      </c>
    </row>
    <row r="1618" spans="1:1" x14ac:dyDescent="0.25">
      <c r="A1618" t="s">
        <v>1682</v>
      </c>
    </row>
    <row r="1619" spans="1:1" x14ac:dyDescent="0.25">
      <c r="A1619" t="s">
        <v>1683</v>
      </c>
    </row>
    <row r="1620" spans="1:1" x14ac:dyDescent="0.25">
      <c r="A1620" t="s">
        <v>1684</v>
      </c>
    </row>
    <row r="1621" spans="1:1" x14ac:dyDescent="0.25">
      <c r="A1621" t="s">
        <v>1685</v>
      </c>
    </row>
    <row r="1622" spans="1:1" x14ac:dyDescent="0.25">
      <c r="A1622" t="s">
        <v>1686</v>
      </c>
    </row>
    <row r="1623" spans="1:1" x14ac:dyDescent="0.25">
      <c r="A1623" t="s">
        <v>1687</v>
      </c>
    </row>
    <row r="1624" spans="1:1" x14ac:dyDescent="0.25">
      <c r="A1624" t="s">
        <v>1688</v>
      </c>
    </row>
    <row r="1625" spans="1:1" x14ac:dyDescent="0.25">
      <c r="A1625" t="s">
        <v>1689</v>
      </c>
    </row>
    <row r="1626" spans="1:1" x14ac:dyDescent="0.25">
      <c r="A1626" t="s">
        <v>1690</v>
      </c>
    </row>
    <row r="1627" spans="1:1" x14ac:dyDescent="0.25">
      <c r="A1627" t="s">
        <v>1691</v>
      </c>
    </row>
    <row r="1628" spans="1:1" x14ac:dyDescent="0.25">
      <c r="A1628" t="s">
        <v>1692</v>
      </c>
    </row>
    <row r="1629" spans="1:1" x14ac:dyDescent="0.25">
      <c r="A1629" t="s">
        <v>1693</v>
      </c>
    </row>
    <row r="1630" spans="1:1" x14ac:dyDescent="0.25">
      <c r="A1630" t="s">
        <v>1694</v>
      </c>
    </row>
    <row r="1631" spans="1:1" x14ac:dyDescent="0.25">
      <c r="A1631" t="s">
        <v>1695</v>
      </c>
    </row>
    <row r="1632" spans="1:1" x14ac:dyDescent="0.25">
      <c r="A1632" t="s">
        <v>1696</v>
      </c>
    </row>
    <row r="1633" spans="1:1" x14ac:dyDescent="0.25">
      <c r="A1633" t="s">
        <v>1697</v>
      </c>
    </row>
    <row r="1634" spans="1:1" x14ac:dyDescent="0.25">
      <c r="A1634" t="s">
        <v>1698</v>
      </c>
    </row>
    <row r="1635" spans="1:1" x14ac:dyDescent="0.25">
      <c r="A1635" t="s">
        <v>1699</v>
      </c>
    </row>
    <row r="1636" spans="1:1" x14ac:dyDescent="0.25">
      <c r="A1636" t="s">
        <v>1700</v>
      </c>
    </row>
    <row r="1637" spans="1:1" x14ac:dyDescent="0.25">
      <c r="A1637" t="s">
        <v>1701</v>
      </c>
    </row>
    <row r="1638" spans="1:1" x14ac:dyDescent="0.25">
      <c r="A1638" t="s">
        <v>1702</v>
      </c>
    </row>
    <row r="1639" spans="1:1" x14ac:dyDescent="0.25">
      <c r="A1639" t="s">
        <v>1703</v>
      </c>
    </row>
    <row r="1640" spans="1:1" x14ac:dyDescent="0.25">
      <c r="A1640" t="s">
        <v>1704</v>
      </c>
    </row>
    <row r="1641" spans="1:1" x14ac:dyDescent="0.25">
      <c r="A1641" t="s">
        <v>1705</v>
      </c>
    </row>
    <row r="1642" spans="1:1" x14ac:dyDescent="0.25">
      <c r="A1642" t="s">
        <v>1706</v>
      </c>
    </row>
    <row r="1643" spans="1:1" x14ac:dyDescent="0.25">
      <c r="A1643" t="s">
        <v>1707</v>
      </c>
    </row>
    <row r="1644" spans="1:1" x14ac:dyDescent="0.25">
      <c r="A1644" t="s">
        <v>1708</v>
      </c>
    </row>
    <row r="1645" spans="1:1" x14ac:dyDescent="0.25">
      <c r="A1645" t="s">
        <v>1709</v>
      </c>
    </row>
    <row r="1646" spans="1:1" x14ac:dyDescent="0.25">
      <c r="A1646" t="s">
        <v>1710</v>
      </c>
    </row>
    <row r="1647" spans="1:1" x14ac:dyDescent="0.25">
      <c r="A1647" t="s">
        <v>1711</v>
      </c>
    </row>
    <row r="1648" spans="1:1" x14ac:dyDescent="0.25">
      <c r="A1648" t="s">
        <v>1712</v>
      </c>
    </row>
    <row r="1649" spans="1:1" x14ac:dyDescent="0.25">
      <c r="A1649" t="s">
        <v>1713</v>
      </c>
    </row>
    <row r="1650" spans="1:1" x14ac:dyDescent="0.25">
      <c r="A1650" t="s">
        <v>1714</v>
      </c>
    </row>
    <row r="1651" spans="1:1" x14ac:dyDescent="0.25">
      <c r="A1651" t="s">
        <v>1715</v>
      </c>
    </row>
    <row r="1652" spans="1:1" x14ac:dyDescent="0.25">
      <c r="A1652" t="s">
        <v>1716</v>
      </c>
    </row>
    <row r="1653" spans="1:1" x14ac:dyDescent="0.25">
      <c r="A1653" t="s">
        <v>1717</v>
      </c>
    </row>
    <row r="1654" spans="1:1" x14ac:dyDescent="0.25">
      <c r="A1654" t="s">
        <v>1718</v>
      </c>
    </row>
    <row r="1655" spans="1:1" x14ac:dyDescent="0.25">
      <c r="A1655" t="s">
        <v>1719</v>
      </c>
    </row>
    <row r="1656" spans="1:1" x14ac:dyDescent="0.25">
      <c r="A1656" t="s">
        <v>1720</v>
      </c>
    </row>
    <row r="1657" spans="1:1" x14ac:dyDescent="0.25">
      <c r="A1657" t="s">
        <v>1721</v>
      </c>
    </row>
    <row r="1658" spans="1:1" x14ac:dyDescent="0.25">
      <c r="A1658" t="s">
        <v>1722</v>
      </c>
    </row>
    <row r="1659" spans="1:1" x14ac:dyDescent="0.25">
      <c r="A1659" t="s">
        <v>1723</v>
      </c>
    </row>
    <row r="1660" spans="1:1" x14ac:dyDescent="0.25">
      <c r="A1660" t="s">
        <v>1724</v>
      </c>
    </row>
    <row r="1661" spans="1:1" x14ac:dyDescent="0.25">
      <c r="A1661" t="s">
        <v>1725</v>
      </c>
    </row>
    <row r="1662" spans="1:1" x14ac:dyDescent="0.25">
      <c r="A1662" t="s">
        <v>1726</v>
      </c>
    </row>
    <row r="1663" spans="1:1" x14ac:dyDescent="0.25">
      <c r="A1663" t="s">
        <v>1727</v>
      </c>
    </row>
    <row r="1664" spans="1:1" x14ac:dyDescent="0.25">
      <c r="A1664" t="s">
        <v>1728</v>
      </c>
    </row>
    <row r="1665" spans="1:1" x14ac:dyDescent="0.25">
      <c r="A1665" t="s">
        <v>1729</v>
      </c>
    </row>
    <row r="1666" spans="1:1" x14ac:dyDescent="0.25">
      <c r="A1666" t="s">
        <v>1730</v>
      </c>
    </row>
    <row r="1667" spans="1:1" x14ac:dyDescent="0.25">
      <c r="A1667" t="s">
        <v>1731</v>
      </c>
    </row>
    <row r="1668" spans="1:1" x14ac:dyDescent="0.25">
      <c r="A1668" t="s">
        <v>1732</v>
      </c>
    </row>
    <row r="1669" spans="1:1" x14ac:dyDescent="0.25">
      <c r="A1669" t="s">
        <v>1733</v>
      </c>
    </row>
    <row r="1670" spans="1:1" x14ac:dyDescent="0.25">
      <c r="A1670" t="s">
        <v>1734</v>
      </c>
    </row>
    <row r="1671" spans="1:1" x14ac:dyDescent="0.25">
      <c r="A1671" t="s">
        <v>1735</v>
      </c>
    </row>
    <row r="1672" spans="1:1" x14ac:dyDescent="0.25">
      <c r="A1672" t="s">
        <v>1736</v>
      </c>
    </row>
    <row r="1673" spans="1:1" x14ac:dyDescent="0.25">
      <c r="A1673" t="s">
        <v>1737</v>
      </c>
    </row>
    <row r="1674" spans="1:1" x14ac:dyDescent="0.25">
      <c r="A1674" t="s">
        <v>1738</v>
      </c>
    </row>
    <row r="1675" spans="1:1" x14ac:dyDescent="0.25">
      <c r="A1675" t="s">
        <v>1739</v>
      </c>
    </row>
    <row r="1676" spans="1:1" x14ac:dyDescent="0.25">
      <c r="A1676" t="s">
        <v>1740</v>
      </c>
    </row>
    <row r="1677" spans="1:1" x14ac:dyDescent="0.25">
      <c r="A1677" t="s">
        <v>1741</v>
      </c>
    </row>
    <row r="1678" spans="1:1" x14ac:dyDescent="0.25">
      <c r="A1678" t="s">
        <v>1742</v>
      </c>
    </row>
    <row r="1679" spans="1:1" x14ac:dyDescent="0.25">
      <c r="A1679" t="s">
        <v>1743</v>
      </c>
    </row>
    <row r="1680" spans="1:1" x14ac:dyDescent="0.25">
      <c r="A1680" t="s">
        <v>1744</v>
      </c>
    </row>
    <row r="1681" spans="1:1" x14ac:dyDescent="0.25">
      <c r="A1681" t="s">
        <v>1745</v>
      </c>
    </row>
    <row r="1682" spans="1:1" x14ac:dyDescent="0.25">
      <c r="A1682" t="s">
        <v>1746</v>
      </c>
    </row>
    <row r="1683" spans="1:1" x14ac:dyDescent="0.25">
      <c r="A1683" t="s">
        <v>1747</v>
      </c>
    </row>
    <row r="1684" spans="1:1" x14ac:dyDescent="0.25">
      <c r="A1684" t="s">
        <v>1748</v>
      </c>
    </row>
    <row r="1685" spans="1:1" x14ac:dyDescent="0.25">
      <c r="A1685" t="s">
        <v>1749</v>
      </c>
    </row>
    <row r="1686" spans="1:1" x14ac:dyDescent="0.25">
      <c r="A1686" t="s">
        <v>1750</v>
      </c>
    </row>
    <row r="1687" spans="1:1" x14ac:dyDescent="0.25">
      <c r="A1687" t="s">
        <v>1751</v>
      </c>
    </row>
    <row r="1688" spans="1:1" x14ac:dyDescent="0.25">
      <c r="A1688" t="s">
        <v>1752</v>
      </c>
    </row>
    <row r="1689" spans="1:1" x14ac:dyDescent="0.25">
      <c r="A1689" t="s">
        <v>1753</v>
      </c>
    </row>
    <row r="1690" spans="1:1" x14ac:dyDescent="0.25">
      <c r="A1690" t="s">
        <v>1754</v>
      </c>
    </row>
    <row r="1691" spans="1:1" x14ac:dyDescent="0.25">
      <c r="A1691" t="s">
        <v>1755</v>
      </c>
    </row>
    <row r="1692" spans="1:1" x14ac:dyDescent="0.25">
      <c r="A1692" t="s">
        <v>1756</v>
      </c>
    </row>
    <row r="1693" spans="1:1" x14ac:dyDescent="0.25">
      <c r="A1693" t="s">
        <v>1757</v>
      </c>
    </row>
    <row r="1694" spans="1:1" x14ac:dyDescent="0.25">
      <c r="A1694" t="s">
        <v>1758</v>
      </c>
    </row>
    <row r="1695" spans="1:1" x14ac:dyDescent="0.25">
      <c r="A1695" t="s">
        <v>1759</v>
      </c>
    </row>
    <row r="1696" spans="1:1" x14ac:dyDescent="0.25">
      <c r="A1696" t="s">
        <v>1760</v>
      </c>
    </row>
    <row r="1697" spans="1:1" x14ac:dyDescent="0.25">
      <c r="A1697" t="s">
        <v>1761</v>
      </c>
    </row>
    <row r="1698" spans="1:1" x14ac:dyDescent="0.25">
      <c r="A1698" t="s">
        <v>1762</v>
      </c>
    </row>
    <row r="1699" spans="1:1" x14ac:dyDescent="0.25">
      <c r="A1699" t="s">
        <v>1763</v>
      </c>
    </row>
    <row r="1700" spans="1:1" x14ac:dyDescent="0.25">
      <c r="A1700" t="s">
        <v>1764</v>
      </c>
    </row>
    <row r="1701" spans="1:1" x14ac:dyDescent="0.25">
      <c r="A1701" t="s">
        <v>1765</v>
      </c>
    </row>
    <row r="1702" spans="1:1" x14ac:dyDescent="0.25">
      <c r="A1702" t="s">
        <v>1766</v>
      </c>
    </row>
    <row r="1703" spans="1:1" x14ac:dyDescent="0.25">
      <c r="A1703" t="s">
        <v>1767</v>
      </c>
    </row>
    <row r="1704" spans="1:1" x14ac:dyDescent="0.25">
      <c r="A1704" t="s">
        <v>1768</v>
      </c>
    </row>
    <row r="1705" spans="1:1" x14ac:dyDescent="0.25">
      <c r="A1705" t="s">
        <v>1769</v>
      </c>
    </row>
    <row r="1706" spans="1:1" x14ac:dyDescent="0.25">
      <c r="A1706" t="s">
        <v>1770</v>
      </c>
    </row>
    <row r="1707" spans="1:1" x14ac:dyDescent="0.25">
      <c r="A1707" t="s">
        <v>1771</v>
      </c>
    </row>
    <row r="1708" spans="1:1" x14ac:dyDescent="0.25">
      <c r="A1708" t="s">
        <v>1772</v>
      </c>
    </row>
    <row r="1709" spans="1:1" x14ac:dyDescent="0.25">
      <c r="A1709" t="s">
        <v>1773</v>
      </c>
    </row>
    <row r="1710" spans="1:1" x14ac:dyDescent="0.25">
      <c r="A1710" t="s">
        <v>1774</v>
      </c>
    </row>
    <row r="1711" spans="1:1" x14ac:dyDescent="0.25">
      <c r="A1711" t="s">
        <v>1775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50956-31CC-4C42-8BA4-A3DB0585930A}">
  <sheetPr codeName="Sheet23"/>
  <dimension ref="A2:A1711"/>
  <sheetViews>
    <sheetView workbookViewId="0"/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92</v>
      </c>
    </row>
    <row r="29" spans="1:1" x14ac:dyDescent="0.25">
      <c r="A29" t="s">
        <v>93</v>
      </c>
    </row>
    <row r="30" spans="1:1" x14ac:dyDescent="0.25">
      <c r="A30" t="s">
        <v>94</v>
      </c>
    </row>
    <row r="31" spans="1:1" x14ac:dyDescent="0.25">
      <c r="A31" t="s">
        <v>95</v>
      </c>
    </row>
    <row r="32" spans="1:1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234</v>
      </c>
    </row>
    <row r="171" spans="1:1" x14ac:dyDescent="0.25">
      <c r="A171" t="s">
        <v>235</v>
      </c>
    </row>
    <row r="172" spans="1:1" x14ac:dyDescent="0.25">
      <c r="A172" t="s">
        <v>236</v>
      </c>
    </row>
    <row r="173" spans="1:1" x14ac:dyDescent="0.25">
      <c r="A173" t="s">
        <v>237</v>
      </c>
    </row>
    <row r="174" spans="1:1" x14ac:dyDescent="0.25">
      <c r="A174" t="s">
        <v>238</v>
      </c>
    </row>
    <row r="175" spans="1:1" x14ac:dyDescent="0.25">
      <c r="A175" t="s">
        <v>239</v>
      </c>
    </row>
    <row r="176" spans="1:1" x14ac:dyDescent="0.25">
      <c r="A176" t="s">
        <v>240</v>
      </c>
    </row>
    <row r="177" spans="1:1" x14ac:dyDescent="0.25">
      <c r="A177" t="s">
        <v>241</v>
      </c>
    </row>
    <row r="178" spans="1:1" x14ac:dyDescent="0.25">
      <c r="A178" t="s">
        <v>242</v>
      </c>
    </row>
    <row r="179" spans="1:1" x14ac:dyDescent="0.25">
      <c r="A179" t="s">
        <v>243</v>
      </c>
    </row>
    <row r="180" spans="1:1" x14ac:dyDescent="0.25">
      <c r="A180" t="s">
        <v>244</v>
      </c>
    </row>
    <row r="181" spans="1:1" x14ac:dyDescent="0.25">
      <c r="A181" t="s">
        <v>245</v>
      </c>
    </row>
    <row r="182" spans="1:1" x14ac:dyDescent="0.25">
      <c r="A182" t="s">
        <v>246</v>
      </c>
    </row>
    <row r="183" spans="1:1" x14ac:dyDescent="0.25">
      <c r="A183" t="s">
        <v>247</v>
      </c>
    </row>
    <row r="184" spans="1:1" x14ac:dyDescent="0.25">
      <c r="A184" t="s">
        <v>248</v>
      </c>
    </row>
    <row r="185" spans="1:1" x14ac:dyDescent="0.25">
      <c r="A185" t="s">
        <v>249</v>
      </c>
    </row>
    <row r="186" spans="1:1" x14ac:dyDescent="0.25">
      <c r="A186" t="s">
        <v>250</v>
      </c>
    </row>
    <row r="187" spans="1:1" x14ac:dyDescent="0.25">
      <c r="A187" t="s">
        <v>251</v>
      </c>
    </row>
    <row r="188" spans="1:1" x14ac:dyDescent="0.25">
      <c r="A188" t="s">
        <v>252</v>
      </c>
    </row>
    <row r="189" spans="1:1" x14ac:dyDescent="0.25">
      <c r="A189" t="s">
        <v>253</v>
      </c>
    </row>
    <row r="190" spans="1:1" x14ac:dyDescent="0.25">
      <c r="A190" t="s">
        <v>254</v>
      </c>
    </row>
    <row r="191" spans="1:1" x14ac:dyDescent="0.25">
      <c r="A191" t="s">
        <v>255</v>
      </c>
    </row>
    <row r="192" spans="1:1" x14ac:dyDescent="0.25">
      <c r="A192" t="s">
        <v>256</v>
      </c>
    </row>
    <row r="193" spans="1:1" x14ac:dyDescent="0.25">
      <c r="A193" t="s">
        <v>257</v>
      </c>
    </row>
    <row r="194" spans="1:1" x14ac:dyDescent="0.25">
      <c r="A194" t="s">
        <v>258</v>
      </c>
    </row>
    <row r="195" spans="1:1" x14ac:dyDescent="0.25">
      <c r="A195" t="s">
        <v>259</v>
      </c>
    </row>
    <row r="196" spans="1:1" x14ac:dyDescent="0.25">
      <c r="A196" t="s">
        <v>260</v>
      </c>
    </row>
    <row r="197" spans="1:1" x14ac:dyDescent="0.25">
      <c r="A197" t="s">
        <v>261</v>
      </c>
    </row>
    <row r="198" spans="1:1" x14ac:dyDescent="0.25">
      <c r="A198" t="s">
        <v>262</v>
      </c>
    </row>
    <row r="199" spans="1:1" x14ac:dyDescent="0.25">
      <c r="A199" t="s">
        <v>263</v>
      </c>
    </row>
    <row r="200" spans="1:1" x14ac:dyDescent="0.25">
      <c r="A200" t="s">
        <v>264</v>
      </c>
    </row>
    <row r="201" spans="1:1" x14ac:dyDescent="0.25">
      <c r="A201" t="s">
        <v>265</v>
      </c>
    </row>
    <row r="202" spans="1:1" x14ac:dyDescent="0.25">
      <c r="A202" t="s">
        <v>266</v>
      </c>
    </row>
    <row r="203" spans="1:1" x14ac:dyDescent="0.25">
      <c r="A203" t="s">
        <v>267</v>
      </c>
    </row>
    <row r="204" spans="1:1" x14ac:dyDescent="0.25">
      <c r="A204" t="s">
        <v>268</v>
      </c>
    </row>
    <row r="205" spans="1:1" x14ac:dyDescent="0.25">
      <c r="A205" t="s">
        <v>269</v>
      </c>
    </row>
    <row r="206" spans="1:1" x14ac:dyDescent="0.25">
      <c r="A206" t="s">
        <v>270</v>
      </c>
    </row>
    <row r="207" spans="1:1" x14ac:dyDescent="0.25">
      <c r="A207" t="s">
        <v>271</v>
      </c>
    </row>
    <row r="208" spans="1:1" x14ac:dyDescent="0.25">
      <c r="A208" t="s">
        <v>272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277</v>
      </c>
    </row>
    <row r="214" spans="1:1" x14ac:dyDescent="0.25">
      <c r="A214" t="s">
        <v>278</v>
      </c>
    </row>
    <row r="215" spans="1:1" x14ac:dyDescent="0.25">
      <c r="A215" t="s">
        <v>279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282</v>
      </c>
    </row>
    <row r="219" spans="1:1" x14ac:dyDescent="0.25">
      <c r="A219" t="s">
        <v>283</v>
      </c>
    </row>
    <row r="220" spans="1:1" x14ac:dyDescent="0.25">
      <c r="A220" t="s">
        <v>284</v>
      </c>
    </row>
    <row r="221" spans="1:1" x14ac:dyDescent="0.25">
      <c r="A221" t="s">
        <v>285</v>
      </c>
    </row>
    <row r="222" spans="1:1" x14ac:dyDescent="0.25">
      <c r="A222" t="s">
        <v>286</v>
      </c>
    </row>
    <row r="223" spans="1:1" x14ac:dyDescent="0.25">
      <c r="A223" t="s">
        <v>287</v>
      </c>
    </row>
    <row r="224" spans="1:1" x14ac:dyDescent="0.25">
      <c r="A224" t="s">
        <v>288</v>
      </c>
    </row>
    <row r="225" spans="1:1" x14ac:dyDescent="0.25">
      <c r="A225" t="s">
        <v>289</v>
      </c>
    </row>
    <row r="226" spans="1:1" x14ac:dyDescent="0.25">
      <c r="A226" t="s">
        <v>290</v>
      </c>
    </row>
    <row r="227" spans="1:1" x14ac:dyDescent="0.25">
      <c r="A227" t="s">
        <v>291</v>
      </c>
    </row>
    <row r="228" spans="1:1" x14ac:dyDescent="0.25">
      <c r="A228" t="s">
        <v>292</v>
      </c>
    </row>
    <row r="229" spans="1:1" x14ac:dyDescent="0.25">
      <c r="A229" t="s">
        <v>293</v>
      </c>
    </row>
    <row r="230" spans="1:1" x14ac:dyDescent="0.25">
      <c r="A230" t="s">
        <v>294</v>
      </c>
    </row>
    <row r="231" spans="1:1" x14ac:dyDescent="0.25">
      <c r="A231" t="s">
        <v>295</v>
      </c>
    </row>
    <row r="232" spans="1:1" x14ac:dyDescent="0.25">
      <c r="A232" t="s">
        <v>296</v>
      </c>
    </row>
    <row r="233" spans="1:1" x14ac:dyDescent="0.25">
      <c r="A233" t="s">
        <v>297</v>
      </c>
    </row>
    <row r="234" spans="1:1" x14ac:dyDescent="0.25">
      <c r="A234" t="s">
        <v>298</v>
      </c>
    </row>
    <row r="235" spans="1:1" x14ac:dyDescent="0.25">
      <c r="A235" t="s">
        <v>299</v>
      </c>
    </row>
    <row r="236" spans="1:1" x14ac:dyDescent="0.25">
      <c r="A236" t="s">
        <v>300</v>
      </c>
    </row>
    <row r="237" spans="1:1" x14ac:dyDescent="0.25">
      <c r="A237" t="s">
        <v>301</v>
      </c>
    </row>
    <row r="238" spans="1:1" x14ac:dyDescent="0.25">
      <c r="A238" t="s">
        <v>302</v>
      </c>
    </row>
    <row r="239" spans="1:1" x14ac:dyDescent="0.25">
      <c r="A239" t="s">
        <v>303</v>
      </c>
    </row>
    <row r="240" spans="1:1" x14ac:dyDescent="0.25">
      <c r="A240" t="s">
        <v>304</v>
      </c>
    </row>
    <row r="241" spans="1:1" x14ac:dyDescent="0.25">
      <c r="A241" t="s">
        <v>305</v>
      </c>
    </row>
    <row r="242" spans="1:1" x14ac:dyDescent="0.25">
      <c r="A242" t="s">
        <v>306</v>
      </c>
    </row>
    <row r="243" spans="1:1" x14ac:dyDescent="0.25">
      <c r="A243" t="s">
        <v>307</v>
      </c>
    </row>
    <row r="244" spans="1:1" x14ac:dyDescent="0.25">
      <c r="A244" t="s">
        <v>308</v>
      </c>
    </row>
    <row r="245" spans="1:1" x14ac:dyDescent="0.25">
      <c r="A245" t="s">
        <v>309</v>
      </c>
    </row>
    <row r="246" spans="1:1" x14ac:dyDescent="0.25">
      <c r="A246" t="s">
        <v>310</v>
      </c>
    </row>
    <row r="247" spans="1:1" x14ac:dyDescent="0.25">
      <c r="A247" t="s">
        <v>311</v>
      </c>
    </row>
    <row r="248" spans="1:1" x14ac:dyDescent="0.25">
      <c r="A248" t="s">
        <v>312</v>
      </c>
    </row>
    <row r="249" spans="1:1" x14ac:dyDescent="0.25">
      <c r="A249" t="s">
        <v>313</v>
      </c>
    </row>
    <row r="250" spans="1:1" x14ac:dyDescent="0.25">
      <c r="A250" t="s">
        <v>314</v>
      </c>
    </row>
    <row r="251" spans="1:1" x14ac:dyDescent="0.25">
      <c r="A251" t="s">
        <v>315</v>
      </c>
    </row>
    <row r="252" spans="1:1" x14ac:dyDescent="0.25">
      <c r="A252" t="s">
        <v>316</v>
      </c>
    </row>
    <row r="253" spans="1:1" x14ac:dyDescent="0.25">
      <c r="A253" t="s">
        <v>317</v>
      </c>
    </row>
    <row r="254" spans="1:1" x14ac:dyDescent="0.25">
      <c r="A254" t="s">
        <v>318</v>
      </c>
    </row>
    <row r="255" spans="1:1" x14ac:dyDescent="0.25">
      <c r="A255" t="s">
        <v>319</v>
      </c>
    </row>
    <row r="256" spans="1:1" x14ac:dyDescent="0.25">
      <c r="A256" t="s">
        <v>320</v>
      </c>
    </row>
    <row r="257" spans="1:1" x14ac:dyDescent="0.25">
      <c r="A257" t="s">
        <v>321</v>
      </c>
    </row>
    <row r="258" spans="1:1" x14ac:dyDescent="0.25">
      <c r="A258" t="s">
        <v>322</v>
      </c>
    </row>
    <row r="259" spans="1:1" x14ac:dyDescent="0.25">
      <c r="A259" t="s">
        <v>323</v>
      </c>
    </row>
    <row r="260" spans="1:1" x14ac:dyDescent="0.25">
      <c r="A260" t="s">
        <v>324</v>
      </c>
    </row>
    <row r="261" spans="1:1" x14ac:dyDescent="0.25">
      <c r="A261" t="s">
        <v>325</v>
      </c>
    </row>
    <row r="262" spans="1:1" x14ac:dyDescent="0.25">
      <c r="A262" t="s">
        <v>326</v>
      </c>
    </row>
    <row r="263" spans="1:1" x14ac:dyDescent="0.25">
      <c r="A263" t="s">
        <v>327</v>
      </c>
    </row>
    <row r="264" spans="1:1" x14ac:dyDescent="0.25">
      <c r="A264" t="s">
        <v>328</v>
      </c>
    </row>
    <row r="265" spans="1:1" x14ac:dyDescent="0.25">
      <c r="A265" t="s">
        <v>329</v>
      </c>
    </row>
    <row r="266" spans="1:1" x14ac:dyDescent="0.25">
      <c r="A266" t="s">
        <v>330</v>
      </c>
    </row>
    <row r="267" spans="1:1" x14ac:dyDescent="0.25">
      <c r="A267" t="s">
        <v>331</v>
      </c>
    </row>
    <row r="268" spans="1:1" x14ac:dyDescent="0.25">
      <c r="A268" t="s">
        <v>332</v>
      </c>
    </row>
    <row r="269" spans="1:1" x14ac:dyDescent="0.25">
      <c r="A269" t="s">
        <v>333</v>
      </c>
    </row>
    <row r="270" spans="1:1" x14ac:dyDescent="0.25">
      <c r="A270" t="s">
        <v>334</v>
      </c>
    </row>
    <row r="271" spans="1:1" x14ac:dyDescent="0.25">
      <c r="A271" t="s">
        <v>335</v>
      </c>
    </row>
    <row r="272" spans="1:1" x14ac:dyDescent="0.25">
      <c r="A272" t="s">
        <v>336</v>
      </c>
    </row>
    <row r="273" spans="1:1" x14ac:dyDescent="0.25">
      <c r="A273" t="s">
        <v>337</v>
      </c>
    </row>
    <row r="274" spans="1:1" x14ac:dyDescent="0.25">
      <c r="A274" t="s">
        <v>338</v>
      </c>
    </row>
    <row r="275" spans="1:1" x14ac:dyDescent="0.25">
      <c r="A275" t="s">
        <v>339</v>
      </c>
    </row>
    <row r="276" spans="1:1" x14ac:dyDescent="0.25">
      <c r="A276" t="s">
        <v>340</v>
      </c>
    </row>
    <row r="277" spans="1:1" x14ac:dyDescent="0.25">
      <c r="A277" t="s">
        <v>341</v>
      </c>
    </row>
    <row r="278" spans="1:1" x14ac:dyDescent="0.25">
      <c r="A278" t="s">
        <v>342</v>
      </c>
    </row>
    <row r="279" spans="1:1" x14ac:dyDescent="0.25">
      <c r="A279" t="s">
        <v>343</v>
      </c>
    </row>
    <row r="280" spans="1:1" x14ac:dyDescent="0.25">
      <c r="A280" t="s">
        <v>344</v>
      </c>
    </row>
    <row r="281" spans="1:1" x14ac:dyDescent="0.25">
      <c r="A281" t="s">
        <v>345</v>
      </c>
    </row>
    <row r="282" spans="1:1" x14ac:dyDescent="0.25">
      <c r="A282" t="s">
        <v>346</v>
      </c>
    </row>
    <row r="283" spans="1:1" x14ac:dyDescent="0.25">
      <c r="A283" t="s">
        <v>347</v>
      </c>
    </row>
    <row r="284" spans="1:1" x14ac:dyDescent="0.25">
      <c r="A284" t="s">
        <v>348</v>
      </c>
    </row>
    <row r="285" spans="1:1" x14ac:dyDescent="0.25">
      <c r="A285" t="s">
        <v>349</v>
      </c>
    </row>
    <row r="286" spans="1:1" x14ac:dyDescent="0.25">
      <c r="A286" t="s">
        <v>350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353</v>
      </c>
    </row>
    <row r="290" spans="1:1" x14ac:dyDescent="0.25">
      <c r="A290" t="s">
        <v>354</v>
      </c>
    </row>
    <row r="291" spans="1:1" x14ac:dyDescent="0.25">
      <c r="A291" t="s">
        <v>355</v>
      </c>
    </row>
    <row r="292" spans="1:1" x14ac:dyDescent="0.25">
      <c r="A292" t="s">
        <v>356</v>
      </c>
    </row>
    <row r="293" spans="1:1" x14ac:dyDescent="0.25">
      <c r="A293" t="s">
        <v>357</v>
      </c>
    </row>
    <row r="294" spans="1:1" x14ac:dyDescent="0.25">
      <c r="A294" t="s">
        <v>358</v>
      </c>
    </row>
    <row r="295" spans="1:1" x14ac:dyDescent="0.25">
      <c r="A295" t="s">
        <v>359</v>
      </c>
    </row>
    <row r="296" spans="1:1" x14ac:dyDescent="0.25">
      <c r="A296" t="s">
        <v>360</v>
      </c>
    </row>
    <row r="297" spans="1:1" x14ac:dyDescent="0.25">
      <c r="A297" t="s">
        <v>361</v>
      </c>
    </row>
    <row r="298" spans="1:1" x14ac:dyDescent="0.25">
      <c r="A298" t="s">
        <v>362</v>
      </c>
    </row>
    <row r="299" spans="1:1" x14ac:dyDescent="0.25">
      <c r="A299" t="s">
        <v>363</v>
      </c>
    </row>
    <row r="300" spans="1:1" x14ac:dyDescent="0.25">
      <c r="A300" t="s">
        <v>364</v>
      </c>
    </row>
    <row r="301" spans="1:1" x14ac:dyDescent="0.25">
      <c r="A301" t="s">
        <v>365</v>
      </c>
    </row>
    <row r="302" spans="1:1" x14ac:dyDescent="0.25">
      <c r="A302" t="s">
        <v>366</v>
      </c>
    </row>
    <row r="303" spans="1:1" x14ac:dyDescent="0.25">
      <c r="A303" t="s">
        <v>367</v>
      </c>
    </row>
    <row r="304" spans="1:1" x14ac:dyDescent="0.25">
      <c r="A304" t="s">
        <v>368</v>
      </c>
    </row>
    <row r="305" spans="1:1" x14ac:dyDescent="0.25">
      <c r="A305" t="s">
        <v>369</v>
      </c>
    </row>
    <row r="306" spans="1:1" x14ac:dyDescent="0.25">
      <c r="A306" t="s">
        <v>370</v>
      </c>
    </row>
    <row r="307" spans="1:1" x14ac:dyDescent="0.25">
      <c r="A307" t="s">
        <v>371</v>
      </c>
    </row>
    <row r="308" spans="1:1" x14ac:dyDescent="0.25">
      <c r="A308" t="s">
        <v>372</v>
      </c>
    </row>
    <row r="309" spans="1:1" x14ac:dyDescent="0.25">
      <c r="A309" t="s">
        <v>373</v>
      </c>
    </row>
    <row r="310" spans="1:1" x14ac:dyDescent="0.25">
      <c r="A310" t="s">
        <v>374</v>
      </c>
    </row>
    <row r="311" spans="1:1" x14ac:dyDescent="0.25">
      <c r="A311" t="s">
        <v>375</v>
      </c>
    </row>
    <row r="312" spans="1:1" x14ac:dyDescent="0.25">
      <c r="A312" t="s">
        <v>376</v>
      </c>
    </row>
    <row r="313" spans="1:1" x14ac:dyDescent="0.25">
      <c r="A313" t="s">
        <v>377</v>
      </c>
    </row>
    <row r="314" spans="1:1" x14ac:dyDescent="0.25">
      <c r="A314" t="s">
        <v>378</v>
      </c>
    </row>
    <row r="315" spans="1:1" x14ac:dyDescent="0.25">
      <c r="A315" t="s">
        <v>379</v>
      </c>
    </row>
    <row r="316" spans="1:1" x14ac:dyDescent="0.25">
      <c r="A316" t="s">
        <v>380</v>
      </c>
    </row>
    <row r="317" spans="1:1" x14ac:dyDescent="0.25">
      <c r="A317" t="s">
        <v>381</v>
      </c>
    </row>
    <row r="318" spans="1:1" x14ac:dyDescent="0.25">
      <c r="A318" t="s">
        <v>382</v>
      </c>
    </row>
    <row r="319" spans="1:1" x14ac:dyDescent="0.25">
      <c r="A319" t="s">
        <v>383</v>
      </c>
    </row>
    <row r="320" spans="1:1" x14ac:dyDescent="0.25">
      <c r="A320" t="s">
        <v>384</v>
      </c>
    </row>
    <row r="321" spans="1:1" x14ac:dyDescent="0.25">
      <c r="A321" t="s">
        <v>385</v>
      </c>
    </row>
    <row r="322" spans="1:1" x14ac:dyDescent="0.25">
      <c r="A322" t="s">
        <v>386</v>
      </c>
    </row>
    <row r="323" spans="1:1" x14ac:dyDescent="0.25">
      <c r="A323" t="s">
        <v>387</v>
      </c>
    </row>
    <row r="324" spans="1:1" x14ac:dyDescent="0.25">
      <c r="A324" t="s">
        <v>388</v>
      </c>
    </row>
    <row r="325" spans="1:1" x14ac:dyDescent="0.25">
      <c r="A325" t="s">
        <v>389</v>
      </c>
    </row>
    <row r="326" spans="1:1" x14ac:dyDescent="0.25">
      <c r="A326" t="s">
        <v>390</v>
      </c>
    </row>
    <row r="327" spans="1:1" x14ac:dyDescent="0.25">
      <c r="A327" t="s">
        <v>391</v>
      </c>
    </row>
    <row r="328" spans="1:1" x14ac:dyDescent="0.25">
      <c r="A328" t="s">
        <v>392</v>
      </c>
    </row>
    <row r="329" spans="1:1" x14ac:dyDescent="0.25">
      <c r="A329" t="s">
        <v>393</v>
      </c>
    </row>
    <row r="330" spans="1:1" x14ac:dyDescent="0.25">
      <c r="A330" t="s">
        <v>394</v>
      </c>
    </row>
    <row r="331" spans="1:1" x14ac:dyDescent="0.25">
      <c r="A331" t="s">
        <v>395</v>
      </c>
    </row>
    <row r="332" spans="1:1" x14ac:dyDescent="0.25">
      <c r="A332" t="s">
        <v>396</v>
      </c>
    </row>
    <row r="333" spans="1:1" x14ac:dyDescent="0.25">
      <c r="A333" t="s">
        <v>397</v>
      </c>
    </row>
    <row r="334" spans="1:1" x14ac:dyDescent="0.25">
      <c r="A334" t="s">
        <v>398</v>
      </c>
    </row>
    <row r="335" spans="1:1" x14ac:dyDescent="0.25">
      <c r="A335" t="s">
        <v>399</v>
      </c>
    </row>
    <row r="336" spans="1:1" x14ac:dyDescent="0.25">
      <c r="A336" t="s">
        <v>400</v>
      </c>
    </row>
    <row r="337" spans="1:1" x14ac:dyDescent="0.25">
      <c r="A337" t="s">
        <v>401</v>
      </c>
    </row>
    <row r="338" spans="1:1" x14ac:dyDescent="0.25">
      <c r="A338" t="s">
        <v>402</v>
      </c>
    </row>
    <row r="339" spans="1:1" x14ac:dyDescent="0.25">
      <c r="A339" t="s">
        <v>403</v>
      </c>
    </row>
    <row r="340" spans="1:1" x14ac:dyDescent="0.25">
      <c r="A340" t="s">
        <v>404</v>
      </c>
    </row>
    <row r="341" spans="1:1" x14ac:dyDescent="0.25">
      <c r="A341" t="s">
        <v>405</v>
      </c>
    </row>
    <row r="342" spans="1:1" x14ac:dyDescent="0.25">
      <c r="A342" t="s">
        <v>406</v>
      </c>
    </row>
    <row r="343" spans="1:1" x14ac:dyDescent="0.25">
      <c r="A343" t="s">
        <v>407</v>
      </c>
    </row>
    <row r="344" spans="1:1" x14ac:dyDescent="0.25">
      <c r="A344" t="s">
        <v>408</v>
      </c>
    </row>
    <row r="345" spans="1:1" x14ac:dyDescent="0.25">
      <c r="A345" t="s">
        <v>409</v>
      </c>
    </row>
    <row r="346" spans="1:1" x14ac:dyDescent="0.25">
      <c r="A346" t="s">
        <v>410</v>
      </c>
    </row>
    <row r="347" spans="1:1" x14ac:dyDescent="0.25">
      <c r="A347" t="s">
        <v>411</v>
      </c>
    </row>
    <row r="348" spans="1:1" x14ac:dyDescent="0.25">
      <c r="A348" t="s">
        <v>412</v>
      </c>
    </row>
    <row r="349" spans="1:1" x14ac:dyDescent="0.25">
      <c r="A349" t="s">
        <v>413</v>
      </c>
    </row>
    <row r="350" spans="1:1" x14ac:dyDescent="0.25">
      <c r="A350" t="s">
        <v>414</v>
      </c>
    </row>
    <row r="351" spans="1:1" x14ac:dyDescent="0.25">
      <c r="A351" t="s">
        <v>415</v>
      </c>
    </row>
    <row r="352" spans="1:1" x14ac:dyDescent="0.25">
      <c r="A352" t="s">
        <v>416</v>
      </c>
    </row>
    <row r="353" spans="1:1" x14ac:dyDescent="0.25">
      <c r="A353" t="s">
        <v>417</v>
      </c>
    </row>
    <row r="354" spans="1:1" x14ac:dyDescent="0.25">
      <c r="A354" t="s">
        <v>418</v>
      </c>
    </row>
    <row r="355" spans="1:1" x14ac:dyDescent="0.25">
      <c r="A355" t="s">
        <v>419</v>
      </c>
    </row>
    <row r="356" spans="1:1" x14ac:dyDescent="0.25">
      <c r="A356" t="s">
        <v>420</v>
      </c>
    </row>
    <row r="357" spans="1:1" x14ac:dyDescent="0.25">
      <c r="A357" t="s">
        <v>421</v>
      </c>
    </row>
    <row r="358" spans="1:1" x14ac:dyDescent="0.25">
      <c r="A358" t="s">
        <v>422</v>
      </c>
    </row>
    <row r="359" spans="1:1" x14ac:dyDescent="0.25">
      <c r="A359" t="s">
        <v>423</v>
      </c>
    </row>
    <row r="360" spans="1:1" x14ac:dyDescent="0.25">
      <c r="A360" t="s">
        <v>424</v>
      </c>
    </row>
    <row r="361" spans="1:1" x14ac:dyDescent="0.25">
      <c r="A361" t="s">
        <v>425</v>
      </c>
    </row>
    <row r="362" spans="1:1" x14ac:dyDescent="0.25">
      <c r="A362" t="s">
        <v>426</v>
      </c>
    </row>
    <row r="363" spans="1:1" x14ac:dyDescent="0.25">
      <c r="A363" t="s">
        <v>427</v>
      </c>
    </row>
    <row r="364" spans="1:1" x14ac:dyDescent="0.25">
      <c r="A364" t="s">
        <v>428</v>
      </c>
    </row>
    <row r="365" spans="1:1" x14ac:dyDescent="0.25">
      <c r="A365" t="s">
        <v>429</v>
      </c>
    </row>
    <row r="366" spans="1:1" x14ac:dyDescent="0.25">
      <c r="A366" t="s">
        <v>430</v>
      </c>
    </row>
    <row r="367" spans="1:1" x14ac:dyDescent="0.25">
      <c r="A367" t="s">
        <v>431</v>
      </c>
    </row>
    <row r="368" spans="1:1" x14ac:dyDescent="0.25">
      <c r="A368" t="s">
        <v>432</v>
      </c>
    </row>
    <row r="369" spans="1:1" x14ac:dyDescent="0.25">
      <c r="A369" t="s">
        <v>433</v>
      </c>
    </row>
    <row r="370" spans="1:1" x14ac:dyDescent="0.25">
      <c r="A370" t="s">
        <v>434</v>
      </c>
    </row>
    <row r="371" spans="1:1" x14ac:dyDescent="0.25">
      <c r="A371" t="s">
        <v>435</v>
      </c>
    </row>
    <row r="372" spans="1:1" x14ac:dyDescent="0.25">
      <c r="A372" t="s">
        <v>436</v>
      </c>
    </row>
    <row r="373" spans="1:1" x14ac:dyDescent="0.25">
      <c r="A373" t="s">
        <v>437</v>
      </c>
    </row>
    <row r="374" spans="1:1" x14ac:dyDescent="0.25">
      <c r="A374" t="s">
        <v>438</v>
      </c>
    </row>
    <row r="375" spans="1:1" x14ac:dyDescent="0.25">
      <c r="A375" t="s">
        <v>439</v>
      </c>
    </row>
    <row r="376" spans="1:1" x14ac:dyDescent="0.25">
      <c r="A376" t="s">
        <v>440</v>
      </c>
    </row>
    <row r="377" spans="1:1" x14ac:dyDescent="0.25">
      <c r="A377" t="s">
        <v>441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450</v>
      </c>
    </row>
    <row r="387" spans="1:1" x14ac:dyDescent="0.25">
      <c r="A387" t="s">
        <v>451</v>
      </c>
    </row>
    <row r="388" spans="1:1" x14ac:dyDescent="0.25">
      <c r="A388" t="s">
        <v>452</v>
      </c>
    </row>
    <row r="389" spans="1:1" x14ac:dyDescent="0.25">
      <c r="A389" t="s">
        <v>453</v>
      </c>
    </row>
    <row r="390" spans="1:1" x14ac:dyDescent="0.25">
      <c r="A390" t="s">
        <v>454</v>
      </c>
    </row>
    <row r="391" spans="1:1" x14ac:dyDescent="0.25">
      <c r="A391" t="s">
        <v>455</v>
      </c>
    </row>
    <row r="392" spans="1:1" x14ac:dyDescent="0.25">
      <c r="A392" t="s">
        <v>456</v>
      </c>
    </row>
    <row r="393" spans="1:1" x14ac:dyDescent="0.25">
      <c r="A393" t="s">
        <v>457</v>
      </c>
    </row>
    <row r="394" spans="1:1" x14ac:dyDescent="0.25">
      <c r="A394" t="s">
        <v>458</v>
      </c>
    </row>
    <row r="395" spans="1:1" x14ac:dyDescent="0.25">
      <c r="A395" t="s">
        <v>459</v>
      </c>
    </row>
    <row r="396" spans="1:1" x14ac:dyDescent="0.25">
      <c r="A396" t="s">
        <v>460</v>
      </c>
    </row>
    <row r="397" spans="1:1" x14ac:dyDescent="0.25">
      <c r="A397" t="s">
        <v>461</v>
      </c>
    </row>
    <row r="398" spans="1:1" x14ac:dyDescent="0.25">
      <c r="A398" t="s">
        <v>462</v>
      </c>
    </row>
    <row r="399" spans="1:1" x14ac:dyDescent="0.25">
      <c r="A399" t="s">
        <v>463</v>
      </c>
    </row>
    <row r="400" spans="1:1" x14ac:dyDescent="0.25">
      <c r="A400" t="s">
        <v>464</v>
      </c>
    </row>
    <row r="401" spans="1:1" x14ac:dyDescent="0.25">
      <c r="A401" t="s">
        <v>465</v>
      </c>
    </row>
    <row r="402" spans="1:1" x14ac:dyDescent="0.25">
      <c r="A402" t="s">
        <v>466</v>
      </c>
    </row>
    <row r="403" spans="1:1" x14ac:dyDescent="0.25">
      <c r="A403" t="s">
        <v>467</v>
      </c>
    </row>
    <row r="404" spans="1:1" x14ac:dyDescent="0.25">
      <c r="A404" t="s">
        <v>468</v>
      </c>
    </row>
    <row r="405" spans="1:1" x14ac:dyDescent="0.25">
      <c r="A405" t="s">
        <v>469</v>
      </c>
    </row>
    <row r="406" spans="1:1" x14ac:dyDescent="0.25">
      <c r="A406" t="s">
        <v>470</v>
      </c>
    </row>
    <row r="407" spans="1:1" x14ac:dyDescent="0.25">
      <c r="A407" t="s">
        <v>471</v>
      </c>
    </row>
    <row r="408" spans="1:1" x14ac:dyDescent="0.25">
      <c r="A408" t="s">
        <v>472</v>
      </c>
    </row>
    <row r="409" spans="1:1" x14ac:dyDescent="0.25">
      <c r="A409" t="s">
        <v>473</v>
      </c>
    </row>
    <row r="410" spans="1:1" x14ac:dyDescent="0.25">
      <c r="A410" t="s">
        <v>474</v>
      </c>
    </row>
    <row r="411" spans="1:1" x14ac:dyDescent="0.25">
      <c r="A411" t="s">
        <v>475</v>
      </c>
    </row>
    <row r="412" spans="1:1" x14ac:dyDescent="0.25">
      <c r="A412" t="s">
        <v>476</v>
      </c>
    </row>
    <row r="413" spans="1:1" x14ac:dyDescent="0.25">
      <c r="A413" t="s">
        <v>477</v>
      </c>
    </row>
    <row r="414" spans="1:1" x14ac:dyDescent="0.25">
      <c r="A414" t="s">
        <v>478</v>
      </c>
    </row>
    <row r="415" spans="1:1" x14ac:dyDescent="0.25">
      <c r="A415" t="s">
        <v>479</v>
      </c>
    </row>
    <row r="416" spans="1:1" x14ac:dyDescent="0.25">
      <c r="A416" t="s">
        <v>480</v>
      </c>
    </row>
    <row r="417" spans="1:1" x14ac:dyDescent="0.25">
      <c r="A417" t="s">
        <v>481</v>
      </c>
    </row>
    <row r="418" spans="1:1" x14ac:dyDescent="0.25">
      <c r="A418" t="s">
        <v>482</v>
      </c>
    </row>
    <row r="419" spans="1:1" x14ac:dyDescent="0.25">
      <c r="A419" t="s">
        <v>483</v>
      </c>
    </row>
    <row r="420" spans="1:1" x14ac:dyDescent="0.25">
      <c r="A420" t="s">
        <v>484</v>
      </c>
    </row>
    <row r="421" spans="1:1" x14ac:dyDescent="0.25">
      <c r="A421" t="s">
        <v>485</v>
      </c>
    </row>
    <row r="422" spans="1:1" x14ac:dyDescent="0.25">
      <c r="A422" t="s">
        <v>486</v>
      </c>
    </row>
    <row r="423" spans="1:1" x14ac:dyDescent="0.25">
      <c r="A423" t="s">
        <v>487</v>
      </c>
    </row>
    <row r="424" spans="1:1" x14ac:dyDescent="0.25">
      <c r="A424" t="s">
        <v>488</v>
      </c>
    </row>
    <row r="425" spans="1:1" x14ac:dyDescent="0.25">
      <c r="A425" t="s">
        <v>489</v>
      </c>
    </row>
    <row r="426" spans="1:1" x14ac:dyDescent="0.25">
      <c r="A426" t="s">
        <v>490</v>
      </c>
    </row>
    <row r="427" spans="1:1" x14ac:dyDescent="0.25">
      <c r="A427" t="s">
        <v>491</v>
      </c>
    </row>
    <row r="428" spans="1:1" x14ac:dyDescent="0.25">
      <c r="A428" t="s">
        <v>492</v>
      </c>
    </row>
    <row r="429" spans="1:1" x14ac:dyDescent="0.25">
      <c r="A429" t="s">
        <v>493</v>
      </c>
    </row>
    <row r="430" spans="1:1" x14ac:dyDescent="0.25">
      <c r="A430" t="s">
        <v>494</v>
      </c>
    </row>
    <row r="431" spans="1:1" x14ac:dyDescent="0.25">
      <c r="A431" t="s">
        <v>495</v>
      </c>
    </row>
    <row r="432" spans="1:1" x14ac:dyDescent="0.25">
      <c r="A432" t="s">
        <v>496</v>
      </c>
    </row>
    <row r="433" spans="1:1" x14ac:dyDescent="0.25">
      <c r="A433" t="s">
        <v>497</v>
      </c>
    </row>
    <row r="434" spans="1:1" x14ac:dyDescent="0.25">
      <c r="A434" t="s">
        <v>498</v>
      </c>
    </row>
    <row r="435" spans="1:1" x14ac:dyDescent="0.25">
      <c r="A435" t="s">
        <v>499</v>
      </c>
    </row>
    <row r="436" spans="1:1" x14ac:dyDescent="0.25">
      <c r="A436" t="s">
        <v>500</v>
      </c>
    </row>
    <row r="437" spans="1:1" x14ac:dyDescent="0.25">
      <c r="A437" t="s">
        <v>501</v>
      </c>
    </row>
    <row r="438" spans="1:1" x14ac:dyDescent="0.25">
      <c r="A438" t="s">
        <v>502</v>
      </c>
    </row>
    <row r="439" spans="1:1" x14ac:dyDescent="0.25">
      <c r="A439" t="s">
        <v>503</v>
      </c>
    </row>
    <row r="440" spans="1:1" x14ac:dyDescent="0.25">
      <c r="A440" t="s">
        <v>504</v>
      </c>
    </row>
    <row r="441" spans="1:1" x14ac:dyDescent="0.25">
      <c r="A441" t="s">
        <v>505</v>
      </c>
    </row>
    <row r="442" spans="1:1" x14ac:dyDescent="0.25">
      <c r="A442" t="s">
        <v>506</v>
      </c>
    </row>
    <row r="443" spans="1:1" x14ac:dyDescent="0.25">
      <c r="A443" t="s">
        <v>507</v>
      </c>
    </row>
    <row r="444" spans="1:1" x14ac:dyDescent="0.25">
      <c r="A444" t="s">
        <v>508</v>
      </c>
    </row>
    <row r="445" spans="1:1" x14ac:dyDescent="0.25">
      <c r="A445" t="s">
        <v>509</v>
      </c>
    </row>
    <row r="446" spans="1:1" x14ac:dyDescent="0.25">
      <c r="A446" t="s">
        <v>510</v>
      </c>
    </row>
    <row r="447" spans="1:1" x14ac:dyDescent="0.25">
      <c r="A447" t="s">
        <v>511</v>
      </c>
    </row>
    <row r="448" spans="1:1" x14ac:dyDescent="0.25">
      <c r="A448" t="s">
        <v>512</v>
      </c>
    </row>
    <row r="449" spans="1:1" x14ac:dyDescent="0.25">
      <c r="A449" t="s">
        <v>513</v>
      </c>
    </row>
    <row r="450" spans="1:1" x14ac:dyDescent="0.25">
      <c r="A450" t="s">
        <v>514</v>
      </c>
    </row>
    <row r="451" spans="1:1" x14ac:dyDescent="0.25">
      <c r="A451" t="s">
        <v>515</v>
      </c>
    </row>
    <row r="452" spans="1:1" x14ac:dyDescent="0.25">
      <c r="A452" t="s">
        <v>516</v>
      </c>
    </row>
    <row r="453" spans="1:1" x14ac:dyDescent="0.25">
      <c r="A453" t="s">
        <v>517</v>
      </c>
    </row>
    <row r="454" spans="1:1" x14ac:dyDescent="0.25">
      <c r="A454" t="s">
        <v>518</v>
      </c>
    </row>
    <row r="455" spans="1:1" x14ac:dyDescent="0.25">
      <c r="A455" t="s">
        <v>519</v>
      </c>
    </row>
    <row r="456" spans="1:1" x14ac:dyDescent="0.25">
      <c r="A456" t="s">
        <v>520</v>
      </c>
    </row>
    <row r="457" spans="1:1" x14ac:dyDescent="0.25">
      <c r="A457" t="s">
        <v>521</v>
      </c>
    </row>
    <row r="458" spans="1:1" x14ac:dyDescent="0.25">
      <c r="A458" t="s">
        <v>522</v>
      </c>
    </row>
    <row r="459" spans="1:1" x14ac:dyDescent="0.25">
      <c r="A459" t="s">
        <v>523</v>
      </c>
    </row>
    <row r="460" spans="1:1" x14ac:dyDescent="0.25">
      <c r="A460" t="s">
        <v>524</v>
      </c>
    </row>
    <row r="461" spans="1:1" x14ac:dyDescent="0.25">
      <c r="A461" t="s">
        <v>525</v>
      </c>
    </row>
    <row r="462" spans="1:1" x14ac:dyDescent="0.25">
      <c r="A462" t="s">
        <v>526</v>
      </c>
    </row>
    <row r="463" spans="1:1" x14ac:dyDescent="0.25">
      <c r="A463" t="s">
        <v>527</v>
      </c>
    </row>
    <row r="464" spans="1:1" x14ac:dyDescent="0.25">
      <c r="A464" t="s">
        <v>528</v>
      </c>
    </row>
    <row r="465" spans="1:1" x14ac:dyDescent="0.25">
      <c r="A465" t="s">
        <v>529</v>
      </c>
    </row>
    <row r="466" spans="1:1" x14ac:dyDescent="0.25">
      <c r="A466" t="s">
        <v>530</v>
      </c>
    </row>
    <row r="467" spans="1:1" x14ac:dyDescent="0.25">
      <c r="A467" t="s">
        <v>531</v>
      </c>
    </row>
    <row r="468" spans="1:1" x14ac:dyDescent="0.25">
      <c r="A468" t="s">
        <v>532</v>
      </c>
    </row>
    <row r="469" spans="1:1" x14ac:dyDescent="0.25">
      <c r="A469" t="s">
        <v>533</v>
      </c>
    </row>
    <row r="470" spans="1:1" x14ac:dyDescent="0.25">
      <c r="A470" t="s">
        <v>534</v>
      </c>
    </row>
    <row r="471" spans="1:1" x14ac:dyDescent="0.25">
      <c r="A471" t="s">
        <v>535</v>
      </c>
    </row>
    <row r="472" spans="1:1" x14ac:dyDescent="0.25">
      <c r="A472" t="s">
        <v>536</v>
      </c>
    </row>
    <row r="473" spans="1:1" x14ac:dyDescent="0.25">
      <c r="A473" t="s">
        <v>537</v>
      </c>
    </row>
    <row r="474" spans="1:1" x14ac:dyDescent="0.25">
      <c r="A474" t="s">
        <v>538</v>
      </c>
    </row>
    <row r="475" spans="1:1" x14ac:dyDescent="0.25">
      <c r="A475" t="s">
        <v>539</v>
      </c>
    </row>
    <row r="476" spans="1:1" x14ac:dyDescent="0.25">
      <c r="A476" t="s">
        <v>540</v>
      </c>
    </row>
    <row r="477" spans="1:1" x14ac:dyDescent="0.25">
      <c r="A477" t="s">
        <v>541</v>
      </c>
    </row>
    <row r="478" spans="1:1" x14ac:dyDescent="0.25">
      <c r="A478" t="s">
        <v>542</v>
      </c>
    </row>
    <row r="479" spans="1:1" x14ac:dyDescent="0.25">
      <c r="A479" t="s">
        <v>543</v>
      </c>
    </row>
    <row r="480" spans="1:1" x14ac:dyDescent="0.25">
      <c r="A480" t="s">
        <v>544</v>
      </c>
    </row>
    <row r="481" spans="1:1" x14ac:dyDescent="0.25">
      <c r="A481" t="s">
        <v>545</v>
      </c>
    </row>
    <row r="482" spans="1:1" x14ac:dyDescent="0.25">
      <c r="A482" t="s">
        <v>546</v>
      </c>
    </row>
    <row r="483" spans="1:1" x14ac:dyDescent="0.25">
      <c r="A483" t="s">
        <v>547</v>
      </c>
    </row>
    <row r="484" spans="1:1" x14ac:dyDescent="0.25">
      <c r="A484" t="s">
        <v>548</v>
      </c>
    </row>
    <row r="485" spans="1:1" x14ac:dyDescent="0.25">
      <c r="A485" t="s">
        <v>549</v>
      </c>
    </row>
    <row r="486" spans="1:1" x14ac:dyDescent="0.25">
      <c r="A486" t="s">
        <v>550</v>
      </c>
    </row>
    <row r="487" spans="1:1" x14ac:dyDescent="0.25">
      <c r="A487" t="s">
        <v>551</v>
      </c>
    </row>
    <row r="488" spans="1:1" x14ac:dyDescent="0.25">
      <c r="A488" t="s">
        <v>552</v>
      </c>
    </row>
    <row r="489" spans="1:1" x14ac:dyDescent="0.25">
      <c r="A489" t="s">
        <v>553</v>
      </c>
    </row>
    <row r="490" spans="1:1" x14ac:dyDescent="0.25">
      <c r="A490" t="s">
        <v>554</v>
      </c>
    </row>
    <row r="491" spans="1:1" x14ac:dyDescent="0.25">
      <c r="A491" t="s">
        <v>555</v>
      </c>
    </row>
    <row r="492" spans="1:1" x14ac:dyDescent="0.25">
      <c r="A492" t="s">
        <v>556</v>
      </c>
    </row>
    <row r="493" spans="1:1" x14ac:dyDescent="0.25">
      <c r="A493" t="s">
        <v>557</v>
      </c>
    </row>
    <row r="494" spans="1:1" x14ac:dyDescent="0.25">
      <c r="A494" t="s">
        <v>558</v>
      </c>
    </row>
    <row r="495" spans="1:1" x14ac:dyDescent="0.25">
      <c r="A495" t="s">
        <v>559</v>
      </c>
    </row>
    <row r="496" spans="1:1" x14ac:dyDescent="0.25">
      <c r="A496" t="s">
        <v>560</v>
      </c>
    </row>
    <row r="497" spans="1:1" x14ac:dyDescent="0.25">
      <c r="A497" t="s">
        <v>561</v>
      </c>
    </row>
    <row r="498" spans="1:1" x14ac:dyDescent="0.25">
      <c r="A498" t="s">
        <v>562</v>
      </c>
    </row>
    <row r="499" spans="1:1" x14ac:dyDescent="0.25">
      <c r="A499" t="s">
        <v>563</v>
      </c>
    </row>
    <row r="500" spans="1:1" x14ac:dyDescent="0.25">
      <c r="A500" t="s">
        <v>564</v>
      </c>
    </row>
    <row r="501" spans="1:1" x14ac:dyDescent="0.25">
      <c r="A501" t="s">
        <v>565</v>
      </c>
    </row>
    <row r="502" spans="1:1" x14ac:dyDescent="0.25">
      <c r="A502" t="s">
        <v>566</v>
      </c>
    </row>
    <row r="503" spans="1:1" x14ac:dyDescent="0.25">
      <c r="A503" t="s">
        <v>567</v>
      </c>
    </row>
    <row r="504" spans="1:1" x14ac:dyDescent="0.25">
      <c r="A504" t="s">
        <v>568</v>
      </c>
    </row>
    <row r="505" spans="1:1" x14ac:dyDescent="0.25">
      <c r="A505" t="s">
        <v>569</v>
      </c>
    </row>
    <row r="506" spans="1:1" x14ac:dyDescent="0.25">
      <c r="A506" t="s">
        <v>570</v>
      </c>
    </row>
    <row r="507" spans="1:1" x14ac:dyDescent="0.25">
      <c r="A507" t="s">
        <v>571</v>
      </c>
    </row>
    <row r="508" spans="1:1" x14ac:dyDescent="0.25">
      <c r="A508" t="s">
        <v>572</v>
      </c>
    </row>
    <row r="509" spans="1:1" x14ac:dyDescent="0.25">
      <c r="A509" t="s">
        <v>573</v>
      </c>
    </row>
    <row r="510" spans="1:1" x14ac:dyDescent="0.25">
      <c r="A510" t="s">
        <v>574</v>
      </c>
    </row>
    <row r="511" spans="1:1" x14ac:dyDescent="0.25">
      <c r="A511" t="s">
        <v>575</v>
      </c>
    </row>
    <row r="512" spans="1:1" x14ac:dyDescent="0.25">
      <c r="A512" t="s">
        <v>576</v>
      </c>
    </row>
    <row r="513" spans="1:1" x14ac:dyDescent="0.25">
      <c r="A513" t="s">
        <v>577</v>
      </c>
    </row>
    <row r="514" spans="1:1" x14ac:dyDescent="0.25">
      <c r="A514" t="s">
        <v>578</v>
      </c>
    </row>
    <row r="515" spans="1:1" x14ac:dyDescent="0.25">
      <c r="A515" t="s">
        <v>579</v>
      </c>
    </row>
    <row r="516" spans="1:1" x14ac:dyDescent="0.25">
      <c r="A516" t="s">
        <v>580</v>
      </c>
    </row>
    <row r="517" spans="1:1" x14ac:dyDescent="0.25">
      <c r="A517" t="s">
        <v>581</v>
      </c>
    </row>
    <row r="518" spans="1:1" x14ac:dyDescent="0.25">
      <c r="A518" t="s">
        <v>582</v>
      </c>
    </row>
    <row r="519" spans="1:1" x14ac:dyDescent="0.25">
      <c r="A519" t="s">
        <v>583</v>
      </c>
    </row>
    <row r="520" spans="1:1" x14ac:dyDescent="0.25">
      <c r="A520" t="s">
        <v>584</v>
      </c>
    </row>
    <row r="521" spans="1:1" x14ac:dyDescent="0.25">
      <c r="A521" t="s">
        <v>585</v>
      </c>
    </row>
    <row r="522" spans="1:1" x14ac:dyDescent="0.25">
      <c r="A522" t="s">
        <v>586</v>
      </c>
    </row>
    <row r="523" spans="1:1" x14ac:dyDescent="0.25">
      <c r="A523" t="s">
        <v>587</v>
      </c>
    </row>
    <row r="524" spans="1:1" x14ac:dyDescent="0.25">
      <c r="A524" t="s">
        <v>588</v>
      </c>
    </row>
    <row r="525" spans="1:1" x14ac:dyDescent="0.25">
      <c r="A525" t="s">
        <v>589</v>
      </c>
    </row>
    <row r="526" spans="1:1" x14ac:dyDescent="0.25">
      <c r="A526" t="s">
        <v>590</v>
      </c>
    </row>
    <row r="527" spans="1:1" x14ac:dyDescent="0.25">
      <c r="A527" t="s">
        <v>591</v>
      </c>
    </row>
    <row r="528" spans="1:1" x14ac:dyDescent="0.25">
      <c r="A528" t="s">
        <v>592</v>
      </c>
    </row>
    <row r="529" spans="1:1" x14ac:dyDescent="0.25">
      <c r="A529" t="s">
        <v>593</v>
      </c>
    </row>
    <row r="530" spans="1:1" x14ac:dyDescent="0.25">
      <c r="A530" t="s">
        <v>594</v>
      </c>
    </row>
    <row r="531" spans="1:1" x14ac:dyDescent="0.25">
      <c r="A531" t="s">
        <v>595</v>
      </c>
    </row>
    <row r="532" spans="1:1" x14ac:dyDescent="0.25">
      <c r="A532" t="s">
        <v>596</v>
      </c>
    </row>
    <row r="533" spans="1:1" x14ac:dyDescent="0.25">
      <c r="A533" t="s">
        <v>597</v>
      </c>
    </row>
    <row r="534" spans="1:1" x14ac:dyDescent="0.25">
      <c r="A534" t="s">
        <v>598</v>
      </c>
    </row>
    <row r="535" spans="1:1" x14ac:dyDescent="0.25">
      <c r="A535" t="s">
        <v>599</v>
      </c>
    </row>
    <row r="536" spans="1:1" x14ac:dyDescent="0.25">
      <c r="A536" t="s">
        <v>600</v>
      </c>
    </row>
    <row r="537" spans="1:1" x14ac:dyDescent="0.25">
      <c r="A537" t="s">
        <v>601</v>
      </c>
    </row>
    <row r="538" spans="1:1" x14ac:dyDescent="0.25">
      <c r="A538" t="s">
        <v>602</v>
      </c>
    </row>
    <row r="539" spans="1:1" x14ac:dyDescent="0.25">
      <c r="A539" t="s">
        <v>603</v>
      </c>
    </row>
    <row r="540" spans="1:1" x14ac:dyDescent="0.25">
      <c r="A540" t="s">
        <v>604</v>
      </c>
    </row>
    <row r="541" spans="1:1" x14ac:dyDescent="0.25">
      <c r="A541" t="s">
        <v>605</v>
      </c>
    </row>
    <row r="542" spans="1:1" x14ac:dyDescent="0.25">
      <c r="A542" t="s">
        <v>606</v>
      </c>
    </row>
    <row r="543" spans="1:1" x14ac:dyDescent="0.25">
      <c r="A543" t="s">
        <v>607</v>
      </c>
    </row>
    <row r="544" spans="1:1" x14ac:dyDescent="0.25">
      <c r="A544" t="s">
        <v>608</v>
      </c>
    </row>
    <row r="545" spans="1:1" x14ac:dyDescent="0.25">
      <c r="A545" t="s">
        <v>609</v>
      </c>
    </row>
    <row r="546" spans="1:1" x14ac:dyDescent="0.25">
      <c r="A546" t="s">
        <v>610</v>
      </c>
    </row>
    <row r="547" spans="1:1" x14ac:dyDescent="0.25">
      <c r="A547" t="s">
        <v>611</v>
      </c>
    </row>
    <row r="548" spans="1:1" x14ac:dyDescent="0.25">
      <c r="A548" t="s">
        <v>612</v>
      </c>
    </row>
    <row r="549" spans="1:1" x14ac:dyDescent="0.25">
      <c r="A549" t="s">
        <v>613</v>
      </c>
    </row>
    <row r="550" spans="1:1" x14ac:dyDescent="0.25">
      <c r="A550" t="s">
        <v>614</v>
      </c>
    </row>
    <row r="551" spans="1:1" x14ac:dyDescent="0.25">
      <c r="A551" t="s">
        <v>615</v>
      </c>
    </row>
    <row r="552" spans="1:1" x14ac:dyDescent="0.25">
      <c r="A552" t="s">
        <v>616</v>
      </c>
    </row>
    <row r="553" spans="1:1" x14ac:dyDescent="0.25">
      <c r="A553" t="s">
        <v>617</v>
      </c>
    </row>
    <row r="554" spans="1:1" x14ac:dyDescent="0.25">
      <c r="A554" t="s">
        <v>618</v>
      </c>
    </row>
    <row r="555" spans="1:1" x14ac:dyDescent="0.25">
      <c r="A555" t="s">
        <v>619</v>
      </c>
    </row>
    <row r="556" spans="1:1" x14ac:dyDescent="0.25">
      <c r="A556" t="s">
        <v>620</v>
      </c>
    </row>
    <row r="557" spans="1:1" x14ac:dyDescent="0.25">
      <c r="A557" t="s">
        <v>621</v>
      </c>
    </row>
    <row r="558" spans="1:1" x14ac:dyDescent="0.25">
      <c r="A558" t="s">
        <v>622</v>
      </c>
    </row>
    <row r="559" spans="1:1" x14ac:dyDescent="0.25">
      <c r="A559" t="s">
        <v>623</v>
      </c>
    </row>
    <row r="560" spans="1:1" x14ac:dyDescent="0.25">
      <c r="A560" t="s">
        <v>624</v>
      </c>
    </row>
    <row r="561" spans="1:1" x14ac:dyDescent="0.25">
      <c r="A561" t="s">
        <v>625</v>
      </c>
    </row>
    <row r="562" spans="1:1" x14ac:dyDescent="0.25">
      <c r="A562" t="s">
        <v>626</v>
      </c>
    </row>
    <row r="563" spans="1:1" x14ac:dyDescent="0.25">
      <c r="A563" t="s">
        <v>627</v>
      </c>
    </row>
    <row r="564" spans="1:1" x14ac:dyDescent="0.25">
      <c r="A564" t="s">
        <v>628</v>
      </c>
    </row>
    <row r="565" spans="1:1" x14ac:dyDescent="0.25">
      <c r="A565" t="s">
        <v>629</v>
      </c>
    </row>
    <row r="566" spans="1:1" x14ac:dyDescent="0.25">
      <c r="A566" t="s">
        <v>630</v>
      </c>
    </row>
    <row r="567" spans="1:1" x14ac:dyDescent="0.25">
      <c r="A567" t="s">
        <v>631</v>
      </c>
    </row>
    <row r="568" spans="1:1" x14ac:dyDescent="0.25">
      <c r="A568" t="s">
        <v>632</v>
      </c>
    </row>
    <row r="569" spans="1:1" x14ac:dyDescent="0.25">
      <c r="A569" t="s">
        <v>633</v>
      </c>
    </row>
    <row r="570" spans="1:1" x14ac:dyDescent="0.25">
      <c r="A570" t="s">
        <v>634</v>
      </c>
    </row>
    <row r="571" spans="1:1" x14ac:dyDescent="0.25">
      <c r="A571" t="s">
        <v>635</v>
      </c>
    </row>
    <row r="572" spans="1:1" x14ac:dyDescent="0.25">
      <c r="A572" t="s">
        <v>636</v>
      </c>
    </row>
    <row r="573" spans="1:1" x14ac:dyDescent="0.25">
      <c r="A573" t="s">
        <v>637</v>
      </c>
    </row>
    <row r="574" spans="1:1" x14ac:dyDescent="0.25">
      <c r="A574" t="s">
        <v>638</v>
      </c>
    </row>
    <row r="575" spans="1:1" x14ac:dyDescent="0.25">
      <c r="A575" t="s">
        <v>639</v>
      </c>
    </row>
    <row r="576" spans="1:1" x14ac:dyDescent="0.25">
      <c r="A576" t="s">
        <v>640</v>
      </c>
    </row>
    <row r="577" spans="1:1" x14ac:dyDescent="0.25">
      <c r="A577" t="s">
        <v>641</v>
      </c>
    </row>
    <row r="578" spans="1:1" x14ac:dyDescent="0.25">
      <c r="A578" t="s">
        <v>642</v>
      </c>
    </row>
    <row r="579" spans="1:1" x14ac:dyDescent="0.25">
      <c r="A579" t="s">
        <v>643</v>
      </c>
    </row>
    <row r="580" spans="1:1" x14ac:dyDescent="0.25">
      <c r="A580" t="s">
        <v>644</v>
      </c>
    </row>
    <row r="581" spans="1:1" x14ac:dyDescent="0.25">
      <c r="A581" t="s">
        <v>645</v>
      </c>
    </row>
    <row r="582" spans="1:1" x14ac:dyDescent="0.25">
      <c r="A582" t="s">
        <v>646</v>
      </c>
    </row>
    <row r="583" spans="1:1" x14ac:dyDescent="0.25">
      <c r="A583" t="s">
        <v>647</v>
      </c>
    </row>
    <row r="584" spans="1:1" x14ac:dyDescent="0.25">
      <c r="A584" t="s">
        <v>648</v>
      </c>
    </row>
    <row r="585" spans="1:1" x14ac:dyDescent="0.25">
      <c r="A585" t="s">
        <v>649</v>
      </c>
    </row>
    <row r="586" spans="1:1" x14ac:dyDescent="0.25">
      <c r="A586" t="s">
        <v>650</v>
      </c>
    </row>
    <row r="587" spans="1:1" x14ac:dyDescent="0.25">
      <c r="A587" t="s">
        <v>651</v>
      </c>
    </row>
    <row r="588" spans="1:1" x14ac:dyDescent="0.25">
      <c r="A588" t="s">
        <v>652</v>
      </c>
    </row>
    <row r="589" spans="1:1" x14ac:dyDescent="0.25">
      <c r="A589" t="s">
        <v>653</v>
      </c>
    </row>
    <row r="590" spans="1:1" x14ac:dyDescent="0.25">
      <c r="A590" t="s">
        <v>654</v>
      </c>
    </row>
    <row r="591" spans="1:1" x14ac:dyDescent="0.25">
      <c r="A591" t="s">
        <v>655</v>
      </c>
    </row>
    <row r="592" spans="1:1" x14ac:dyDescent="0.25">
      <c r="A592" t="s">
        <v>656</v>
      </c>
    </row>
    <row r="593" spans="1:1" x14ac:dyDescent="0.25">
      <c r="A593" t="s">
        <v>657</v>
      </c>
    </row>
    <row r="594" spans="1:1" x14ac:dyDescent="0.25">
      <c r="A594" t="s">
        <v>658</v>
      </c>
    </row>
    <row r="595" spans="1:1" x14ac:dyDescent="0.25">
      <c r="A595" t="s">
        <v>659</v>
      </c>
    </row>
    <row r="596" spans="1:1" x14ac:dyDescent="0.25">
      <c r="A596" t="s">
        <v>660</v>
      </c>
    </row>
    <row r="597" spans="1:1" x14ac:dyDescent="0.25">
      <c r="A597" t="s">
        <v>661</v>
      </c>
    </row>
    <row r="598" spans="1:1" x14ac:dyDescent="0.25">
      <c r="A598" t="s">
        <v>662</v>
      </c>
    </row>
    <row r="599" spans="1:1" x14ac:dyDescent="0.25">
      <c r="A599" t="s">
        <v>663</v>
      </c>
    </row>
    <row r="600" spans="1:1" x14ac:dyDescent="0.25">
      <c r="A600" t="s">
        <v>664</v>
      </c>
    </row>
    <row r="601" spans="1:1" x14ac:dyDescent="0.25">
      <c r="A601" t="s">
        <v>665</v>
      </c>
    </row>
    <row r="602" spans="1:1" x14ac:dyDescent="0.25">
      <c r="A602" t="s">
        <v>666</v>
      </c>
    </row>
    <row r="603" spans="1:1" x14ac:dyDescent="0.25">
      <c r="A603" t="s">
        <v>667</v>
      </c>
    </row>
    <row r="604" spans="1:1" x14ac:dyDescent="0.25">
      <c r="A604" t="s">
        <v>668</v>
      </c>
    </row>
    <row r="605" spans="1:1" x14ac:dyDescent="0.25">
      <c r="A605" t="s">
        <v>669</v>
      </c>
    </row>
    <row r="606" spans="1:1" x14ac:dyDescent="0.25">
      <c r="A606" t="s">
        <v>670</v>
      </c>
    </row>
    <row r="607" spans="1:1" x14ac:dyDescent="0.25">
      <c r="A607" t="s">
        <v>671</v>
      </c>
    </row>
    <row r="608" spans="1:1" x14ac:dyDescent="0.25">
      <c r="A608" t="s">
        <v>672</v>
      </c>
    </row>
    <row r="609" spans="1:1" x14ac:dyDescent="0.25">
      <c r="A609" t="s">
        <v>673</v>
      </c>
    </row>
    <row r="610" spans="1:1" x14ac:dyDescent="0.25">
      <c r="A610" t="s">
        <v>674</v>
      </c>
    </row>
    <row r="611" spans="1:1" x14ac:dyDescent="0.25">
      <c r="A611" t="s">
        <v>675</v>
      </c>
    </row>
    <row r="612" spans="1:1" x14ac:dyDescent="0.25">
      <c r="A612" t="s">
        <v>676</v>
      </c>
    </row>
    <row r="613" spans="1:1" x14ac:dyDescent="0.25">
      <c r="A613" t="s">
        <v>677</v>
      </c>
    </row>
    <row r="614" spans="1:1" x14ac:dyDescent="0.25">
      <c r="A614" t="s">
        <v>678</v>
      </c>
    </row>
    <row r="615" spans="1:1" x14ac:dyDescent="0.25">
      <c r="A615" t="s">
        <v>679</v>
      </c>
    </row>
    <row r="616" spans="1:1" x14ac:dyDescent="0.25">
      <c r="A616" t="s">
        <v>680</v>
      </c>
    </row>
    <row r="617" spans="1:1" x14ac:dyDescent="0.25">
      <c r="A617" t="s">
        <v>681</v>
      </c>
    </row>
    <row r="618" spans="1:1" x14ac:dyDescent="0.25">
      <c r="A618" t="s">
        <v>682</v>
      </c>
    </row>
    <row r="619" spans="1:1" x14ac:dyDescent="0.25">
      <c r="A619" t="s">
        <v>683</v>
      </c>
    </row>
    <row r="620" spans="1:1" x14ac:dyDescent="0.25">
      <c r="A620" t="s">
        <v>684</v>
      </c>
    </row>
    <row r="621" spans="1:1" x14ac:dyDescent="0.25">
      <c r="A621" t="s">
        <v>685</v>
      </c>
    </row>
    <row r="622" spans="1:1" x14ac:dyDescent="0.25">
      <c r="A622" t="s">
        <v>686</v>
      </c>
    </row>
    <row r="623" spans="1:1" x14ac:dyDescent="0.25">
      <c r="A623" t="s">
        <v>687</v>
      </c>
    </row>
    <row r="624" spans="1:1" x14ac:dyDescent="0.25">
      <c r="A624" t="s">
        <v>688</v>
      </c>
    </row>
    <row r="625" spans="1:1" x14ac:dyDescent="0.25">
      <c r="A625" t="s">
        <v>689</v>
      </c>
    </row>
    <row r="626" spans="1:1" x14ac:dyDescent="0.25">
      <c r="A626" t="s">
        <v>690</v>
      </c>
    </row>
    <row r="627" spans="1:1" x14ac:dyDescent="0.25">
      <c r="A627" t="s">
        <v>691</v>
      </c>
    </row>
    <row r="628" spans="1:1" x14ac:dyDescent="0.25">
      <c r="A628" t="s">
        <v>692</v>
      </c>
    </row>
    <row r="629" spans="1:1" x14ac:dyDescent="0.25">
      <c r="A629" t="s">
        <v>693</v>
      </c>
    </row>
    <row r="630" spans="1:1" x14ac:dyDescent="0.25">
      <c r="A630" t="s">
        <v>694</v>
      </c>
    </row>
    <row r="631" spans="1:1" x14ac:dyDescent="0.25">
      <c r="A631" t="s">
        <v>695</v>
      </c>
    </row>
    <row r="632" spans="1:1" x14ac:dyDescent="0.25">
      <c r="A632" t="s">
        <v>696</v>
      </c>
    </row>
    <row r="633" spans="1:1" x14ac:dyDescent="0.25">
      <c r="A633" t="s">
        <v>697</v>
      </c>
    </row>
    <row r="634" spans="1:1" x14ac:dyDescent="0.25">
      <c r="A634" t="s">
        <v>698</v>
      </c>
    </row>
    <row r="635" spans="1:1" x14ac:dyDescent="0.25">
      <c r="A635" t="s">
        <v>699</v>
      </c>
    </row>
    <row r="636" spans="1:1" x14ac:dyDescent="0.25">
      <c r="A636" t="s">
        <v>700</v>
      </c>
    </row>
    <row r="637" spans="1:1" x14ac:dyDescent="0.25">
      <c r="A637" t="s">
        <v>701</v>
      </c>
    </row>
    <row r="638" spans="1:1" x14ac:dyDescent="0.25">
      <c r="A638" t="s">
        <v>702</v>
      </c>
    </row>
    <row r="639" spans="1:1" x14ac:dyDescent="0.25">
      <c r="A639" t="s">
        <v>703</v>
      </c>
    </row>
    <row r="640" spans="1:1" x14ac:dyDescent="0.25">
      <c r="A640" t="s">
        <v>704</v>
      </c>
    </row>
    <row r="641" spans="1:1" x14ac:dyDescent="0.25">
      <c r="A641" t="s">
        <v>705</v>
      </c>
    </row>
    <row r="642" spans="1:1" x14ac:dyDescent="0.25">
      <c r="A642" t="s">
        <v>706</v>
      </c>
    </row>
    <row r="643" spans="1:1" x14ac:dyDescent="0.25">
      <c r="A643" t="s">
        <v>707</v>
      </c>
    </row>
    <row r="644" spans="1:1" x14ac:dyDescent="0.25">
      <c r="A644" t="s">
        <v>708</v>
      </c>
    </row>
    <row r="645" spans="1:1" x14ac:dyDescent="0.25">
      <c r="A645" t="s">
        <v>709</v>
      </c>
    </row>
    <row r="646" spans="1:1" x14ac:dyDescent="0.25">
      <c r="A646" t="s">
        <v>710</v>
      </c>
    </row>
    <row r="647" spans="1:1" x14ac:dyDescent="0.25">
      <c r="A647" t="s">
        <v>711</v>
      </c>
    </row>
    <row r="648" spans="1:1" x14ac:dyDescent="0.25">
      <c r="A648" t="s">
        <v>712</v>
      </c>
    </row>
    <row r="649" spans="1:1" x14ac:dyDescent="0.25">
      <c r="A649" t="s">
        <v>713</v>
      </c>
    </row>
    <row r="650" spans="1:1" x14ac:dyDescent="0.25">
      <c r="A650" t="s">
        <v>714</v>
      </c>
    </row>
    <row r="651" spans="1:1" x14ac:dyDescent="0.25">
      <c r="A651" t="s">
        <v>715</v>
      </c>
    </row>
    <row r="652" spans="1:1" x14ac:dyDescent="0.25">
      <c r="A652" t="s">
        <v>716</v>
      </c>
    </row>
    <row r="653" spans="1:1" x14ac:dyDescent="0.25">
      <c r="A653" t="s">
        <v>717</v>
      </c>
    </row>
    <row r="654" spans="1:1" x14ac:dyDescent="0.25">
      <c r="A654" t="s">
        <v>718</v>
      </c>
    </row>
    <row r="655" spans="1:1" x14ac:dyDescent="0.25">
      <c r="A655" t="s">
        <v>719</v>
      </c>
    </row>
    <row r="656" spans="1:1" x14ac:dyDescent="0.25">
      <c r="A656" t="s">
        <v>720</v>
      </c>
    </row>
    <row r="657" spans="1:1" x14ac:dyDescent="0.25">
      <c r="A657" t="s">
        <v>721</v>
      </c>
    </row>
    <row r="658" spans="1:1" x14ac:dyDescent="0.25">
      <c r="A658" t="s">
        <v>722</v>
      </c>
    </row>
    <row r="659" spans="1:1" x14ac:dyDescent="0.25">
      <c r="A659" t="s">
        <v>723</v>
      </c>
    </row>
    <row r="660" spans="1:1" x14ac:dyDescent="0.25">
      <c r="A660" t="s">
        <v>724</v>
      </c>
    </row>
    <row r="661" spans="1:1" x14ac:dyDescent="0.25">
      <c r="A661" t="s">
        <v>725</v>
      </c>
    </row>
    <row r="662" spans="1:1" x14ac:dyDescent="0.25">
      <c r="A662" t="s">
        <v>726</v>
      </c>
    </row>
    <row r="663" spans="1:1" x14ac:dyDescent="0.25">
      <c r="A663" t="s">
        <v>727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733</v>
      </c>
    </row>
    <row r="670" spans="1:1" x14ac:dyDescent="0.25">
      <c r="A670" t="s">
        <v>734</v>
      </c>
    </row>
    <row r="671" spans="1:1" x14ac:dyDescent="0.25">
      <c r="A671" t="s">
        <v>735</v>
      </c>
    </row>
    <row r="672" spans="1:1" x14ac:dyDescent="0.25">
      <c r="A672" t="s">
        <v>736</v>
      </c>
    </row>
    <row r="673" spans="1:1" x14ac:dyDescent="0.25">
      <c r="A673" t="s">
        <v>737</v>
      </c>
    </row>
    <row r="674" spans="1:1" x14ac:dyDescent="0.25">
      <c r="A674" t="s">
        <v>738</v>
      </c>
    </row>
    <row r="675" spans="1:1" x14ac:dyDescent="0.25">
      <c r="A675" t="s">
        <v>739</v>
      </c>
    </row>
    <row r="676" spans="1:1" x14ac:dyDescent="0.25">
      <c r="A676" t="s">
        <v>740</v>
      </c>
    </row>
    <row r="677" spans="1:1" x14ac:dyDescent="0.25">
      <c r="A677" t="s">
        <v>741</v>
      </c>
    </row>
    <row r="678" spans="1:1" x14ac:dyDescent="0.25">
      <c r="A678" t="s">
        <v>742</v>
      </c>
    </row>
    <row r="679" spans="1:1" x14ac:dyDescent="0.25">
      <c r="A679" t="s">
        <v>743</v>
      </c>
    </row>
    <row r="680" spans="1:1" x14ac:dyDescent="0.25">
      <c r="A680" t="s">
        <v>744</v>
      </c>
    </row>
    <row r="681" spans="1:1" x14ac:dyDescent="0.25">
      <c r="A681" t="s">
        <v>745</v>
      </c>
    </row>
    <row r="682" spans="1:1" x14ac:dyDescent="0.25">
      <c r="A682" t="s">
        <v>746</v>
      </c>
    </row>
    <row r="683" spans="1:1" x14ac:dyDescent="0.25">
      <c r="A683" t="s">
        <v>747</v>
      </c>
    </row>
    <row r="684" spans="1:1" x14ac:dyDescent="0.25">
      <c r="A684" t="s">
        <v>748</v>
      </c>
    </row>
    <row r="685" spans="1:1" x14ac:dyDescent="0.25">
      <c r="A685" t="s">
        <v>749</v>
      </c>
    </row>
    <row r="686" spans="1:1" x14ac:dyDescent="0.25">
      <c r="A686" t="s">
        <v>750</v>
      </c>
    </row>
    <row r="687" spans="1:1" x14ac:dyDescent="0.25">
      <c r="A687" t="s">
        <v>751</v>
      </c>
    </row>
    <row r="688" spans="1:1" x14ac:dyDescent="0.25">
      <c r="A688" t="s">
        <v>752</v>
      </c>
    </row>
    <row r="689" spans="1:1" x14ac:dyDescent="0.25">
      <c r="A689" t="s">
        <v>753</v>
      </c>
    </row>
    <row r="690" spans="1:1" x14ac:dyDescent="0.25">
      <c r="A690" t="s">
        <v>754</v>
      </c>
    </row>
    <row r="691" spans="1:1" x14ac:dyDescent="0.25">
      <c r="A691" t="s">
        <v>755</v>
      </c>
    </row>
    <row r="692" spans="1:1" x14ac:dyDescent="0.25">
      <c r="A692" t="s">
        <v>756</v>
      </c>
    </row>
    <row r="693" spans="1:1" x14ac:dyDescent="0.25">
      <c r="A693" t="s">
        <v>757</v>
      </c>
    </row>
    <row r="694" spans="1:1" x14ac:dyDescent="0.25">
      <c r="A694" t="s">
        <v>758</v>
      </c>
    </row>
    <row r="695" spans="1:1" x14ac:dyDescent="0.25">
      <c r="A695" t="s">
        <v>759</v>
      </c>
    </row>
    <row r="696" spans="1:1" x14ac:dyDescent="0.25">
      <c r="A696" t="s">
        <v>760</v>
      </c>
    </row>
    <row r="697" spans="1:1" x14ac:dyDescent="0.25">
      <c r="A697" t="s">
        <v>761</v>
      </c>
    </row>
    <row r="698" spans="1:1" x14ac:dyDescent="0.25">
      <c r="A698" t="s">
        <v>762</v>
      </c>
    </row>
    <row r="699" spans="1:1" x14ac:dyDescent="0.25">
      <c r="A699" t="s">
        <v>763</v>
      </c>
    </row>
    <row r="700" spans="1:1" x14ac:dyDescent="0.25">
      <c r="A700" t="s">
        <v>764</v>
      </c>
    </row>
    <row r="701" spans="1:1" x14ac:dyDescent="0.25">
      <c r="A701" t="s">
        <v>765</v>
      </c>
    </row>
    <row r="702" spans="1:1" x14ac:dyDescent="0.25">
      <c r="A702" t="s">
        <v>766</v>
      </c>
    </row>
    <row r="703" spans="1:1" x14ac:dyDescent="0.25">
      <c r="A703" t="s">
        <v>767</v>
      </c>
    </row>
    <row r="704" spans="1:1" x14ac:dyDescent="0.25">
      <c r="A704" t="s">
        <v>768</v>
      </c>
    </row>
    <row r="705" spans="1:1" x14ac:dyDescent="0.25">
      <c r="A705" t="s">
        <v>769</v>
      </c>
    </row>
    <row r="706" spans="1:1" x14ac:dyDescent="0.25">
      <c r="A706" t="s">
        <v>770</v>
      </c>
    </row>
    <row r="707" spans="1:1" x14ac:dyDescent="0.25">
      <c r="A707" t="s">
        <v>771</v>
      </c>
    </row>
    <row r="708" spans="1:1" x14ac:dyDescent="0.25">
      <c r="A708" t="s">
        <v>772</v>
      </c>
    </row>
    <row r="709" spans="1:1" x14ac:dyDescent="0.25">
      <c r="A709" t="s">
        <v>773</v>
      </c>
    </row>
    <row r="710" spans="1:1" x14ac:dyDescent="0.25">
      <c r="A710" t="s">
        <v>774</v>
      </c>
    </row>
    <row r="711" spans="1:1" x14ac:dyDescent="0.25">
      <c r="A711" t="s">
        <v>775</v>
      </c>
    </row>
    <row r="712" spans="1:1" x14ac:dyDescent="0.25">
      <c r="A712" t="s">
        <v>776</v>
      </c>
    </row>
    <row r="713" spans="1:1" x14ac:dyDescent="0.25">
      <c r="A713" t="s">
        <v>777</v>
      </c>
    </row>
    <row r="714" spans="1:1" x14ac:dyDescent="0.25">
      <c r="A714" t="s">
        <v>778</v>
      </c>
    </row>
    <row r="715" spans="1:1" x14ac:dyDescent="0.25">
      <c r="A715" t="s">
        <v>779</v>
      </c>
    </row>
    <row r="716" spans="1:1" x14ac:dyDescent="0.25">
      <c r="A716" t="s">
        <v>780</v>
      </c>
    </row>
    <row r="717" spans="1:1" x14ac:dyDescent="0.25">
      <c r="A717" t="s">
        <v>781</v>
      </c>
    </row>
    <row r="718" spans="1:1" x14ac:dyDescent="0.25">
      <c r="A718" t="s">
        <v>782</v>
      </c>
    </row>
    <row r="719" spans="1:1" x14ac:dyDescent="0.25">
      <c r="A719" t="s">
        <v>783</v>
      </c>
    </row>
    <row r="720" spans="1:1" x14ac:dyDescent="0.25">
      <c r="A720" t="s">
        <v>784</v>
      </c>
    </row>
    <row r="721" spans="1:1" x14ac:dyDescent="0.25">
      <c r="A721" t="s">
        <v>785</v>
      </c>
    </row>
    <row r="722" spans="1:1" x14ac:dyDescent="0.25">
      <c r="A722" t="s">
        <v>786</v>
      </c>
    </row>
    <row r="723" spans="1:1" x14ac:dyDescent="0.25">
      <c r="A723" t="s">
        <v>787</v>
      </c>
    </row>
    <row r="724" spans="1:1" x14ac:dyDescent="0.25">
      <c r="A724" t="s">
        <v>788</v>
      </c>
    </row>
    <row r="725" spans="1:1" x14ac:dyDescent="0.25">
      <c r="A725" t="s">
        <v>789</v>
      </c>
    </row>
    <row r="726" spans="1:1" x14ac:dyDescent="0.25">
      <c r="A726" t="s">
        <v>790</v>
      </c>
    </row>
    <row r="727" spans="1:1" x14ac:dyDescent="0.25">
      <c r="A727" t="s">
        <v>791</v>
      </c>
    </row>
    <row r="728" spans="1:1" x14ac:dyDescent="0.25">
      <c r="A728" t="s">
        <v>792</v>
      </c>
    </row>
    <row r="729" spans="1:1" x14ac:dyDescent="0.25">
      <c r="A729" t="s">
        <v>793</v>
      </c>
    </row>
    <row r="730" spans="1:1" x14ac:dyDescent="0.25">
      <c r="A730" t="s">
        <v>794</v>
      </c>
    </row>
    <row r="731" spans="1:1" x14ac:dyDescent="0.25">
      <c r="A731" t="s">
        <v>795</v>
      </c>
    </row>
    <row r="732" spans="1:1" x14ac:dyDescent="0.25">
      <c r="A732" t="s">
        <v>796</v>
      </c>
    </row>
    <row r="733" spans="1:1" x14ac:dyDescent="0.25">
      <c r="A733" t="s">
        <v>797</v>
      </c>
    </row>
    <row r="734" spans="1:1" x14ac:dyDescent="0.25">
      <c r="A734" t="s">
        <v>798</v>
      </c>
    </row>
    <row r="735" spans="1:1" x14ac:dyDescent="0.25">
      <c r="A735" t="s">
        <v>799</v>
      </c>
    </row>
    <row r="736" spans="1:1" x14ac:dyDescent="0.25">
      <c r="A736" t="s">
        <v>800</v>
      </c>
    </row>
    <row r="737" spans="1:1" x14ac:dyDescent="0.25">
      <c r="A737" t="s">
        <v>801</v>
      </c>
    </row>
    <row r="738" spans="1:1" x14ac:dyDescent="0.25">
      <c r="A738" t="s">
        <v>802</v>
      </c>
    </row>
    <row r="739" spans="1:1" x14ac:dyDescent="0.25">
      <c r="A739" t="s">
        <v>803</v>
      </c>
    </row>
    <row r="740" spans="1:1" x14ac:dyDescent="0.25">
      <c r="A740" t="s">
        <v>804</v>
      </c>
    </row>
    <row r="741" spans="1:1" x14ac:dyDescent="0.25">
      <c r="A741" t="s">
        <v>805</v>
      </c>
    </row>
    <row r="742" spans="1:1" x14ac:dyDescent="0.25">
      <c r="A742" t="s">
        <v>806</v>
      </c>
    </row>
    <row r="743" spans="1:1" x14ac:dyDescent="0.25">
      <c r="A743" t="s">
        <v>807</v>
      </c>
    </row>
    <row r="744" spans="1:1" x14ac:dyDescent="0.25">
      <c r="A744" t="s">
        <v>808</v>
      </c>
    </row>
    <row r="745" spans="1:1" x14ac:dyDescent="0.25">
      <c r="A745" t="s">
        <v>809</v>
      </c>
    </row>
    <row r="746" spans="1:1" x14ac:dyDescent="0.25">
      <c r="A746" t="s">
        <v>810</v>
      </c>
    </row>
    <row r="747" spans="1:1" x14ac:dyDescent="0.25">
      <c r="A747" t="s">
        <v>811</v>
      </c>
    </row>
    <row r="748" spans="1:1" x14ac:dyDescent="0.25">
      <c r="A748" t="s">
        <v>812</v>
      </c>
    </row>
    <row r="749" spans="1:1" x14ac:dyDescent="0.25">
      <c r="A749" t="s">
        <v>813</v>
      </c>
    </row>
    <row r="750" spans="1:1" x14ac:dyDescent="0.25">
      <c r="A750" t="s">
        <v>814</v>
      </c>
    </row>
    <row r="751" spans="1:1" x14ac:dyDescent="0.25">
      <c r="A751" t="s">
        <v>815</v>
      </c>
    </row>
    <row r="752" spans="1:1" x14ac:dyDescent="0.25">
      <c r="A752" t="s">
        <v>816</v>
      </c>
    </row>
    <row r="753" spans="1:1" x14ac:dyDescent="0.25">
      <c r="A753" t="s">
        <v>817</v>
      </c>
    </row>
    <row r="754" spans="1:1" x14ac:dyDescent="0.25">
      <c r="A754" t="s">
        <v>818</v>
      </c>
    </row>
    <row r="755" spans="1:1" x14ac:dyDescent="0.25">
      <c r="A755" t="s">
        <v>819</v>
      </c>
    </row>
    <row r="756" spans="1:1" x14ac:dyDescent="0.25">
      <c r="A756" t="s">
        <v>820</v>
      </c>
    </row>
    <row r="757" spans="1:1" x14ac:dyDescent="0.25">
      <c r="A757" t="s">
        <v>821</v>
      </c>
    </row>
    <row r="758" spans="1:1" x14ac:dyDescent="0.25">
      <c r="A758" t="s">
        <v>822</v>
      </c>
    </row>
    <row r="759" spans="1:1" x14ac:dyDescent="0.25">
      <c r="A759" t="s">
        <v>823</v>
      </c>
    </row>
    <row r="760" spans="1:1" x14ac:dyDescent="0.25">
      <c r="A760" t="s">
        <v>824</v>
      </c>
    </row>
    <row r="761" spans="1:1" x14ac:dyDescent="0.25">
      <c r="A761" t="s">
        <v>825</v>
      </c>
    </row>
    <row r="762" spans="1:1" x14ac:dyDescent="0.25">
      <c r="A762" t="s">
        <v>826</v>
      </c>
    </row>
    <row r="763" spans="1:1" x14ac:dyDescent="0.25">
      <c r="A763" t="s">
        <v>827</v>
      </c>
    </row>
    <row r="764" spans="1:1" x14ac:dyDescent="0.25">
      <c r="A764" t="s">
        <v>828</v>
      </c>
    </row>
    <row r="765" spans="1:1" x14ac:dyDescent="0.25">
      <c r="A765" t="s">
        <v>829</v>
      </c>
    </row>
    <row r="766" spans="1:1" x14ac:dyDescent="0.25">
      <c r="A766" t="s">
        <v>830</v>
      </c>
    </row>
    <row r="767" spans="1:1" x14ac:dyDescent="0.25">
      <c r="A767" t="s">
        <v>831</v>
      </c>
    </row>
    <row r="768" spans="1:1" x14ac:dyDescent="0.25">
      <c r="A768" t="s">
        <v>832</v>
      </c>
    </row>
    <row r="769" spans="1:1" x14ac:dyDescent="0.25">
      <c r="A769" t="s">
        <v>833</v>
      </c>
    </row>
    <row r="770" spans="1:1" x14ac:dyDescent="0.25">
      <c r="A770" t="s">
        <v>834</v>
      </c>
    </row>
    <row r="771" spans="1:1" x14ac:dyDescent="0.25">
      <c r="A771" t="s">
        <v>835</v>
      </c>
    </row>
    <row r="772" spans="1:1" x14ac:dyDescent="0.25">
      <c r="A772" t="s">
        <v>836</v>
      </c>
    </row>
    <row r="773" spans="1:1" x14ac:dyDescent="0.25">
      <c r="A773" t="s">
        <v>837</v>
      </c>
    </row>
    <row r="774" spans="1:1" x14ac:dyDescent="0.25">
      <c r="A774" t="s">
        <v>838</v>
      </c>
    </row>
    <row r="775" spans="1:1" x14ac:dyDescent="0.25">
      <c r="A775" t="s">
        <v>839</v>
      </c>
    </row>
    <row r="776" spans="1:1" x14ac:dyDescent="0.25">
      <c r="A776" t="s">
        <v>840</v>
      </c>
    </row>
    <row r="777" spans="1:1" x14ac:dyDescent="0.25">
      <c r="A777" t="s">
        <v>841</v>
      </c>
    </row>
    <row r="778" spans="1:1" x14ac:dyDescent="0.25">
      <c r="A778" t="s">
        <v>842</v>
      </c>
    </row>
    <row r="779" spans="1:1" x14ac:dyDescent="0.25">
      <c r="A779" t="s">
        <v>843</v>
      </c>
    </row>
    <row r="780" spans="1:1" x14ac:dyDescent="0.25">
      <c r="A780" t="s">
        <v>844</v>
      </c>
    </row>
    <row r="781" spans="1:1" x14ac:dyDescent="0.25">
      <c r="A781" t="s">
        <v>845</v>
      </c>
    </row>
    <row r="782" spans="1:1" x14ac:dyDescent="0.25">
      <c r="A782" t="s">
        <v>846</v>
      </c>
    </row>
    <row r="783" spans="1:1" x14ac:dyDescent="0.25">
      <c r="A783" t="s">
        <v>847</v>
      </c>
    </row>
    <row r="784" spans="1:1" x14ac:dyDescent="0.25">
      <c r="A784" t="s">
        <v>848</v>
      </c>
    </row>
    <row r="785" spans="1:1" x14ac:dyDescent="0.25">
      <c r="A785" t="s">
        <v>849</v>
      </c>
    </row>
    <row r="786" spans="1:1" x14ac:dyDescent="0.25">
      <c r="A786" t="s">
        <v>850</v>
      </c>
    </row>
    <row r="787" spans="1:1" x14ac:dyDescent="0.25">
      <c r="A787" t="s">
        <v>851</v>
      </c>
    </row>
    <row r="788" spans="1:1" x14ac:dyDescent="0.25">
      <c r="A788" t="s">
        <v>852</v>
      </c>
    </row>
    <row r="789" spans="1:1" x14ac:dyDescent="0.25">
      <c r="A789" t="s">
        <v>853</v>
      </c>
    </row>
    <row r="790" spans="1:1" x14ac:dyDescent="0.25">
      <c r="A790" t="s">
        <v>854</v>
      </c>
    </row>
    <row r="791" spans="1:1" x14ac:dyDescent="0.25">
      <c r="A791" t="s">
        <v>855</v>
      </c>
    </row>
    <row r="792" spans="1:1" x14ac:dyDescent="0.25">
      <c r="A792" t="s">
        <v>856</v>
      </c>
    </row>
    <row r="793" spans="1:1" x14ac:dyDescent="0.25">
      <c r="A793" t="s">
        <v>857</v>
      </c>
    </row>
    <row r="794" spans="1:1" x14ac:dyDescent="0.25">
      <c r="A794" t="s">
        <v>858</v>
      </c>
    </row>
    <row r="795" spans="1:1" x14ac:dyDescent="0.25">
      <c r="A795" t="s">
        <v>859</v>
      </c>
    </row>
    <row r="796" spans="1:1" x14ac:dyDescent="0.25">
      <c r="A796" t="s">
        <v>860</v>
      </c>
    </row>
    <row r="797" spans="1:1" x14ac:dyDescent="0.25">
      <c r="A797" t="s">
        <v>861</v>
      </c>
    </row>
    <row r="798" spans="1:1" x14ac:dyDescent="0.25">
      <c r="A798" t="s">
        <v>862</v>
      </c>
    </row>
    <row r="799" spans="1:1" x14ac:dyDescent="0.25">
      <c r="A799" t="s">
        <v>863</v>
      </c>
    </row>
    <row r="800" spans="1:1" x14ac:dyDescent="0.25">
      <c r="A800" t="s">
        <v>864</v>
      </c>
    </row>
    <row r="801" spans="1:1" x14ac:dyDescent="0.25">
      <c r="A801" t="s">
        <v>865</v>
      </c>
    </row>
    <row r="802" spans="1:1" x14ac:dyDescent="0.25">
      <c r="A802" t="s">
        <v>866</v>
      </c>
    </row>
    <row r="803" spans="1:1" x14ac:dyDescent="0.25">
      <c r="A803" t="s">
        <v>867</v>
      </c>
    </row>
    <row r="804" spans="1:1" x14ac:dyDescent="0.25">
      <c r="A804" t="s">
        <v>868</v>
      </c>
    </row>
    <row r="805" spans="1:1" x14ac:dyDescent="0.25">
      <c r="A805" t="s">
        <v>869</v>
      </c>
    </row>
    <row r="806" spans="1:1" x14ac:dyDescent="0.25">
      <c r="A806" t="s">
        <v>870</v>
      </c>
    </row>
    <row r="807" spans="1:1" x14ac:dyDescent="0.25">
      <c r="A807" t="s">
        <v>871</v>
      </c>
    </row>
    <row r="808" spans="1:1" x14ac:dyDescent="0.25">
      <c r="A808" t="s">
        <v>872</v>
      </c>
    </row>
    <row r="809" spans="1:1" x14ac:dyDescent="0.25">
      <c r="A809" t="s">
        <v>873</v>
      </c>
    </row>
    <row r="810" spans="1:1" x14ac:dyDescent="0.25">
      <c r="A810" t="s">
        <v>874</v>
      </c>
    </row>
    <row r="811" spans="1:1" x14ac:dyDescent="0.25">
      <c r="A811" t="s">
        <v>875</v>
      </c>
    </row>
    <row r="812" spans="1:1" x14ac:dyDescent="0.25">
      <c r="A812" t="s">
        <v>876</v>
      </c>
    </row>
    <row r="813" spans="1:1" x14ac:dyDescent="0.25">
      <c r="A813" t="s">
        <v>877</v>
      </c>
    </row>
    <row r="814" spans="1:1" x14ac:dyDescent="0.25">
      <c r="A814" t="s">
        <v>878</v>
      </c>
    </row>
    <row r="815" spans="1:1" x14ac:dyDescent="0.25">
      <c r="A815" t="s">
        <v>879</v>
      </c>
    </row>
    <row r="816" spans="1:1" x14ac:dyDescent="0.25">
      <c r="A816" t="s">
        <v>880</v>
      </c>
    </row>
    <row r="817" spans="1:1" x14ac:dyDescent="0.25">
      <c r="A817" t="s">
        <v>881</v>
      </c>
    </row>
    <row r="818" spans="1:1" x14ac:dyDescent="0.25">
      <c r="A818" t="s">
        <v>882</v>
      </c>
    </row>
    <row r="819" spans="1:1" x14ac:dyDescent="0.25">
      <c r="A819" t="s">
        <v>883</v>
      </c>
    </row>
    <row r="820" spans="1:1" x14ac:dyDescent="0.25">
      <c r="A820" t="s">
        <v>884</v>
      </c>
    </row>
    <row r="821" spans="1:1" x14ac:dyDescent="0.25">
      <c r="A821" t="s">
        <v>885</v>
      </c>
    </row>
    <row r="822" spans="1:1" x14ac:dyDescent="0.25">
      <c r="A822" t="s">
        <v>886</v>
      </c>
    </row>
    <row r="823" spans="1:1" x14ac:dyDescent="0.25">
      <c r="A823" t="s">
        <v>887</v>
      </c>
    </row>
    <row r="824" spans="1:1" x14ac:dyDescent="0.25">
      <c r="A824" t="s">
        <v>888</v>
      </c>
    </row>
    <row r="825" spans="1:1" x14ac:dyDescent="0.25">
      <c r="A825" t="s">
        <v>889</v>
      </c>
    </row>
    <row r="826" spans="1:1" x14ac:dyDescent="0.25">
      <c r="A826" t="s">
        <v>890</v>
      </c>
    </row>
    <row r="827" spans="1:1" x14ac:dyDescent="0.25">
      <c r="A827" t="s">
        <v>891</v>
      </c>
    </row>
    <row r="828" spans="1:1" x14ac:dyDescent="0.25">
      <c r="A828" t="s">
        <v>892</v>
      </c>
    </row>
    <row r="829" spans="1:1" x14ac:dyDescent="0.25">
      <c r="A829" t="s">
        <v>893</v>
      </c>
    </row>
    <row r="830" spans="1:1" x14ac:dyDescent="0.25">
      <c r="A830" t="s">
        <v>894</v>
      </c>
    </row>
    <row r="831" spans="1:1" x14ac:dyDescent="0.25">
      <c r="A831" t="s">
        <v>895</v>
      </c>
    </row>
    <row r="832" spans="1:1" x14ac:dyDescent="0.25">
      <c r="A832" t="s">
        <v>896</v>
      </c>
    </row>
    <row r="833" spans="1:1" x14ac:dyDescent="0.25">
      <c r="A833" t="s">
        <v>897</v>
      </c>
    </row>
    <row r="834" spans="1:1" x14ac:dyDescent="0.25">
      <c r="A834" t="s">
        <v>898</v>
      </c>
    </row>
    <row r="835" spans="1:1" x14ac:dyDescent="0.25">
      <c r="A835" t="s">
        <v>899</v>
      </c>
    </row>
    <row r="836" spans="1:1" x14ac:dyDescent="0.25">
      <c r="A836" t="s">
        <v>900</v>
      </c>
    </row>
    <row r="837" spans="1:1" x14ac:dyDescent="0.25">
      <c r="A837" t="s">
        <v>901</v>
      </c>
    </row>
    <row r="838" spans="1:1" x14ac:dyDescent="0.25">
      <c r="A838" t="s">
        <v>902</v>
      </c>
    </row>
    <row r="839" spans="1:1" x14ac:dyDescent="0.25">
      <c r="A839" t="s">
        <v>903</v>
      </c>
    </row>
    <row r="840" spans="1:1" x14ac:dyDescent="0.25">
      <c r="A840" t="s">
        <v>904</v>
      </c>
    </row>
    <row r="841" spans="1:1" x14ac:dyDescent="0.25">
      <c r="A841" t="s">
        <v>905</v>
      </c>
    </row>
    <row r="842" spans="1:1" x14ac:dyDescent="0.25">
      <c r="A842" t="s">
        <v>906</v>
      </c>
    </row>
    <row r="843" spans="1:1" x14ac:dyDescent="0.25">
      <c r="A843" t="s">
        <v>907</v>
      </c>
    </row>
    <row r="844" spans="1:1" x14ac:dyDescent="0.25">
      <c r="A844" t="s">
        <v>908</v>
      </c>
    </row>
    <row r="845" spans="1:1" x14ac:dyDescent="0.25">
      <c r="A845" t="s">
        <v>909</v>
      </c>
    </row>
    <row r="846" spans="1:1" x14ac:dyDescent="0.25">
      <c r="A846" t="s">
        <v>910</v>
      </c>
    </row>
    <row r="847" spans="1:1" x14ac:dyDescent="0.25">
      <c r="A847" t="s">
        <v>911</v>
      </c>
    </row>
    <row r="848" spans="1:1" x14ac:dyDescent="0.25">
      <c r="A848" t="s">
        <v>912</v>
      </c>
    </row>
    <row r="849" spans="1:1" x14ac:dyDescent="0.25">
      <c r="A849" t="s">
        <v>913</v>
      </c>
    </row>
    <row r="850" spans="1:1" x14ac:dyDescent="0.25">
      <c r="A850" t="s">
        <v>914</v>
      </c>
    </row>
    <row r="851" spans="1:1" x14ac:dyDescent="0.25">
      <c r="A851" t="s">
        <v>915</v>
      </c>
    </row>
    <row r="852" spans="1:1" x14ac:dyDescent="0.25">
      <c r="A852" t="s">
        <v>916</v>
      </c>
    </row>
    <row r="853" spans="1:1" x14ac:dyDescent="0.25">
      <c r="A853" t="s">
        <v>917</v>
      </c>
    </row>
    <row r="854" spans="1:1" x14ac:dyDescent="0.25">
      <c r="A854" t="s">
        <v>918</v>
      </c>
    </row>
    <row r="855" spans="1:1" x14ac:dyDescent="0.25">
      <c r="A855" t="s">
        <v>919</v>
      </c>
    </row>
    <row r="856" spans="1:1" x14ac:dyDescent="0.25">
      <c r="A856" t="s">
        <v>920</v>
      </c>
    </row>
    <row r="857" spans="1:1" x14ac:dyDescent="0.25">
      <c r="A857" t="s">
        <v>921</v>
      </c>
    </row>
    <row r="858" spans="1:1" x14ac:dyDescent="0.25">
      <c r="A858" t="s">
        <v>922</v>
      </c>
    </row>
    <row r="859" spans="1:1" x14ac:dyDescent="0.25">
      <c r="A859" t="s">
        <v>923</v>
      </c>
    </row>
    <row r="860" spans="1:1" x14ac:dyDescent="0.25">
      <c r="A860" t="s">
        <v>924</v>
      </c>
    </row>
    <row r="861" spans="1:1" x14ac:dyDescent="0.25">
      <c r="A861" t="s">
        <v>925</v>
      </c>
    </row>
    <row r="862" spans="1:1" x14ac:dyDescent="0.25">
      <c r="A862" t="s">
        <v>926</v>
      </c>
    </row>
    <row r="863" spans="1:1" x14ac:dyDescent="0.25">
      <c r="A863" t="s">
        <v>927</v>
      </c>
    </row>
    <row r="864" spans="1:1" x14ac:dyDescent="0.25">
      <c r="A864" t="s">
        <v>928</v>
      </c>
    </row>
    <row r="865" spans="1:1" x14ac:dyDescent="0.25">
      <c r="A865" t="s">
        <v>929</v>
      </c>
    </row>
    <row r="866" spans="1:1" x14ac:dyDescent="0.25">
      <c r="A866" t="s">
        <v>930</v>
      </c>
    </row>
    <row r="867" spans="1:1" x14ac:dyDescent="0.25">
      <c r="A867" t="s">
        <v>931</v>
      </c>
    </row>
    <row r="868" spans="1:1" x14ac:dyDescent="0.25">
      <c r="A868" t="s">
        <v>932</v>
      </c>
    </row>
    <row r="869" spans="1:1" x14ac:dyDescent="0.25">
      <c r="A869" t="s">
        <v>933</v>
      </c>
    </row>
    <row r="870" spans="1:1" x14ac:dyDescent="0.25">
      <c r="A870" t="s">
        <v>934</v>
      </c>
    </row>
    <row r="871" spans="1:1" x14ac:dyDescent="0.25">
      <c r="A871" t="s">
        <v>935</v>
      </c>
    </row>
    <row r="872" spans="1:1" x14ac:dyDescent="0.25">
      <c r="A872" t="s">
        <v>936</v>
      </c>
    </row>
    <row r="873" spans="1:1" x14ac:dyDescent="0.25">
      <c r="A873" t="s">
        <v>937</v>
      </c>
    </row>
    <row r="874" spans="1:1" x14ac:dyDescent="0.25">
      <c r="A874" t="s">
        <v>938</v>
      </c>
    </row>
    <row r="875" spans="1:1" x14ac:dyDescent="0.25">
      <c r="A875" t="s">
        <v>939</v>
      </c>
    </row>
    <row r="876" spans="1:1" x14ac:dyDescent="0.25">
      <c r="A876" t="s">
        <v>940</v>
      </c>
    </row>
    <row r="877" spans="1:1" x14ac:dyDescent="0.25">
      <c r="A877" t="s">
        <v>941</v>
      </c>
    </row>
    <row r="878" spans="1:1" x14ac:dyDescent="0.25">
      <c r="A878" t="s">
        <v>942</v>
      </c>
    </row>
    <row r="879" spans="1:1" x14ac:dyDescent="0.25">
      <c r="A879" t="s">
        <v>943</v>
      </c>
    </row>
    <row r="880" spans="1:1" x14ac:dyDescent="0.25">
      <c r="A880" t="s">
        <v>944</v>
      </c>
    </row>
    <row r="881" spans="1:1" x14ac:dyDescent="0.25">
      <c r="A881" t="s">
        <v>945</v>
      </c>
    </row>
    <row r="882" spans="1:1" x14ac:dyDescent="0.25">
      <c r="A882" t="s">
        <v>946</v>
      </c>
    </row>
    <row r="883" spans="1:1" x14ac:dyDescent="0.25">
      <c r="A883" t="s">
        <v>947</v>
      </c>
    </row>
    <row r="884" spans="1:1" x14ac:dyDescent="0.25">
      <c r="A884" t="s">
        <v>948</v>
      </c>
    </row>
    <row r="885" spans="1:1" x14ac:dyDescent="0.25">
      <c r="A885" t="s">
        <v>949</v>
      </c>
    </row>
    <row r="886" spans="1:1" x14ac:dyDescent="0.25">
      <c r="A886" t="s">
        <v>950</v>
      </c>
    </row>
    <row r="887" spans="1:1" x14ac:dyDescent="0.25">
      <c r="A887" t="s">
        <v>951</v>
      </c>
    </row>
    <row r="888" spans="1:1" x14ac:dyDescent="0.25">
      <c r="A888" t="s">
        <v>952</v>
      </c>
    </row>
    <row r="889" spans="1:1" x14ac:dyDescent="0.25">
      <c r="A889" t="s">
        <v>953</v>
      </c>
    </row>
    <row r="890" spans="1:1" x14ac:dyDescent="0.25">
      <c r="A890" t="s">
        <v>954</v>
      </c>
    </row>
    <row r="891" spans="1:1" x14ac:dyDescent="0.25">
      <c r="A891" t="s">
        <v>955</v>
      </c>
    </row>
    <row r="892" spans="1:1" x14ac:dyDescent="0.25">
      <c r="A892" t="s">
        <v>956</v>
      </c>
    </row>
    <row r="893" spans="1:1" x14ac:dyDescent="0.25">
      <c r="A893" t="s">
        <v>957</v>
      </c>
    </row>
    <row r="894" spans="1:1" x14ac:dyDescent="0.25">
      <c r="A894" t="s">
        <v>958</v>
      </c>
    </row>
    <row r="895" spans="1:1" x14ac:dyDescent="0.25">
      <c r="A895" t="s">
        <v>959</v>
      </c>
    </row>
    <row r="896" spans="1:1" x14ac:dyDescent="0.25">
      <c r="A896" t="s">
        <v>960</v>
      </c>
    </row>
    <row r="897" spans="1:1" x14ac:dyDescent="0.25">
      <c r="A897" t="s">
        <v>961</v>
      </c>
    </row>
    <row r="898" spans="1:1" x14ac:dyDescent="0.25">
      <c r="A898" t="s">
        <v>962</v>
      </c>
    </row>
    <row r="899" spans="1:1" x14ac:dyDescent="0.25">
      <c r="A899" t="s">
        <v>963</v>
      </c>
    </row>
    <row r="900" spans="1:1" x14ac:dyDescent="0.25">
      <c r="A900" t="s">
        <v>964</v>
      </c>
    </row>
    <row r="901" spans="1:1" x14ac:dyDescent="0.25">
      <c r="A901" t="s">
        <v>965</v>
      </c>
    </row>
    <row r="902" spans="1:1" x14ac:dyDescent="0.25">
      <c r="A902" t="s">
        <v>966</v>
      </c>
    </row>
    <row r="903" spans="1:1" x14ac:dyDescent="0.25">
      <c r="A903" t="s">
        <v>967</v>
      </c>
    </row>
    <row r="904" spans="1:1" x14ac:dyDescent="0.25">
      <c r="A904" t="s">
        <v>968</v>
      </c>
    </row>
    <row r="905" spans="1:1" x14ac:dyDescent="0.25">
      <c r="A905" t="s">
        <v>969</v>
      </c>
    </row>
    <row r="906" spans="1:1" x14ac:dyDescent="0.25">
      <c r="A906" t="s">
        <v>970</v>
      </c>
    </row>
    <row r="907" spans="1:1" x14ac:dyDescent="0.25">
      <c r="A907" t="s">
        <v>971</v>
      </c>
    </row>
    <row r="908" spans="1:1" x14ac:dyDescent="0.25">
      <c r="A908" t="s">
        <v>972</v>
      </c>
    </row>
    <row r="909" spans="1:1" x14ac:dyDescent="0.25">
      <c r="A909" t="s">
        <v>973</v>
      </c>
    </row>
    <row r="910" spans="1:1" x14ac:dyDescent="0.25">
      <c r="A910" t="s">
        <v>974</v>
      </c>
    </row>
    <row r="911" spans="1:1" x14ac:dyDescent="0.25">
      <c r="A911" t="s">
        <v>975</v>
      </c>
    </row>
    <row r="912" spans="1:1" x14ac:dyDescent="0.25">
      <c r="A912" t="s">
        <v>976</v>
      </c>
    </row>
    <row r="913" spans="1:1" x14ac:dyDescent="0.25">
      <c r="A913" t="s">
        <v>977</v>
      </c>
    </row>
    <row r="914" spans="1:1" x14ac:dyDescent="0.25">
      <c r="A914" t="s">
        <v>978</v>
      </c>
    </row>
    <row r="915" spans="1:1" x14ac:dyDescent="0.25">
      <c r="A915" t="s">
        <v>979</v>
      </c>
    </row>
    <row r="916" spans="1:1" x14ac:dyDescent="0.25">
      <c r="A916" t="s">
        <v>980</v>
      </c>
    </row>
    <row r="917" spans="1:1" x14ac:dyDescent="0.25">
      <c r="A917" t="s">
        <v>981</v>
      </c>
    </row>
    <row r="918" spans="1:1" x14ac:dyDescent="0.25">
      <c r="A918" t="s">
        <v>982</v>
      </c>
    </row>
    <row r="919" spans="1:1" x14ac:dyDescent="0.25">
      <c r="A919" t="s">
        <v>983</v>
      </c>
    </row>
    <row r="920" spans="1:1" x14ac:dyDescent="0.25">
      <c r="A920" t="s">
        <v>984</v>
      </c>
    </row>
    <row r="921" spans="1:1" x14ac:dyDescent="0.25">
      <c r="A921" t="s">
        <v>985</v>
      </c>
    </row>
    <row r="922" spans="1:1" x14ac:dyDescent="0.25">
      <c r="A922" t="s">
        <v>986</v>
      </c>
    </row>
    <row r="923" spans="1:1" x14ac:dyDescent="0.25">
      <c r="A923" t="s">
        <v>987</v>
      </c>
    </row>
    <row r="924" spans="1:1" x14ac:dyDescent="0.25">
      <c r="A924" t="s">
        <v>988</v>
      </c>
    </row>
    <row r="925" spans="1:1" x14ac:dyDescent="0.25">
      <c r="A925" t="s">
        <v>989</v>
      </c>
    </row>
    <row r="926" spans="1:1" x14ac:dyDescent="0.25">
      <c r="A926" t="s">
        <v>990</v>
      </c>
    </row>
    <row r="927" spans="1:1" x14ac:dyDescent="0.25">
      <c r="A927" t="s">
        <v>991</v>
      </c>
    </row>
    <row r="928" spans="1:1" x14ac:dyDescent="0.25">
      <c r="A928" t="s">
        <v>992</v>
      </c>
    </row>
    <row r="929" spans="1:1" x14ac:dyDescent="0.25">
      <c r="A929" t="s">
        <v>993</v>
      </c>
    </row>
    <row r="930" spans="1:1" x14ac:dyDescent="0.25">
      <c r="A930" t="s">
        <v>994</v>
      </c>
    </row>
    <row r="931" spans="1:1" x14ac:dyDescent="0.25">
      <c r="A931" t="s">
        <v>995</v>
      </c>
    </row>
    <row r="932" spans="1:1" x14ac:dyDescent="0.25">
      <c r="A932" t="s">
        <v>996</v>
      </c>
    </row>
    <row r="933" spans="1:1" x14ac:dyDescent="0.25">
      <c r="A933" t="s">
        <v>997</v>
      </c>
    </row>
    <row r="934" spans="1:1" x14ac:dyDescent="0.25">
      <c r="A934" t="s">
        <v>998</v>
      </c>
    </row>
    <row r="935" spans="1:1" x14ac:dyDescent="0.25">
      <c r="A935" t="s">
        <v>999</v>
      </c>
    </row>
    <row r="936" spans="1:1" x14ac:dyDescent="0.25">
      <c r="A936" t="s">
        <v>1000</v>
      </c>
    </row>
    <row r="937" spans="1:1" x14ac:dyDescent="0.25">
      <c r="A937" t="s">
        <v>1001</v>
      </c>
    </row>
    <row r="938" spans="1:1" x14ac:dyDescent="0.25">
      <c r="A938" t="s">
        <v>1002</v>
      </c>
    </row>
    <row r="939" spans="1:1" x14ac:dyDescent="0.25">
      <c r="A939" t="s">
        <v>1003</v>
      </c>
    </row>
    <row r="940" spans="1:1" x14ac:dyDescent="0.25">
      <c r="A940" t="s">
        <v>1004</v>
      </c>
    </row>
    <row r="941" spans="1:1" x14ac:dyDescent="0.25">
      <c r="A941" t="s">
        <v>1005</v>
      </c>
    </row>
    <row r="942" spans="1:1" x14ac:dyDescent="0.25">
      <c r="A942" t="s">
        <v>1006</v>
      </c>
    </row>
    <row r="943" spans="1:1" x14ac:dyDescent="0.25">
      <c r="A943" t="s">
        <v>1007</v>
      </c>
    </row>
    <row r="944" spans="1:1" x14ac:dyDescent="0.25">
      <c r="A944" t="s">
        <v>1008</v>
      </c>
    </row>
    <row r="945" spans="1:1" x14ac:dyDescent="0.25">
      <c r="A945" t="s">
        <v>1009</v>
      </c>
    </row>
    <row r="946" spans="1:1" x14ac:dyDescent="0.25">
      <c r="A946" t="s">
        <v>1010</v>
      </c>
    </row>
    <row r="947" spans="1:1" x14ac:dyDescent="0.25">
      <c r="A947" t="s">
        <v>1011</v>
      </c>
    </row>
    <row r="948" spans="1:1" x14ac:dyDescent="0.25">
      <c r="A948" t="s">
        <v>1012</v>
      </c>
    </row>
    <row r="949" spans="1:1" x14ac:dyDescent="0.25">
      <c r="A949" t="s">
        <v>1013</v>
      </c>
    </row>
    <row r="950" spans="1:1" x14ac:dyDescent="0.25">
      <c r="A950" t="s">
        <v>1014</v>
      </c>
    </row>
    <row r="951" spans="1:1" x14ac:dyDescent="0.25">
      <c r="A951" t="s">
        <v>1015</v>
      </c>
    </row>
    <row r="952" spans="1:1" x14ac:dyDescent="0.25">
      <c r="A952" t="s">
        <v>1016</v>
      </c>
    </row>
    <row r="953" spans="1:1" x14ac:dyDescent="0.25">
      <c r="A953" t="s">
        <v>1017</v>
      </c>
    </row>
    <row r="954" spans="1:1" x14ac:dyDescent="0.25">
      <c r="A954" t="s">
        <v>1018</v>
      </c>
    </row>
    <row r="955" spans="1:1" x14ac:dyDescent="0.25">
      <c r="A955" t="s">
        <v>1019</v>
      </c>
    </row>
    <row r="956" spans="1:1" x14ac:dyDescent="0.25">
      <c r="A956" t="s">
        <v>1020</v>
      </c>
    </row>
    <row r="957" spans="1:1" x14ac:dyDescent="0.25">
      <c r="A957" t="s">
        <v>1021</v>
      </c>
    </row>
    <row r="958" spans="1:1" x14ac:dyDescent="0.25">
      <c r="A958" t="s">
        <v>1022</v>
      </c>
    </row>
    <row r="959" spans="1:1" x14ac:dyDescent="0.25">
      <c r="A959" t="s">
        <v>1023</v>
      </c>
    </row>
    <row r="960" spans="1:1" x14ac:dyDescent="0.25">
      <c r="A960" t="s">
        <v>1024</v>
      </c>
    </row>
    <row r="961" spans="1:1" x14ac:dyDescent="0.25">
      <c r="A961" t="s">
        <v>1025</v>
      </c>
    </row>
    <row r="962" spans="1:1" x14ac:dyDescent="0.25">
      <c r="A962" t="s">
        <v>1026</v>
      </c>
    </row>
    <row r="963" spans="1:1" x14ac:dyDescent="0.25">
      <c r="A963" t="s">
        <v>1027</v>
      </c>
    </row>
    <row r="964" spans="1:1" x14ac:dyDescent="0.25">
      <c r="A964" t="s">
        <v>1028</v>
      </c>
    </row>
    <row r="965" spans="1:1" x14ac:dyDescent="0.25">
      <c r="A965" t="s">
        <v>1029</v>
      </c>
    </row>
    <row r="966" spans="1:1" x14ac:dyDescent="0.25">
      <c r="A966" t="s">
        <v>1030</v>
      </c>
    </row>
    <row r="967" spans="1:1" x14ac:dyDescent="0.25">
      <c r="A967" t="s">
        <v>1031</v>
      </c>
    </row>
    <row r="968" spans="1:1" x14ac:dyDescent="0.25">
      <c r="A968" t="s">
        <v>1032</v>
      </c>
    </row>
    <row r="969" spans="1:1" x14ac:dyDescent="0.25">
      <c r="A969" t="s">
        <v>1033</v>
      </c>
    </row>
    <row r="970" spans="1:1" x14ac:dyDescent="0.25">
      <c r="A970" t="s">
        <v>1034</v>
      </c>
    </row>
    <row r="971" spans="1:1" x14ac:dyDescent="0.25">
      <c r="A971" t="s">
        <v>1035</v>
      </c>
    </row>
    <row r="972" spans="1:1" x14ac:dyDescent="0.25">
      <c r="A972" t="s">
        <v>1036</v>
      </c>
    </row>
    <row r="973" spans="1:1" x14ac:dyDescent="0.25">
      <c r="A973" t="s">
        <v>1037</v>
      </c>
    </row>
    <row r="974" spans="1:1" x14ac:dyDescent="0.25">
      <c r="A974" t="s">
        <v>1038</v>
      </c>
    </row>
    <row r="975" spans="1:1" x14ac:dyDescent="0.25">
      <c r="A975" t="s">
        <v>1039</v>
      </c>
    </row>
    <row r="976" spans="1:1" x14ac:dyDescent="0.25">
      <c r="A976" t="s">
        <v>1040</v>
      </c>
    </row>
    <row r="977" spans="1:1" x14ac:dyDescent="0.25">
      <c r="A977" t="s">
        <v>1041</v>
      </c>
    </row>
    <row r="978" spans="1:1" x14ac:dyDescent="0.25">
      <c r="A978" t="s">
        <v>1042</v>
      </c>
    </row>
    <row r="979" spans="1:1" x14ac:dyDescent="0.25">
      <c r="A979" t="s">
        <v>1043</v>
      </c>
    </row>
    <row r="980" spans="1:1" x14ac:dyDescent="0.25">
      <c r="A980" t="s">
        <v>1044</v>
      </c>
    </row>
    <row r="981" spans="1:1" x14ac:dyDescent="0.25">
      <c r="A981" t="s">
        <v>1045</v>
      </c>
    </row>
    <row r="982" spans="1:1" x14ac:dyDescent="0.25">
      <c r="A982" t="s">
        <v>1046</v>
      </c>
    </row>
    <row r="983" spans="1:1" x14ac:dyDescent="0.25">
      <c r="A983" t="s">
        <v>1047</v>
      </c>
    </row>
    <row r="984" spans="1:1" x14ac:dyDescent="0.25">
      <c r="A984" t="s">
        <v>1048</v>
      </c>
    </row>
    <row r="985" spans="1:1" x14ac:dyDescent="0.25">
      <c r="A985" t="s">
        <v>1049</v>
      </c>
    </row>
    <row r="986" spans="1:1" x14ac:dyDescent="0.25">
      <c r="A986" t="s">
        <v>1050</v>
      </c>
    </row>
    <row r="987" spans="1:1" x14ac:dyDescent="0.25">
      <c r="A987" t="s">
        <v>1051</v>
      </c>
    </row>
    <row r="988" spans="1:1" x14ac:dyDescent="0.25">
      <c r="A988" t="s">
        <v>1052</v>
      </c>
    </row>
    <row r="989" spans="1:1" x14ac:dyDescent="0.25">
      <c r="A989" t="s">
        <v>1053</v>
      </c>
    </row>
    <row r="990" spans="1:1" x14ac:dyDescent="0.25">
      <c r="A990" t="s">
        <v>1054</v>
      </c>
    </row>
    <row r="991" spans="1:1" x14ac:dyDescent="0.25">
      <c r="A991" t="s">
        <v>1055</v>
      </c>
    </row>
    <row r="992" spans="1:1" x14ac:dyDescent="0.25">
      <c r="A992" t="s">
        <v>1056</v>
      </c>
    </row>
    <row r="993" spans="1:1" x14ac:dyDescent="0.25">
      <c r="A993" t="s">
        <v>1057</v>
      </c>
    </row>
    <row r="994" spans="1:1" x14ac:dyDescent="0.25">
      <c r="A994" t="s">
        <v>1058</v>
      </c>
    </row>
    <row r="995" spans="1:1" x14ac:dyDescent="0.25">
      <c r="A995" t="s">
        <v>1059</v>
      </c>
    </row>
    <row r="996" spans="1:1" x14ac:dyDescent="0.25">
      <c r="A996" t="s">
        <v>1060</v>
      </c>
    </row>
    <row r="997" spans="1:1" x14ac:dyDescent="0.25">
      <c r="A997" t="s">
        <v>1061</v>
      </c>
    </row>
    <row r="998" spans="1:1" x14ac:dyDescent="0.25">
      <c r="A998" t="s">
        <v>1062</v>
      </c>
    </row>
    <row r="999" spans="1:1" x14ac:dyDescent="0.25">
      <c r="A999" t="s">
        <v>1063</v>
      </c>
    </row>
    <row r="1000" spans="1:1" x14ac:dyDescent="0.25">
      <c r="A1000" t="s">
        <v>1064</v>
      </c>
    </row>
    <row r="1001" spans="1:1" x14ac:dyDescent="0.25">
      <c r="A1001" t="s">
        <v>1065</v>
      </c>
    </row>
    <row r="1002" spans="1:1" x14ac:dyDescent="0.25">
      <c r="A1002" t="s">
        <v>1066</v>
      </c>
    </row>
    <row r="1003" spans="1:1" x14ac:dyDescent="0.25">
      <c r="A1003" t="s">
        <v>1067</v>
      </c>
    </row>
    <row r="1004" spans="1:1" x14ac:dyDescent="0.25">
      <c r="A1004" t="s">
        <v>1068</v>
      </c>
    </row>
    <row r="1005" spans="1:1" x14ac:dyDescent="0.25">
      <c r="A1005" t="s">
        <v>1069</v>
      </c>
    </row>
    <row r="1006" spans="1:1" x14ac:dyDescent="0.25">
      <c r="A1006" t="s">
        <v>1070</v>
      </c>
    </row>
    <row r="1007" spans="1:1" x14ac:dyDescent="0.25">
      <c r="A1007" t="s">
        <v>1071</v>
      </c>
    </row>
    <row r="1008" spans="1:1" x14ac:dyDescent="0.25">
      <c r="A1008" t="s">
        <v>1072</v>
      </c>
    </row>
    <row r="1009" spans="1:1" x14ac:dyDescent="0.25">
      <c r="A1009" t="s">
        <v>1073</v>
      </c>
    </row>
    <row r="1010" spans="1:1" x14ac:dyDescent="0.25">
      <c r="A1010" t="s">
        <v>1074</v>
      </c>
    </row>
    <row r="1011" spans="1:1" x14ac:dyDescent="0.25">
      <c r="A1011" t="s">
        <v>1075</v>
      </c>
    </row>
    <row r="1012" spans="1:1" x14ac:dyDescent="0.25">
      <c r="A1012" t="s">
        <v>1076</v>
      </c>
    </row>
    <row r="1013" spans="1:1" x14ac:dyDescent="0.25">
      <c r="A1013" t="s">
        <v>1077</v>
      </c>
    </row>
    <row r="1014" spans="1:1" x14ac:dyDescent="0.25">
      <c r="A1014" t="s">
        <v>1078</v>
      </c>
    </row>
    <row r="1015" spans="1:1" x14ac:dyDescent="0.25">
      <c r="A1015" t="s">
        <v>1079</v>
      </c>
    </row>
    <row r="1016" spans="1:1" x14ac:dyDescent="0.25">
      <c r="A1016" t="s">
        <v>1080</v>
      </c>
    </row>
    <row r="1017" spans="1:1" x14ac:dyDescent="0.25">
      <c r="A1017" t="s">
        <v>1081</v>
      </c>
    </row>
    <row r="1018" spans="1:1" x14ac:dyDescent="0.25">
      <c r="A1018" t="s">
        <v>1082</v>
      </c>
    </row>
    <row r="1019" spans="1:1" x14ac:dyDescent="0.25">
      <c r="A1019" t="s">
        <v>1083</v>
      </c>
    </row>
    <row r="1020" spans="1:1" x14ac:dyDescent="0.25">
      <c r="A1020" t="s">
        <v>1084</v>
      </c>
    </row>
    <row r="1021" spans="1:1" x14ac:dyDescent="0.25">
      <c r="A1021" t="s">
        <v>1085</v>
      </c>
    </row>
    <row r="1022" spans="1:1" x14ac:dyDescent="0.25">
      <c r="A1022" t="s">
        <v>1086</v>
      </c>
    </row>
    <row r="1023" spans="1:1" x14ac:dyDescent="0.25">
      <c r="A1023" t="s">
        <v>1087</v>
      </c>
    </row>
    <row r="1024" spans="1:1" x14ac:dyDescent="0.25">
      <c r="A1024" t="s">
        <v>1088</v>
      </c>
    </row>
    <row r="1025" spans="1:1" x14ac:dyDescent="0.25">
      <c r="A1025" t="s">
        <v>1089</v>
      </c>
    </row>
    <row r="1026" spans="1:1" x14ac:dyDescent="0.25">
      <c r="A1026" t="s">
        <v>1090</v>
      </c>
    </row>
    <row r="1027" spans="1:1" x14ac:dyDescent="0.25">
      <c r="A1027" t="s">
        <v>1091</v>
      </c>
    </row>
    <row r="1028" spans="1:1" x14ac:dyDescent="0.25">
      <c r="A1028" t="s">
        <v>1092</v>
      </c>
    </row>
    <row r="1029" spans="1:1" x14ac:dyDescent="0.25">
      <c r="A1029" t="s">
        <v>1093</v>
      </c>
    </row>
    <row r="1030" spans="1:1" x14ac:dyDescent="0.25">
      <c r="A1030" t="s">
        <v>1094</v>
      </c>
    </row>
    <row r="1031" spans="1:1" x14ac:dyDescent="0.25">
      <c r="A1031" t="s">
        <v>1095</v>
      </c>
    </row>
    <row r="1032" spans="1:1" x14ac:dyDescent="0.25">
      <c r="A1032" t="s">
        <v>1096</v>
      </c>
    </row>
    <row r="1033" spans="1:1" x14ac:dyDescent="0.25">
      <c r="A1033" t="s">
        <v>1097</v>
      </c>
    </row>
    <row r="1034" spans="1:1" x14ac:dyDescent="0.25">
      <c r="A1034" t="s">
        <v>1098</v>
      </c>
    </row>
    <row r="1035" spans="1:1" x14ac:dyDescent="0.25">
      <c r="A1035" t="s">
        <v>1099</v>
      </c>
    </row>
    <row r="1036" spans="1:1" x14ac:dyDescent="0.25">
      <c r="A1036" t="s">
        <v>1100</v>
      </c>
    </row>
    <row r="1037" spans="1:1" x14ac:dyDescent="0.25">
      <c r="A1037" t="s">
        <v>1101</v>
      </c>
    </row>
    <row r="1038" spans="1:1" x14ac:dyDescent="0.25">
      <c r="A1038" t="s">
        <v>1102</v>
      </c>
    </row>
    <row r="1039" spans="1:1" x14ac:dyDescent="0.25">
      <c r="A1039" t="s">
        <v>1103</v>
      </c>
    </row>
    <row r="1040" spans="1:1" x14ac:dyDescent="0.25">
      <c r="A1040" t="s">
        <v>1104</v>
      </c>
    </row>
    <row r="1041" spans="1:1" x14ac:dyDescent="0.25">
      <c r="A1041" t="s">
        <v>1105</v>
      </c>
    </row>
    <row r="1042" spans="1:1" x14ac:dyDescent="0.25">
      <c r="A1042" t="s">
        <v>1106</v>
      </c>
    </row>
    <row r="1043" spans="1:1" x14ac:dyDescent="0.25">
      <c r="A1043" t="s">
        <v>1107</v>
      </c>
    </row>
    <row r="1044" spans="1:1" x14ac:dyDescent="0.25">
      <c r="A1044" t="s">
        <v>1108</v>
      </c>
    </row>
    <row r="1045" spans="1:1" x14ac:dyDescent="0.25">
      <c r="A1045" t="s">
        <v>1109</v>
      </c>
    </row>
    <row r="1046" spans="1:1" x14ac:dyDescent="0.25">
      <c r="A1046" t="s">
        <v>1110</v>
      </c>
    </row>
    <row r="1047" spans="1:1" x14ac:dyDescent="0.25">
      <c r="A1047" t="s">
        <v>1111</v>
      </c>
    </row>
    <row r="1048" spans="1:1" x14ac:dyDescent="0.25">
      <c r="A1048" t="s">
        <v>1112</v>
      </c>
    </row>
    <row r="1049" spans="1:1" x14ac:dyDescent="0.25">
      <c r="A1049" t="s">
        <v>1113</v>
      </c>
    </row>
    <row r="1050" spans="1:1" x14ac:dyDescent="0.25">
      <c r="A1050" t="s">
        <v>1114</v>
      </c>
    </row>
    <row r="1051" spans="1:1" x14ac:dyDescent="0.25">
      <c r="A1051" t="s">
        <v>1115</v>
      </c>
    </row>
    <row r="1052" spans="1:1" x14ac:dyDescent="0.25">
      <c r="A1052" t="s">
        <v>1116</v>
      </c>
    </row>
    <row r="1053" spans="1:1" x14ac:dyDescent="0.25">
      <c r="A1053" t="s">
        <v>1117</v>
      </c>
    </row>
    <row r="1054" spans="1:1" x14ac:dyDescent="0.25">
      <c r="A1054" t="s">
        <v>1118</v>
      </c>
    </row>
    <row r="1055" spans="1:1" x14ac:dyDescent="0.25">
      <c r="A1055" t="s">
        <v>1119</v>
      </c>
    </row>
    <row r="1056" spans="1:1" x14ac:dyDescent="0.25">
      <c r="A1056" t="s">
        <v>1120</v>
      </c>
    </row>
    <row r="1057" spans="1:1" x14ac:dyDescent="0.25">
      <c r="A1057" t="s">
        <v>1121</v>
      </c>
    </row>
    <row r="1058" spans="1:1" x14ac:dyDescent="0.25">
      <c r="A1058" t="s">
        <v>1122</v>
      </c>
    </row>
    <row r="1059" spans="1:1" x14ac:dyDescent="0.25">
      <c r="A1059" t="s">
        <v>1123</v>
      </c>
    </row>
    <row r="1060" spans="1:1" x14ac:dyDescent="0.25">
      <c r="A1060" t="s">
        <v>1124</v>
      </c>
    </row>
    <row r="1061" spans="1:1" x14ac:dyDescent="0.25">
      <c r="A1061" t="s">
        <v>1125</v>
      </c>
    </row>
    <row r="1062" spans="1:1" x14ac:dyDescent="0.25">
      <c r="A1062" t="s">
        <v>1126</v>
      </c>
    </row>
    <row r="1063" spans="1:1" x14ac:dyDescent="0.25">
      <c r="A1063" t="s">
        <v>1127</v>
      </c>
    </row>
    <row r="1064" spans="1:1" x14ac:dyDescent="0.25">
      <c r="A1064" t="s">
        <v>1128</v>
      </c>
    </row>
    <row r="1065" spans="1:1" x14ac:dyDescent="0.25">
      <c r="A1065" t="s">
        <v>1129</v>
      </c>
    </row>
    <row r="1066" spans="1:1" x14ac:dyDescent="0.25">
      <c r="A1066" t="s">
        <v>1130</v>
      </c>
    </row>
    <row r="1067" spans="1:1" x14ac:dyDescent="0.25">
      <c r="A1067" t="s">
        <v>1131</v>
      </c>
    </row>
    <row r="1068" spans="1:1" x14ac:dyDescent="0.25">
      <c r="A1068" t="s">
        <v>1132</v>
      </c>
    </row>
    <row r="1069" spans="1:1" x14ac:dyDescent="0.25">
      <c r="A1069" t="s">
        <v>1133</v>
      </c>
    </row>
    <row r="1070" spans="1:1" x14ac:dyDescent="0.25">
      <c r="A1070" t="s">
        <v>1134</v>
      </c>
    </row>
    <row r="1071" spans="1:1" x14ac:dyDescent="0.25">
      <c r="A1071" t="s">
        <v>1135</v>
      </c>
    </row>
    <row r="1072" spans="1:1" x14ac:dyDescent="0.25">
      <c r="A1072" t="s">
        <v>1136</v>
      </c>
    </row>
    <row r="1073" spans="1:1" x14ac:dyDescent="0.25">
      <c r="A1073" t="s">
        <v>1137</v>
      </c>
    </row>
    <row r="1074" spans="1:1" x14ac:dyDescent="0.25">
      <c r="A1074" t="s">
        <v>1138</v>
      </c>
    </row>
    <row r="1075" spans="1:1" x14ac:dyDescent="0.25">
      <c r="A1075" t="s">
        <v>1139</v>
      </c>
    </row>
    <row r="1076" spans="1:1" x14ac:dyDescent="0.25">
      <c r="A1076" t="s">
        <v>1140</v>
      </c>
    </row>
    <row r="1077" spans="1:1" x14ac:dyDescent="0.25">
      <c r="A1077" t="s">
        <v>1141</v>
      </c>
    </row>
    <row r="1078" spans="1:1" x14ac:dyDescent="0.25">
      <c r="A1078" t="s">
        <v>1142</v>
      </c>
    </row>
    <row r="1079" spans="1:1" x14ac:dyDescent="0.25">
      <c r="A1079" t="s">
        <v>1143</v>
      </c>
    </row>
    <row r="1080" spans="1:1" x14ac:dyDescent="0.25">
      <c r="A1080" t="s">
        <v>1144</v>
      </c>
    </row>
    <row r="1081" spans="1:1" x14ac:dyDescent="0.25">
      <c r="A1081" t="s">
        <v>1145</v>
      </c>
    </row>
    <row r="1082" spans="1:1" x14ac:dyDescent="0.25">
      <c r="A1082" t="s">
        <v>1146</v>
      </c>
    </row>
    <row r="1083" spans="1:1" x14ac:dyDescent="0.25">
      <c r="A1083" t="s">
        <v>1147</v>
      </c>
    </row>
    <row r="1084" spans="1:1" x14ac:dyDescent="0.25">
      <c r="A1084" t="s">
        <v>1148</v>
      </c>
    </row>
    <row r="1085" spans="1:1" x14ac:dyDescent="0.25">
      <c r="A1085" t="s">
        <v>1149</v>
      </c>
    </row>
    <row r="1086" spans="1:1" x14ac:dyDescent="0.25">
      <c r="A1086" t="s">
        <v>1150</v>
      </c>
    </row>
    <row r="1087" spans="1:1" x14ac:dyDescent="0.25">
      <c r="A1087" t="s">
        <v>1151</v>
      </c>
    </row>
    <row r="1088" spans="1:1" x14ac:dyDescent="0.25">
      <c r="A1088" t="s">
        <v>1152</v>
      </c>
    </row>
    <row r="1089" spans="1:1" x14ac:dyDescent="0.25">
      <c r="A1089" t="s">
        <v>1153</v>
      </c>
    </row>
    <row r="1090" spans="1:1" x14ac:dyDescent="0.25">
      <c r="A1090" t="s">
        <v>1154</v>
      </c>
    </row>
    <row r="1091" spans="1:1" x14ac:dyDescent="0.25">
      <c r="A1091" t="s">
        <v>1155</v>
      </c>
    </row>
    <row r="1092" spans="1:1" x14ac:dyDescent="0.25">
      <c r="A1092" t="s">
        <v>1156</v>
      </c>
    </row>
    <row r="1093" spans="1:1" x14ac:dyDescent="0.25">
      <c r="A1093" t="s">
        <v>1157</v>
      </c>
    </row>
    <row r="1094" spans="1:1" x14ac:dyDescent="0.25">
      <c r="A1094" t="s">
        <v>1158</v>
      </c>
    </row>
    <row r="1095" spans="1:1" x14ac:dyDescent="0.25">
      <c r="A1095" t="s">
        <v>1159</v>
      </c>
    </row>
    <row r="1096" spans="1:1" x14ac:dyDescent="0.25">
      <c r="A1096" t="s">
        <v>1160</v>
      </c>
    </row>
    <row r="1097" spans="1:1" x14ac:dyDescent="0.25">
      <c r="A1097" t="s">
        <v>1161</v>
      </c>
    </row>
    <row r="1098" spans="1:1" x14ac:dyDescent="0.25">
      <c r="A1098" t="s">
        <v>1162</v>
      </c>
    </row>
    <row r="1099" spans="1:1" x14ac:dyDescent="0.25">
      <c r="A1099" t="s">
        <v>1163</v>
      </c>
    </row>
    <row r="1100" spans="1:1" x14ac:dyDescent="0.25">
      <c r="A1100" t="s">
        <v>1164</v>
      </c>
    </row>
    <row r="1101" spans="1:1" x14ac:dyDescent="0.25">
      <c r="A1101" t="s">
        <v>1165</v>
      </c>
    </row>
    <row r="1102" spans="1:1" x14ac:dyDescent="0.25">
      <c r="A1102" t="s">
        <v>1166</v>
      </c>
    </row>
    <row r="1103" spans="1:1" x14ac:dyDescent="0.25">
      <c r="A1103" t="s">
        <v>1167</v>
      </c>
    </row>
    <row r="1104" spans="1:1" x14ac:dyDescent="0.25">
      <c r="A1104" t="s">
        <v>1168</v>
      </c>
    </row>
    <row r="1105" spans="1:1" x14ac:dyDescent="0.25">
      <c r="A1105" t="s">
        <v>1169</v>
      </c>
    </row>
    <row r="1106" spans="1:1" x14ac:dyDescent="0.25">
      <c r="A1106" t="s">
        <v>1170</v>
      </c>
    </row>
    <row r="1107" spans="1:1" x14ac:dyDescent="0.25">
      <c r="A1107" t="s">
        <v>1171</v>
      </c>
    </row>
    <row r="1108" spans="1:1" x14ac:dyDescent="0.25">
      <c r="A1108" t="s">
        <v>1172</v>
      </c>
    </row>
    <row r="1109" spans="1:1" x14ac:dyDescent="0.25">
      <c r="A1109" t="s">
        <v>1173</v>
      </c>
    </row>
    <row r="1110" spans="1:1" x14ac:dyDescent="0.25">
      <c r="A1110" t="s">
        <v>1174</v>
      </c>
    </row>
    <row r="1111" spans="1:1" x14ac:dyDescent="0.25">
      <c r="A1111" t="s">
        <v>1175</v>
      </c>
    </row>
    <row r="1112" spans="1:1" x14ac:dyDescent="0.25">
      <c r="A1112" t="s">
        <v>1176</v>
      </c>
    </row>
    <row r="1113" spans="1:1" x14ac:dyDescent="0.25">
      <c r="A1113" t="s">
        <v>1177</v>
      </c>
    </row>
    <row r="1114" spans="1:1" x14ac:dyDescent="0.25">
      <c r="A1114" t="s">
        <v>1178</v>
      </c>
    </row>
    <row r="1115" spans="1:1" x14ac:dyDescent="0.25">
      <c r="A1115" t="s">
        <v>1179</v>
      </c>
    </row>
    <row r="1116" spans="1:1" x14ac:dyDescent="0.25">
      <c r="A1116" t="s">
        <v>1180</v>
      </c>
    </row>
    <row r="1117" spans="1:1" x14ac:dyDescent="0.25">
      <c r="A1117" t="s">
        <v>1181</v>
      </c>
    </row>
    <row r="1118" spans="1:1" x14ac:dyDescent="0.25">
      <c r="A1118" t="s">
        <v>1182</v>
      </c>
    </row>
    <row r="1119" spans="1:1" x14ac:dyDescent="0.25">
      <c r="A1119" t="s">
        <v>1183</v>
      </c>
    </row>
    <row r="1120" spans="1:1" x14ac:dyDescent="0.25">
      <c r="A1120" t="s">
        <v>1184</v>
      </c>
    </row>
    <row r="1121" spans="1:1" x14ac:dyDescent="0.25">
      <c r="A1121" t="s">
        <v>1185</v>
      </c>
    </row>
    <row r="1122" spans="1:1" x14ac:dyDescent="0.25">
      <c r="A1122" t="s">
        <v>1186</v>
      </c>
    </row>
    <row r="1123" spans="1:1" x14ac:dyDescent="0.25">
      <c r="A1123" t="s">
        <v>1187</v>
      </c>
    </row>
    <row r="1124" spans="1:1" x14ac:dyDescent="0.25">
      <c r="A1124" t="s">
        <v>1188</v>
      </c>
    </row>
    <row r="1125" spans="1:1" x14ac:dyDescent="0.25">
      <c r="A1125" t="s">
        <v>1189</v>
      </c>
    </row>
    <row r="1126" spans="1:1" x14ac:dyDescent="0.25">
      <c r="A1126" t="s">
        <v>1190</v>
      </c>
    </row>
    <row r="1127" spans="1:1" x14ac:dyDescent="0.25">
      <c r="A1127" t="s">
        <v>1191</v>
      </c>
    </row>
    <row r="1128" spans="1:1" x14ac:dyDescent="0.25">
      <c r="A1128" t="s">
        <v>1192</v>
      </c>
    </row>
    <row r="1129" spans="1:1" x14ac:dyDescent="0.25">
      <c r="A1129" t="s">
        <v>1193</v>
      </c>
    </row>
    <row r="1130" spans="1:1" x14ac:dyDescent="0.25">
      <c r="A1130" t="s">
        <v>1194</v>
      </c>
    </row>
    <row r="1131" spans="1:1" x14ac:dyDescent="0.25">
      <c r="A1131" t="s">
        <v>1195</v>
      </c>
    </row>
    <row r="1132" spans="1:1" x14ac:dyDescent="0.25">
      <c r="A1132" t="s">
        <v>1196</v>
      </c>
    </row>
    <row r="1133" spans="1:1" x14ac:dyDescent="0.25">
      <c r="A1133" t="s">
        <v>1197</v>
      </c>
    </row>
    <row r="1134" spans="1:1" x14ac:dyDescent="0.25">
      <c r="A1134" t="s">
        <v>1198</v>
      </c>
    </row>
    <row r="1135" spans="1:1" x14ac:dyDescent="0.25">
      <c r="A1135" t="s">
        <v>1199</v>
      </c>
    </row>
    <row r="1136" spans="1:1" x14ac:dyDescent="0.25">
      <c r="A1136" t="s">
        <v>1200</v>
      </c>
    </row>
    <row r="1137" spans="1:1" x14ac:dyDescent="0.25">
      <c r="A1137" t="s">
        <v>1201</v>
      </c>
    </row>
    <row r="1138" spans="1:1" x14ac:dyDescent="0.25">
      <c r="A1138" t="s">
        <v>1202</v>
      </c>
    </row>
    <row r="1139" spans="1:1" x14ac:dyDescent="0.25">
      <c r="A1139" t="s">
        <v>1203</v>
      </c>
    </row>
    <row r="1140" spans="1:1" x14ac:dyDescent="0.25">
      <c r="A1140" t="s">
        <v>1204</v>
      </c>
    </row>
    <row r="1141" spans="1:1" x14ac:dyDescent="0.25">
      <c r="A1141" t="s">
        <v>1205</v>
      </c>
    </row>
    <row r="1142" spans="1:1" x14ac:dyDescent="0.25">
      <c r="A1142" t="s">
        <v>1206</v>
      </c>
    </row>
    <row r="1143" spans="1:1" x14ac:dyDescent="0.25">
      <c r="A1143" t="s">
        <v>1207</v>
      </c>
    </row>
    <row r="1144" spans="1:1" x14ac:dyDescent="0.25">
      <c r="A1144" t="s">
        <v>1208</v>
      </c>
    </row>
    <row r="1145" spans="1:1" x14ac:dyDescent="0.25">
      <c r="A1145" t="s">
        <v>1209</v>
      </c>
    </row>
    <row r="1146" spans="1:1" x14ac:dyDescent="0.25">
      <c r="A1146" t="s">
        <v>1210</v>
      </c>
    </row>
    <row r="1147" spans="1:1" x14ac:dyDescent="0.25">
      <c r="A1147" t="s">
        <v>1211</v>
      </c>
    </row>
    <row r="1148" spans="1:1" x14ac:dyDescent="0.25">
      <c r="A1148" t="s">
        <v>1212</v>
      </c>
    </row>
    <row r="1149" spans="1:1" x14ac:dyDescent="0.25">
      <c r="A1149" t="s">
        <v>1213</v>
      </c>
    </row>
    <row r="1150" spans="1:1" x14ac:dyDescent="0.25">
      <c r="A1150" t="s">
        <v>1214</v>
      </c>
    </row>
    <row r="1151" spans="1:1" x14ac:dyDescent="0.25">
      <c r="A1151" t="s">
        <v>1215</v>
      </c>
    </row>
    <row r="1152" spans="1:1" x14ac:dyDescent="0.25">
      <c r="A1152" t="s">
        <v>1216</v>
      </c>
    </row>
    <row r="1153" spans="1:1" x14ac:dyDescent="0.25">
      <c r="A1153" t="s">
        <v>1217</v>
      </c>
    </row>
    <row r="1154" spans="1:1" x14ac:dyDescent="0.25">
      <c r="A1154" t="s">
        <v>1218</v>
      </c>
    </row>
    <row r="1155" spans="1:1" x14ac:dyDescent="0.25">
      <c r="A1155" t="s">
        <v>1219</v>
      </c>
    </row>
    <row r="1156" spans="1:1" x14ac:dyDescent="0.25">
      <c r="A1156" t="s">
        <v>1220</v>
      </c>
    </row>
    <row r="1157" spans="1:1" x14ac:dyDescent="0.25">
      <c r="A1157" t="s">
        <v>1221</v>
      </c>
    </row>
    <row r="1158" spans="1:1" x14ac:dyDescent="0.25">
      <c r="A1158" t="s">
        <v>1222</v>
      </c>
    </row>
    <row r="1159" spans="1:1" x14ac:dyDescent="0.25">
      <c r="A1159" t="s">
        <v>1223</v>
      </c>
    </row>
    <row r="1160" spans="1:1" x14ac:dyDescent="0.25">
      <c r="A1160" t="s">
        <v>1224</v>
      </c>
    </row>
    <row r="1161" spans="1:1" x14ac:dyDescent="0.25">
      <c r="A1161" t="s">
        <v>1225</v>
      </c>
    </row>
    <row r="1162" spans="1:1" x14ac:dyDescent="0.25">
      <c r="A1162" t="s">
        <v>1226</v>
      </c>
    </row>
    <row r="1163" spans="1:1" x14ac:dyDescent="0.25">
      <c r="A1163" t="s">
        <v>1227</v>
      </c>
    </row>
    <row r="1164" spans="1:1" x14ac:dyDescent="0.25">
      <c r="A1164" t="s">
        <v>1228</v>
      </c>
    </row>
    <row r="1165" spans="1:1" x14ac:dyDescent="0.25">
      <c r="A1165" t="s">
        <v>1229</v>
      </c>
    </row>
    <row r="1166" spans="1:1" x14ac:dyDescent="0.25">
      <c r="A1166" t="s">
        <v>1230</v>
      </c>
    </row>
    <row r="1167" spans="1:1" x14ac:dyDescent="0.25">
      <c r="A1167" t="s">
        <v>1231</v>
      </c>
    </row>
    <row r="1168" spans="1:1" x14ac:dyDescent="0.25">
      <c r="A1168" t="s">
        <v>1232</v>
      </c>
    </row>
    <row r="1169" spans="1:1" x14ac:dyDescent="0.25">
      <c r="A1169" t="s">
        <v>1233</v>
      </c>
    </row>
    <row r="1170" spans="1:1" x14ac:dyDescent="0.25">
      <c r="A1170" t="s">
        <v>1234</v>
      </c>
    </row>
    <row r="1171" spans="1:1" x14ac:dyDescent="0.25">
      <c r="A1171" t="s">
        <v>1235</v>
      </c>
    </row>
    <row r="1172" spans="1:1" x14ac:dyDescent="0.25">
      <c r="A1172" t="s">
        <v>1236</v>
      </c>
    </row>
    <row r="1173" spans="1:1" x14ac:dyDescent="0.25">
      <c r="A1173" t="s">
        <v>1237</v>
      </c>
    </row>
    <row r="1174" spans="1:1" x14ac:dyDescent="0.25">
      <c r="A1174" t="s">
        <v>1238</v>
      </c>
    </row>
    <row r="1175" spans="1:1" x14ac:dyDescent="0.25">
      <c r="A1175" t="s">
        <v>1239</v>
      </c>
    </row>
    <row r="1176" spans="1:1" x14ac:dyDescent="0.25">
      <c r="A1176" t="s">
        <v>1240</v>
      </c>
    </row>
    <row r="1177" spans="1:1" x14ac:dyDescent="0.25">
      <c r="A1177" t="s">
        <v>1241</v>
      </c>
    </row>
    <row r="1178" spans="1:1" x14ac:dyDescent="0.25">
      <c r="A1178" t="s">
        <v>1242</v>
      </c>
    </row>
    <row r="1179" spans="1:1" x14ac:dyDescent="0.25">
      <c r="A1179" t="s">
        <v>1243</v>
      </c>
    </row>
    <row r="1180" spans="1:1" x14ac:dyDescent="0.25">
      <c r="A1180" t="s">
        <v>1244</v>
      </c>
    </row>
    <row r="1181" spans="1:1" x14ac:dyDescent="0.25">
      <c r="A1181" t="s">
        <v>1245</v>
      </c>
    </row>
    <row r="1182" spans="1:1" x14ac:dyDescent="0.25">
      <c r="A1182" t="s">
        <v>1246</v>
      </c>
    </row>
    <row r="1183" spans="1:1" x14ac:dyDescent="0.25">
      <c r="A1183" t="s">
        <v>1247</v>
      </c>
    </row>
    <row r="1184" spans="1:1" x14ac:dyDescent="0.25">
      <c r="A1184" t="s">
        <v>1248</v>
      </c>
    </row>
    <row r="1185" spans="1:1" x14ac:dyDescent="0.25">
      <c r="A1185" t="s">
        <v>1249</v>
      </c>
    </row>
    <row r="1186" spans="1:1" x14ac:dyDescent="0.25">
      <c r="A1186" t="s">
        <v>1250</v>
      </c>
    </row>
    <row r="1187" spans="1:1" x14ac:dyDescent="0.25">
      <c r="A1187" t="s">
        <v>1251</v>
      </c>
    </row>
    <row r="1188" spans="1:1" x14ac:dyDescent="0.25">
      <c r="A1188" t="s">
        <v>1252</v>
      </c>
    </row>
    <row r="1189" spans="1:1" x14ac:dyDescent="0.25">
      <c r="A1189" t="s">
        <v>1253</v>
      </c>
    </row>
    <row r="1190" spans="1:1" x14ac:dyDescent="0.25">
      <c r="A1190" t="s">
        <v>1254</v>
      </c>
    </row>
    <row r="1191" spans="1:1" x14ac:dyDescent="0.25">
      <c r="A1191" t="s">
        <v>1255</v>
      </c>
    </row>
    <row r="1192" spans="1:1" x14ac:dyDescent="0.25">
      <c r="A1192" t="s">
        <v>1256</v>
      </c>
    </row>
    <row r="1193" spans="1:1" x14ac:dyDescent="0.25">
      <c r="A1193" t="s">
        <v>1257</v>
      </c>
    </row>
    <row r="1194" spans="1:1" x14ac:dyDescent="0.25">
      <c r="A1194" t="s">
        <v>1258</v>
      </c>
    </row>
    <row r="1195" spans="1:1" x14ac:dyDescent="0.25">
      <c r="A1195" t="s">
        <v>1259</v>
      </c>
    </row>
    <row r="1196" spans="1:1" x14ac:dyDescent="0.25">
      <c r="A1196" t="s">
        <v>1260</v>
      </c>
    </row>
    <row r="1197" spans="1:1" x14ac:dyDescent="0.25">
      <c r="A1197" t="s">
        <v>1261</v>
      </c>
    </row>
    <row r="1198" spans="1:1" x14ac:dyDescent="0.25">
      <c r="A1198" t="s">
        <v>1262</v>
      </c>
    </row>
    <row r="1199" spans="1:1" x14ac:dyDescent="0.25">
      <c r="A1199" t="s">
        <v>1263</v>
      </c>
    </row>
    <row r="1200" spans="1:1" x14ac:dyDescent="0.25">
      <c r="A1200" t="s">
        <v>1264</v>
      </c>
    </row>
    <row r="1201" spans="1:1" x14ac:dyDescent="0.25">
      <c r="A1201" t="s">
        <v>1265</v>
      </c>
    </row>
    <row r="1202" spans="1:1" x14ac:dyDescent="0.25">
      <c r="A1202" t="s">
        <v>1266</v>
      </c>
    </row>
    <row r="1203" spans="1:1" x14ac:dyDescent="0.25">
      <c r="A1203" t="s">
        <v>1267</v>
      </c>
    </row>
    <row r="1204" spans="1:1" x14ac:dyDescent="0.25">
      <c r="A1204" t="s">
        <v>1268</v>
      </c>
    </row>
    <row r="1205" spans="1:1" x14ac:dyDescent="0.25">
      <c r="A1205" t="s">
        <v>1269</v>
      </c>
    </row>
    <row r="1206" spans="1:1" x14ac:dyDescent="0.25">
      <c r="A1206" t="s">
        <v>1270</v>
      </c>
    </row>
    <row r="1207" spans="1:1" x14ac:dyDescent="0.25">
      <c r="A1207" t="s">
        <v>1271</v>
      </c>
    </row>
    <row r="1208" spans="1:1" x14ac:dyDescent="0.25">
      <c r="A1208" t="s">
        <v>1272</v>
      </c>
    </row>
    <row r="1209" spans="1:1" x14ac:dyDescent="0.25">
      <c r="A1209" t="s">
        <v>1273</v>
      </c>
    </row>
    <row r="1210" spans="1:1" x14ac:dyDescent="0.25">
      <c r="A1210" t="s">
        <v>1274</v>
      </c>
    </row>
    <row r="1211" spans="1:1" x14ac:dyDescent="0.25">
      <c r="A1211" t="s">
        <v>1275</v>
      </c>
    </row>
    <row r="1212" spans="1:1" x14ac:dyDescent="0.25">
      <c r="A1212" t="s">
        <v>1276</v>
      </c>
    </row>
    <row r="1213" spans="1:1" x14ac:dyDescent="0.25">
      <c r="A1213" t="s">
        <v>1277</v>
      </c>
    </row>
    <row r="1214" spans="1:1" x14ac:dyDescent="0.25">
      <c r="A1214" t="s">
        <v>1278</v>
      </c>
    </row>
    <row r="1215" spans="1:1" x14ac:dyDescent="0.25">
      <c r="A1215" t="s">
        <v>1279</v>
      </c>
    </row>
    <row r="1216" spans="1:1" x14ac:dyDescent="0.25">
      <c r="A1216" t="s">
        <v>1280</v>
      </c>
    </row>
    <row r="1217" spans="1:1" x14ac:dyDescent="0.25">
      <c r="A1217" t="s">
        <v>1281</v>
      </c>
    </row>
    <row r="1218" spans="1:1" x14ac:dyDescent="0.25">
      <c r="A1218" t="s">
        <v>1282</v>
      </c>
    </row>
    <row r="1219" spans="1:1" x14ac:dyDescent="0.25">
      <c r="A1219" t="s">
        <v>1283</v>
      </c>
    </row>
    <row r="1220" spans="1:1" x14ac:dyDescent="0.25">
      <c r="A1220" t="s">
        <v>1284</v>
      </c>
    </row>
    <row r="1221" spans="1:1" x14ac:dyDescent="0.25">
      <c r="A1221" t="s">
        <v>1285</v>
      </c>
    </row>
    <row r="1222" spans="1:1" x14ac:dyDescent="0.25">
      <c r="A1222" t="s">
        <v>1286</v>
      </c>
    </row>
    <row r="1223" spans="1:1" x14ac:dyDescent="0.25">
      <c r="A1223" t="s">
        <v>1287</v>
      </c>
    </row>
    <row r="1224" spans="1:1" x14ac:dyDescent="0.25">
      <c r="A1224" t="s">
        <v>1288</v>
      </c>
    </row>
    <row r="1225" spans="1:1" x14ac:dyDescent="0.25">
      <c r="A1225" t="s">
        <v>1289</v>
      </c>
    </row>
    <row r="1226" spans="1:1" x14ac:dyDescent="0.25">
      <c r="A1226" t="s">
        <v>1290</v>
      </c>
    </row>
    <row r="1227" spans="1:1" x14ac:dyDescent="0.25">
      <c r="A1227" t="s">
        <v>1291</v>
      </c>
    </row>
    <row r="1228" spans="1:1" x14ac:dyDescent="0.25">
      <c r="A1228" t="s">
        <v>1292</v>
      </c>
    </row>
    <row r="1229" spans="1:1" x14ac:dyDescent="0.25">
      <c r="A1229" t="s">
        <v>1293</v>
      </c>
    </row>
    <row r="1230" spans="1:1" x14ac:dyDescent="0.25">
      <c r="A1230" t="s">
        <v>1294</v>
      </c>
    </row>
    <row r="1231" spans="1:1" x14ac:dyDescent="0.25">
      <c r="A1231" t="s">
        <v>1295</v>
      </c>
    </row>
    <row r="1232" spans="1:1" x14ac:dyDescent="0.25">
      <c r="A1232" t="s">
        <v>1296</v>
      </c>
    </row>
    <row r="1233" spans="1:1" x14ac:dyDescent="0.25">
      <c r="A1233" t="s">
        <v>1297</v>
      </c>
    </row>
    <row r="1234" spans="1:1" x14ac:dyDescent="0.25">
      <c r="A1234" t="s">
        <v>1298</v>
      </c>
    </row>
    <row r="1235" spans="1:1" x14ac:dyDescent="0.25">
      <c r="A1235" t="s">
        <v>1299</v>
      </c>
    </row>
    <row r="1236" spans="1:1" x14ac:dyDescent="0.25">
      <c r="A1236" t="s">
        <v>1300</v>
      </c>
    </row>
    <row r="1237" spans="1:1" x14ac:dyDescent="0.25">
      <c r="A1237" t="s">
        <v>1301</v>
      </c>
    </row>
    <row r="1238" spans="1:1" x14ac:dyDescent="0.25">
      <c r="A1238" t="s">
        <v>1302</v>
      </c>
    </row>
    <row r="1239" spans="1:1" x14ac:dyDescent="0.25">
      <c r="A1239" t="s">
        <v>1303</v>
      </c>
    </row>
    <row r="1240" spans="1:1" x14ac:dyDescent="0.25">
      <c r="A1240" t="s">
        <v>1304</v>
      </c>
    </row>
    <row r="1241" spans="1:1" x14ac:dyDescent="0.25">
      <c r="A1241" t="s">
        <v>1305</v>
      </c>
    </row>
    <row r="1242" spans="1:1" x14ac:dyDescent="0.25">
      <c r="A1242" t="s">
        <v>1306</v>
      </c>
    </row>
    <row r="1243" spans="1:1" x14ac:dyDescent="0.25">
      <c r="A1243" t="s">
        <v>1307</v>
      </c>
    </row>
    <row r="1244" spans="1:1" x14ac:dyDescent="0.25">
      <c r="A1244" t="s">
        <v>1308</v>
      </c>
    </row>
    <row r="1245" spans="1:1" x14ac:dyDescent="0.25">
      <c r="A1245" t="s">
        <v>1309</v>
      </c>
    </row>
    <row r="1246" spans="1:1" x14ac:dyDescent="0.25">
      <c r="A1246" t="s">
        <v>1310</v>
      </c>
    </row>
    <row r="1247" spans="1:1" x14ac:dyDescent="0.25">
      <c r="A1247" t="s">
        <v>1311</v>
      </c>
    </row>
    <row r="1248" spans="1:1" x14ac:dyDescent="0.25">
      <c r="A1248" t="s">
        <v>1312</v>
      </c>
    </row>
    <row r="1249" spans="1:1" x14ac:dyDescent="0.25">
      <c r="A1249" t="s">
        <v>1313</v>
      </c>
    </row>
    <row r="1250" spans="1:1" x14ac:dyDescent="0.25">
      <c r="A1250" t="s">
        <v>1314</v>
      </c>
    </row>
    <row r="1251" spans="1:1" x14ac:dyDescent="0.25">
      <c r="A1251" t="s">
        <v>1315</v>
      </c>
    </row>
    <row r="1252" spans="1:1" x14ac:dyDescent="0.25">
      <c r="A1252" t="s">
        <v>1316</v>
      </c>
    </row>
    <row r="1253" spans="1:1" x14ac:dyDescent="0.25">
      <c r="A1253" t="s">
        <v>1317</v>
      </c>
    </row>
    <row r="1254" spans="1:1" x14ac:dyDescent="0.25">
      <c r="A1254" t="s">
        <v>1318</v>
      </c>
    </row>
    <row r="1255" spans="1:1" x14ac:dyDescent="0.25">
      <c r="A1255" t="s">
        <v>1319</v>
      </c>
    </row>
    <row r="1256" spans="1:1" x14ac:dyDescent="0.25">
      <c r="A1256" t="s">
        <v>1320</v>
      </c>
    </row>
    <row r="1257" spans="1:1" x14ac:dyDescent="0.25">
      <c r="A1257" t="s">
        <v>1321</v>
      </c>
    </row>
    <row r="1258" spans="1:1" x14ac:dyDescent="0.25">
      <c r="A1258" t="s">
        <v>1322</v>
      </c>
    </row>
    <row r="1259" spans="1:1" x14ac:dyDescent="0.25">
      <c r="A1259" t="s">
        <v>1323</v>
      </c>
    </row>
    <row r="1260" spans="1:1" x14ac:dyDescent="0.25">
      <c r="A1260" t="s">
        <v>1324</v>
      </c>
    </row>
    <row r="1261" spans="1:1" x14ac:dyDescent="0.25">
      <c r="A1261" t="s">
        <v>1325</v>
      </c>
    </row>
    <row r="1262" spans="1:1" x14ac:dyDescent="0.25">
      <c r="A1262" t="s">
        <v>1326</v>
      </c>
    </row>
    <row r="1263" spans="1:1" x14ac:dyDescent="0.25">
      <c r="A1263" t="s">
        <v>1327</v>
      </c>
    </row>
    <row r="1264" spans="1:1" x14ac:dyDescent="0.25">
      <c r="A1264" t="s">
        <v>1328</v>
      </c>
    </row>
    <row r="1265" spans="1:1" x14ac:dyDescent="0.25">
      <c r="A1265" t="s">
        <v>1329</v>
      </c>
    </row>
    <row r="1266" spans="1:1" x14ac:dyDescent="0.25">
      <c r="A1266" t="s">
        <v>1330</v>
      </c>
    </row>
    <row r="1267" spans="1:1" x14ac:dyDescent="0.25">
      <c r="A1267" t="s">
        <v>1331</v>
      </c>
    </row>
    <row r="1268" spans="1:1" x14ac:dyDescent="0.25">
      <c r="A1268" t="s">
        <v>1332</v>
      </c>
    </row>
    <row r="1269" spans="1:1" x14ac:dyDescent="0.25">
      <c r="A1269" t="s">
        <v>1333</v>
      </c>
    </row>
    <row r="1270" spans="1:1" x14ac:dyDescent="0.25">
      <c r="A1270" t="s">
        <v>1334</v>
      </c>
    </row>
    <row r="1271" spans="1:1" x14ac:dyDescent="0.25">
      <c r="A1271" t="s">
        <v>1335</v>
      </c>
    </row>
    <row r="1272" spans="1:1" x14ac:dyDescent="0.25">
      <c r="A1272" t="s">
        <v>1336</v>
      </c>
    </row>
    <row r="1273" spans="1:1" x14ac:dyDescent="0.25">
      <c r="A1273" t="s">
        <v>1337</v>
      </c>
    </row>
    <row r="1274" spans="1:1" x14ac:dyDescent="0.25">
      <c r="A1274" t="s">
        <v>1338</v>
      </c>
    </row>
    <row r="1275" spans="1:1" x14ac:dyDescent="0.25">
      <c r="A1275" t="s">
        <v>1339</v>
      </c>
    </row>
    <row r="1276" spans="1:1" x14ac:dyDescent="0.25">
      <c r="A1276" t="s">
        <v>1340</v>
      </c>
    </row>
    <row r="1277" spans="1:1" x14ac:dyDescent="0.25">
      <c r="A1277" t="s">
        <v>1341</v>
      </c>
    </row>
    <row r="1278" spans="1:1" x14ac:dyDescent="0.25">
      <c r="A1278" t="s">
        <v>1342</v>
      </c>
    </row>
    <row r="1279" spans="1:1" x14ac:dyDescent="0.25">
      <c r="A1279" t="s">
        <v>1343</v>
      </c>
    </row>
    <row r="1280" spans="1:1" x14ac:dyDescent="0.25">
      <c r="A1280" t="s">
        <v>1344</v>
      </c>
    </row>
    <row r="1281" spans="1:1" x14ac:dyDescent="0.25">
      <c r="A1281" t="s">
        <v>1345</v>
      </c>
    </row>
    <row r="1282" spans="1:1" x14ac:dyDescent="0.25">
      <c r="A1282" t="s">
        <v>1346</v>
      </c>
    </row>
    <row r="1283" spans="1:1" x14ac:dyDescent="0.25">
      <c r="A1283" t="s">
        <v>1347</v>
      </c>
    </row>
    <row r="1284" spans="1:1" x14ac:dyDescent="0.25">
      <c r="A1284" t="s">
        <v>1348</v>
      </c>
    </row>
    <row r="1285" spans="1:1" x14ac:dyDescent="0.25">
      <c r="A1285" t="s">
        <v>1349</v>
      </c>
    </row>
    <row r="1286" spans="1:1" x14ac:dyDescent="0.25">
      <c r="A1286" t="s">
        <v>1350</v>
      </c>
    </row>
    <row r="1287" spans="1:1" x14ac:dyDescent="0.25">
      <c r="A1287" t="s">
        <v>1351</v>
      </c>
    </row>
    <row r="1288" spans="1:1" x14ac:dyDescent="0.25">
      <c r="A1288" t="s">
        <v>1352</v>
      </c>
    </row>
    <row r="1289" spans="1:1" x14ac:dyDescent="0.25">
      <c r="A1289" t="s">
        <v>1353</v>
      </c>
    </row>
    <row r="1290" spans="1:1" x14ac:dyDescent="0.25">
      <c r="A1290" t="s">
        <v>1354</v>
      </c>
    </row>
    <row r="1291" spans="1:1" x14ac:dyDescent="0.25">
      <c r="A1291" t="s">
        <v>1355</v>
      </c>
    </row>
    <row r="1292" spans="1:1" x14ac:dyDescent="0.25">
      <c r="A1292" t="s">
        <v>1356</v>
      </c>
    </row>
    <row r="1293" spans="1:1" x14ac:dyDescent="0.25">
      <c r="A1293" t="s">
        <v>1357</v>
      </c>
    </row>
    <row r="1294" spans="1:1" x14ac:dyDescent="0.25">
      <c r="A1294" t="s">
        <v>1358</v>
      </c>
    </row>
    <row r="1295" spans="1:1" x14ac:dyDescent="0.25">
      <c r="A1295" t="s">
        <v>1359</v>
      </c>
    </row>
    <row r="1296" spans="1:1" x14ac:dyDescent="0.25">
      <c r="A1296" t="s">
        <v>1360</v>
      </c>
    </row>
    <row r="1297" spans="1:1" x14ac:dyDescent="0.25">
      <c r="A1297" t="s">
        <v>1361</v>
      </c>
    </row>
    <row r="1298" spans="1:1" x14ac:dyDescent="0.25">
      <c r="A1298" t="s">
        <v>1362</v>
      </c>
    </row>
    <row r="1299" spans="1:1" x14ac:dyDescent="0.25">
      <c r="A1299" t="s">
        <v>1363</v>
      </c>
    </row>
    <row r="1300" spans="1:1" x14ac:dyDescent="0.25">
      <c r="A1300" t="s">
        <v>1364</v>
      </c>
    </row>
    <row r="1301" spans="1:1" x14ac:dyDescent="0.25">
      <c r="A1301" t="s">
        <v>1365</v>
      </c>
    </row>
    <row r="1302" spans="1:1" x14ac:dyDescent="0.25">
      <c r="A1302" t="s">
        <v>1366</v>
      </c>
    </row>
    <row r="1303" spans="1:1" x14ac:dyDescent="0.25">
      <c r="A1303" t="s">
        <v>1367</v>
      </c>
    </row>
    <row r="1304" spans="1:1" x14ac:dyDescent="0.25">
      <c r="A1304" t="s">
        <v>1368</v>
      </c>
    </row>
    <row r="1305" spans="1:1" x14ac:dyDescent="0.25">
      <c r="A1305" t="s">
        <v>1369</v>
      </c>
    </row>
    <row r="1306" spans="1:1" x14ac:dyDescent="0.25">
      <c r="A1306" t="s">
        <v>1370</v>
      </c>
    </row>
    <row r="1307" spans="1:1" x14ac:dyDescent="0.25">
      <c r="A1307" t="s">
        <v>1371</v>
      </c>
    </row>
    <row r="1308" spans="1:1" x14ac:dyDescent="0.25">
      <c r="A1308" t="s">
        <v>1372</v>
      </c>
    </row>
    <row r="1309" spans="1:1" x14ac:dyDescent="0.25">
      <c r="A1309" t="s">
        <v>1373</v>
      </c>
    </row>
    <row r="1310" spans="1:1" x14ac:dyDescent="0.25">
      <c r="A1310" t="s">
        <v>1374</v>
      </c>
    </row>
    <row r="1311" spans="1:1" x14ac:dyDescent="0.25">
      <c r="A1311" t="s">
        <v>1375</v>
      </c>
    </row>
    <row r="1312" spans="1:1" x14ac:dyDescent="0.25">
      <c r="A1312" t="s">
        <v>1376</v>
      </c>
    </row>
    <row r="1313" spans="1:1" x14ac:dyDescent="0.25">
      <c r="A1313" t="s">
        <v>1377</v>
      </c>
    </row>
    <row r="1314" spans="1:1" x14ac:dyDescent="0.25">
      <c r="A1314" t="s">
        <v>1378</v>
      </c>
    </row>
    <row r="1315" spans="1:1" x14ac:dyDescent="0.25">
      <c r="A1315" t="s">
        <v>1379</v>
      </c>
    </row>
    <row r="1316" spans="1:1" x14ac:dyDescent="0.25">
      <c r="A1316" t="s">
        <v>1380</v>
      </c>
    </row>
    <row r="1317" spans="1:1" x14ac:dyDescent="0.25">
      <c r="A1317" t="s">
        <v>1381</v>
      </c>
    </row>
    <row r="1318" spans="1:1" x14ac:dyDescent="0.25">
      <c r="A1318" t="s">
        <v>1382</v>
      </c>
    </row>
    <row r="1319" spans="1:1" x14ac:dyDescent="0.25">
      <c r="A1319" t="s">
        <v>1383</v>
      </c>
    </row>
    <row r="1320" spans="1:1" x14ac:dyDescent="0.25">
      <c r="A1320" t="s">
        <v>1384</v>
      </c>
    </row>
    <row r="1321" spans="1:1" x14ac:dyDescent="0.25">
      <c r="A1321" t="s">
        <v>1385</v>
      </c>
    </row>
    <row r="1322" spans="1:1" x14ac:dyDescent="0.25">
      <c r="A1322" t="s">
        <v>1386</v>
      </c>
    </row>
    <row r="1323" spans="1:1" x14ac:dyDescent="0.25">
      <c r="A1323" t="s">
        <v>1387</v>
      </c>
    </row>
    <row r="1324" spans="1:1" x14ac:dyDescent="0.25">
      <c r="A1324" t="s">
        <v>1388</v>
      </c>
    </row>
    <row r="1325" spans="1:1" x14ac:dyDescent="0.25">
      <c r="A1325" t="s">
        <v>1389</v>
      </c>
    </row>
    <row r="1326" spans="1:1" x14ac:dyDescent="0.25">
      <c r="A1326" t="s">
        <v>1390</v>
      </c>
    </row>
    <row r="1327" spans="1:1" x14ac:dyDescent="0.25">
      <c r="A1327" t="s">
        <v>1391</v>
      </c>
    </row>
    <row r="1328" spans="1:1" x14ac:dyDescent="0.25">
      <c r="A1328" t="s">
        <v>1392</v>
      </c>
    </row>
    <row r="1329" spans="1:1" x14ac:dyDescent="0.25">
      <c r="A1329" t="s">
        <v>1393</v>
      </c>
    </row>
    <row r="1330" spans="1:1" x14ac:dyDescent="0.25">
      <c r="A1330" t="s">
        <v>1394</v>
      </c>
    </row>
    <row r="1331" spans="1:1" x14ac:dyDescent="0.25">
      <c r="A1331" t="s">
        <v>1395</v>
      </c>
    </row>
    <row r="1332" spans="1:1" x14ac:dyDescent="0.25">
      <c r="A1332" t="s">
        <v>1396</v>
      </c>
    </row>
    <row r="1333" spans="1:1" x14ac:dyDescent="0.25">
      <c r="A1333" t="s">
        <v>1397</v>
      </c>
    </row>
    <row r="1334" spans="1:1" x14ac:dyDescent="0.25">
      <c r="A1334" t="s">
        <v>1398</v>
      </c>
    </row>
    <row r="1335" spans="1:1" x14ac:dyDescent="0.25">
      <c r="A1335" t="s">
        <v>1399</v>
      </c>
    </row>
    <row r="1336" spans="1:1" x14ac:dyDescent="0.25">
      <c r="A1336" t="s">
        <v>1400</v>
      </c>
    </row>
    <row r="1337" spans="1:1" x14ac:dyDescent="0.25">
      <c r="A1337" t="s">
        <v>1401</v>
      </c>
    </row>
    <row r="1338" spans="1:1" x14ac:dyDescent="0.25">
      <c r="A1338" t="s">
        <v>1402</v>
      </c>
    </row>
    <row r="1339" spans="1:1" x14ac:dyDescent="0.25">
      <c r="A1339" t="s">
        <v>1403</v>
      </c>
    </row>
    <row r="1340" spans="1:1" x14ac:dyDescent="0.25">
      <c r="A1340" t="s">
        <v>1404</v>
      </c>
    </row>
    <row r="1341" spans="1:1" x14ac:dyDescent="0.25">
      <c r="A1341" t="s">
        <v>1405</v>
      </c>
    </row>
    <row r="1342" spans="1:1" x14ac:dyDescent="0.25">
      <c r="A1342" t="s">
        <v>1406</v>
      </c>
    </row>
    <row r="1343" spans="1:1" x14ac:dyDescent="0.25">
      <c r="A1343" t="s">
        <v>1407</v>
      </c>
    </row>
    <row r="1344" spans="1:1" x14ac:dyDescent="0.25">
      <c r="A1344" t="s">
        <v>1408</v>
      </c>
    </row>
    <row r="1345" spans="1:1" x14ac:dyDescent="0.25">
      <c r="A1345" t="s">
        <v>1409</v>
      </c>
    </row>
    <row r="1346" spans="1:1" x14ac:dyDescent="0.25">
      <c r="A1346" t="s">
        <v>1410</v>
      </c>
    </row>
    <row r="1347" spans="1:1" x14ac:dyDescent="0.25">
      <c r="A1347" t="s">
        <v>1411</v>
      </c>
    </row>
    <row r="1348" spans="1:1" x14ac:dyDescent="0.25">
      <c r="A1348" t="s">
        <v>1412</v>
      </c>
    </row>
    <row r="1349" spans="1:1" x14ac:dyDescent="0.25">
      <c r="A1349" t="s">
        <v>1413</v>
      </c>
    </row>
    <row r="1350" spans="1:1" x14ac:dyDescent="0.25">
      <c r="A1350" t="s">
        <v>1414</v>
      </c>
    </row>
    <row r="1351" spans="1:1" x14ac:dyDescent="0.25">
      <c r="A1351" t="s">
        <v>1415</v>
      </c>
    </row>
    <row r="1352" spans="1:1" x14ac:dyDescent="0.25">
      <c r="A1352" t="s">
        <v>1416</v>
      </c>
    </row>
    <row r="1353" spans="1:1" x14ac:dyDescent="0.25">
      <c r="A1353" t="s">
        <v>1417</v>
      </c>
    </row>
    <row r="1354" spans="1:1" x14ac:dyDescent="0.25">
      <c r="A1354" t="s">
        <v>1418</v>
      </c>
    </row>
    <row r="1355" spans="1:1" x14ac:dyDescent="0.25">
      <c r="A1355" t="s">
        <v>1419</v>
      </c>
    </row>
    <row r="1356" spans="1:1" x14ac:dyDescent="0.25">
      <c r="A1356" t="s">
        <v>1420</v>
      </c>
    </row>
    <row r="1357" spans="1:1" x14ac:dyDescent="0.25">
      <c r="A1357" t="s">
        <v>1421</v>
      </c>
    </row>
    <row r="1358" spans="1:1" x14ac:dyDescent="0.25">
      <c r="A1358" t="s">
        <v>1422</v>
      </c>
    </row>
    <row r="1359" spans="1:1" x14ac:dyDescent="0.25">
      <c r="A1359" t="s">
        <v>1423</v>
      </c>
    </row>
    <row r="1360" spans="1:1" x14ac:dyDescent="0.25">
      <c r="A1360" t="s">
        <v>1424</v>
      </c>
    </row>
    <row r="1361" spans="1:1" x14ac:dyDescent="0.25">
      <c r="A1361" t="s">
        <v>1425</v>
      </c>
    </row>
    <row r="1362" spans="1:1" x14ac:dyDescent="0.25">
      <c r="A1362" t="s">
        <v>1426</v>
      </c>
    </row>
    <row r="1363" spans="1:1" x14ac:dyDescent="0.25">
      <c r="A1363" t="s">
        <v>1427</v>
      </c>
    </row>
    <row r="1364" spans="1:1" x14ac:dyDescent="0.25">
      <c r="A1364" t="s">
        <v>1428</v>
      </c>
    </row>
    <row r="1365" spans="1:1" x14ac:dyDescent="0.25">
      <c r="A1365" t="s">
        <v>1429</v>
      </c>
    </row>
    <row r="1366" spans="1:1" x14ac:dyDescent="0.25">
      <c r="A1366" t="s">
        <v>1430</v>
      </c>
    </row>
    <row r="1367" spans="1:1" x14ac:dyDescent="0.25">
      <c r="A1367" t="s">
        <v>1431</v>
      </c>
    </row>
    <row r="1368" spans="1:1" x14ac:dyDescent="0.25">
      <c r="A1368" t="s">
        <v>1432</v>
      </c>
    </row>
    <row r="1369" spans="1:1" x14ac:dyDescent="0.25">
      <c r="A1369" t="s">
        <v>1433</v>
      </c>
    </row>
    <row r="1370" spans="1:1" x14ac:dyDescent="0.25">
      <c r="A1370" t="s">
        <v>1434</v>
      </c>
    </row>
    <row r="1371" spans="1:1" x14ac:dyDescent="0.25">
      <c r="A1371" t="s">
        <v>1435</v>
      </c>
    </row>
    <row r="1372" spans="1:1" x14ac:dyDescent="0.25">
      <c r="A1372" t="s">
        <v>1436</v>
      </c>
    </row>
    <row r="1373" spans="1:1" x14ac:dyDescent="0.25">
      <c r="A1373" t="s">
        <v>1437</v>
      </c>
    </row>
    <row r="1374" spans="1:1" x14ac:dyDescent="0.25">
      <c r="A1374" t="s">
        <v>1438</v>
      </c>
    </row>
    <row r="1375" spans="1:1" x14ac:dyDescent="0.25">
      <c r="A1375" t="s">
        <v>1439</v>
      </c>
    </row>
    <row r="1376" spans="1:1" x14ac:dyDescent="0.25">
      <c r="A1376" t="s">
        <v>1440</v>
      </c>
    </row>
    <row r="1377" spans="1:1" x14ac:dyDescent="0.25">
      <c r="A1377" t="s">
        <v>1441</v>
      </c>
    </row>
    <row r="1378" spans="1:1" x14ac:dyDescent="0.25">
      <c r="A1378" t="s">
        <v>1442</v>
      </c>
    </row>
    <row r="1379" spans="1:1" x14ac:dyDescent="0.25">
      <c r="A1379" t="s">
        <v>1443</v>
      </c>
    </row>
    <row r="1380" spans="1:1" x14ac:dyDescent="0.25">
      <c r="A1380" t="s">
        <v>1444</v>
      </c>
    </row>
    <row r="1381" spans="1:1" x14ac:dyDescent="0.25">
      <c r="A1381" t="s">
        <v>1445</v>
      </c>
    </row>
    <row r="1382" spans="1:1" x14ac:dyDescent="0.25">
      <c r="A1382" t="s">
        <v>1446</v>
      </c>
    </row>
    <row r="1383" spans="1:1" x14ac:dyDescent="0.25">
      <c r="A1383" t="s">
        <v>1447</v>
      </c>
    </row>
    <row r="1384" spans="1:1" x14ac:dyDescent="0.25">
      <c r="A1384" t="s">
        <v>1448</v>
      </c>
    </row>
    <row r="1385" spans="1:1" x14ac:dyDescent="0.25">
      <c r="A1385" t="s">
        <v>1449</v>
      </c>
    </row>
    <row r="1386" spans="1:1" x14ac:dyDescent="0.25">
      <c r="A1386" t="s">
        <v>1450</v>
      </c>
    </row>
    <row r="1387" spans="1:1" x14ac:dyDescent="0.25">
      <c r="A1387" t="s">
        <v>1451</v>
      </c>
    </row>
    <row r="1388" spans="1:1" x14ac:dyDescent="0.25">
      <c r="A1388" t="s">
        <v>1452</v>
      </c>
    </row>
    <row r="1389" spans="1:1" x14ac:dyDescent="0.25">
      <c r="A1389" t="s">
        <v>1453</v>
      </c>
    </row>
    <row r="1390" spans="1:1" x14ac:dyDescent="0.25">
      <c r="A1390" t="s">
        <v>1454</v>
      </c>
    </row>
    <row r="1391" spans="1:1" x14ac:dyDescent="0.25">
      <c r="A1391" t="s">
        <v>1455</v>
      </c>
    </row>
    <row r="1392" spans="1:1" x14ac:dyDescent="0.25">
      <c r="A1392" t="s">
        <v>1456</v>
      </c>
    </row>
    <row r="1393" spans="1:1" x14ac:dyDescent="0.25">
      <c r="A1393" t="s">
        <v>1457</v>
      </c>
    </row>
    <row r="1394" spans="1:1" x14ac:dyDescent="0.25">
      <c r="A1394" t="s">
        <v>1458</v>
      </c>
    </row>
    <row r="1395" spans="1:1" x14ac:dyDescent="0.25">
      <c r="A1395" t="s">
        <v>1459</v>
      </c>
    </row>
    <row r="1396" spans="1:1" x14ac:dyDescent="0.25">
      <c r="A1396" t="s">
        <v>1460</v>
      </c>
    </row>
    <row r="1397" spans="1:1" x14ac:dyDescent="0.25">
      <c r="A1397" t="s">
        <v>1461</v>
      </c>
    </row>
    <row r="1398" spans="1:1" x14ac:dyDescent="0.25">
      <c r="A1398" t="s">
        <v>1462</v>
      </c>
    </row>
    <row r="1399" spans="1:1" x14ac:dyDescent="0.25">
      <c r="A1399" t="s">
        <v>1463</v>
      </c>
    </row>
    <row r="1400" spans="1:1" x14ac:dyDescent="0.25">
      <c r="A1400" t="s">
        <v>1464</v>
      </c>
    </row>
    <row r="1401" spans="1:1" x14ac:dyDescent="0.25">
      <c r="A1401" t="s">
        <v>1465</v>
      </c>
    </row>
    <row r="1402" spans="1:1" x14ac:dyDescent="0.25">
      <c r="A1402" t="s">
        <v>1466</v>
      </c>
    </row>
    <row r="1403" spans="1:1" x14ac:dyDescent="0.25">
      <c r="A1403" t="s">
        <v>1467</v>
      </c>
    </row>
    <row r="1404" spans="1:1" x14ac:dyDescent="0.25">
      <c r="A1404" t="s">
        <v>1468</v>
      </c>
    </row>
    <row r="1405" spans="1:1" x14ac:dyDescent="0.25">
      <c r="A1405" t="s">
        <v>1469</v>
      </c>
    </row>
    <row r="1406" spans="1:1" x14ac:dyDescent="0.25">
      <c r="A1406" t="s">
        <v>1470</v>
      </c>
    </row>
    <row r="1407" spans="1:1" x14ac:dyDescent="0.25">
      <c r="A1407" t="s">
        <v>1471</v>
      </c>
    </row>
    <row r="1408" spans="1:1" x14ac:dyDescent="0.25">
      <c r="A1408" t="s">
        <v>1472</v>
      </c>
    </row>
    <row r="1409" spans="1:1" x14ac:dyDescent="0.25">
      <c r="A1409" t="s">
        <v>1473</v>
      </c>
    </row>
    <row r="1410" spans="1:1" x14ac:dyDescent="0.25">
      <c r="A1410" t="s">
        <v>1474</v>
      </c>
    </row>
    <row r="1411" spans="1:1" x14ac:dyDescent="0.25">
      <c r="A1411" t="s">
        <v>1475</v>
      </c>
    </row>
    <row r="1412" spans="1:1" x14ac:dyDescent="0.25">
      <c r="A1412" t="s">
        <v>1476</v>
      </c>
    </row>
    <row r="1413" spans="1:1" x14ac:dyDescent="0.25">
      <c r="A1413" t="s">
        <v>1477</v>
      </c>
    </row>
    <row r="1414" spans="1:1" x14ac:dyDescent="0.25">
      <c r="A1414" t="s">
        <v>1478</v>
      </c>
    </row>
    <row r="1415" spans="1:1" x14ac:dyDescent="0.25">
      <c r="A1415" t="s">
        <v>1479</v>
      </c>
    </row>
    <row r="1416" spans="1:1" x14ac:dyDescent="0.25">
      <c r="A1416" t="s">
        <v>1480</v>
      </c>
    </row>
    <row r="1417" spans="1:1" x14ac:dyDescent="0.25">
      <c r="A1417" t="s">
        <v>1481</v>
      </c>
    </row>
    <row r="1418" spans="1:1" x14ac:dyDescent="0.25">
      <c r="A1418" t="s">
        <v>1482</v>
      </c>
    </row>
    <row r="1419" spans="1:1" x14ac:dyDescent="0.25">
      <c r="A1419" t="s">
        <v>1483</v>
      </c>
    </row>
    <row r="1420" spans="1:1" x14ac:dyDescent="0.25">
      <c r="A1420" t="s">
        <v>1484</v>
      </c>
    </row>
    <row r="1421" spans="1:1" x14ac:dyDescent="0.25">
      <c r="A1421" t="s">
        <v>1485</v>
      </c>
    </row>
    <row r="1422" spans="1:1" x14ac:dyDescent="0.25">
      <c r="A1422" t="s">
        <v>1486</v>
      </c>
    </row>
    <row r="1423" spans="1:1" x14ac:dyDescent="0.25">
      <c r="A1423" t="s">
        <v>1487</v>
      </c>
    </row>
    <row r="1424" spans="1:1" x14ac:dyDescent="0.25">
      <c r="A1424" t="s">
        <v>1488</v>
      </c>
    </row>
    <row r="1425" spans="1:1" x14ac:dyDescent="0.25">
      <c r="A1425" t="s">
        <v>1489</v>
      </c>
    </row>
    <row r="1426" spans="1:1" x14ac:dyDescent="0.25">
      <c r="A1426" t="s">
        <v>1490</v>
      </c>
    </row>
    <row r="1427" spans="1:1" x14ac:dyDescent="0.25">
      <c r="A1427" t="s">
        <v>1491</v>
      </c>
    </row>
    <row r="1428" spans="1:1" x14ac:dyDescent="0.25">
      <c r="A1428" t="s">
        <v>1492</v>
      </c>
    </row>
    <row r="1429" spans="1:1" x14ac:dyDescent="0.25">
      <c r="A1429" t="s">
        <v>1493</v>
      </c>
    </row>
    <row r="1430" spans="1:1" x14ac:dyDescent="0.25">
      <c r="A1430" t="s">
        <v>1494</v>
      </c>
    </row>
    <row r="1431" spans="1:1" x14ac:dyDescent="0.25">
      <c r="A1431" t="s">
        <v>1495</v>
      </c>
    </row>
    <row r="1432" spans="1:1" x14ac:dyDescent="0.25">
      <c r="A1432" t="s">
        <v>1496</v>
      </c>
    </row>
    <row r="1433" spans="1:1" x14ac:dyDescent="0.25">
      <c r="A1433" t="s">
        <v>1497</v>
      </c>
    </row>
    <row r="1434" spans="1:1" x14ac:dyDescent="0.25">
      <c r="A1434" t="s">
        <v>1498</v>
      </c>
    </row>
    <row r="1435" spans="1:1" x14ac:dyDescent="0.25">
      <c r="A1435" t="s">
        <v>1499</v>
      </c>
    </row>
    <row r="1436" spans="1:1" x14ac:dyDescent="0.25">
      <c r="A1436" t="s">
        <v>1500</v>
      </c>
    </row>
    <row r="1437" spans="1:1" x14ac:dyDescent="0.25">
      <c r="A1437" t="s">
        <v>1501</v>
      </c>
    </row>
    <row r="1438" spans="1:1" x14ac:dyDescent="0.25">
      <c r="A1438" t="s">
        <v>1502</v>
      </c>
    </row>
    <row r="1439" spans="1:1" x14ac:dyDescent="0.25">
      <c r="A1439" t="s">
        <v>1503</v>
      </c>
    </row>
    <row r="1440" spans="1:1" x14ac:dyDescent="0.25">
      <c r="A1440" t="s">
        <v>1504</v>
      </c>
    </row>
    <row r="1441" spans="1:1" x14ac:dyDescent="0.25">
      <c r="A1441" t="s">
        <v>1505</v>
      </c>
    </row>
    <row r="1442" spans="1:1" x14ac:dyDescent="0.25">
      <c r="A1442" t="s">
        <v>1506</v>
      </c>
    </row>
    <row r="1443" spans="1:1" x14ac:dyDescent="0.25">
      <c r="A1443" t="s">
        <v>1507</v>
      </c>
    </row>
    <row r="1444" spans="1:1" x14ac:dyDescent="0.25">
      <c r="A1444" t="s">
        <v>1508</v>
      </c>
    </row>
    <row r="1445" spans="1:1" x14ac:dyDescent="0.25">
      <c r="A1445" t="s">
        <v>1509</v>
      </c>
    </row>
    <row r="1446" spans="1:1" x14ac:dyDescent="0.25">
      <c r="A1446" t="s">
        <v>1510</v>
      </c>
    </row>
    <row r="1447" spans="1:1" x14ac:dyDescent="0.25">
      <c r="A1447" t="s">
        <v>1511</v>
      </c>
    </row>
    <row r="1448" spans="1:1" x14ac:dyDescent="0.25">
      <c r="A1448" t="s">
        <v>1512</v>
      </c>
    </row>
    <row r="1449" spans="1:1" x14ac:dyDescent="0.25">
      <c r="A1449" t="s">
        <v>1513</v>
      </c>
    </row>
    <row r="1450" spans="1:1" x14ac:dyDescent="0.25">
      <c r="A1450" t="s">
        <v>1514</v>
      </c>
    </row>
    <row r="1451" spans="1:1" x14ac:dyDescent="0.25">
      <c r="A1451" t="s">
        <v>1515</v>
      </c>
    </row>
    <row r="1452" spans="1:1" x14ac:dyDescent="0.25">
      <c r="A1452" t="s">
        <v>1516</v>
      </c>
    </row>
    <row r="1453" spans="1:1" x14ac:dyDescent="0.25">
      <c r="A1453" t="s">
        <v>1517</v>
      </c>
    </row>
    <row r="1454" spans="1:1" x14ac:dyDescent="0.25">
      <c r="A1454" t="s">
        <v>1518</v>
      </c>
    </row>
    <row r="1455" spans="1:1" x14ac:dyDescent="0.25">
      <c r="A1455" t="s">
        <v>1519</v>
      </c>
    </row>
    <row r="1456" spans="1:1" x14ac:dyDescent="0.25">
      <c r="A1456" t="s">
        <v>1520</v>
      </c>
    </row>
    <row r="1457" spans="1:1" x14ac:dyDescent="0.25">
      <c r="A1457" t="s">
        <v>1521</v>
      </c>
    </row>
    <row r="1458" spans="1:1" x14ac:dyDescent="0.25">
      <c r="A1458" t="s">
        <v>1522</v>
      </c>
    </row>
    <row r="1459" spans="1:1" x14ac:dyDescent="0.25">
      <c r="A1459" t="s">
        <v>1523</v>
      </c>
    </row>
    <row r="1460" spans="1:1" x14ac:dyDescent="0.25">
      <c r="A1460" t="s">
        <v>1524</v>
      </c>
    </row>
    <row r="1461" spans="1:1" x14ac:dyDescent="0.25">
      <c r="A1461" t="s">
        <v>1525</v>
      </c>
    </row>
    <row r="1462" spans="1:1" x14ac:dyDescent="0.25">
      <c r="A1462" t="s">
        <v>1526</v>
      </c>
    </row>
    <row r="1463" spans="1:1" x14ac:dyDescent="0.25">
      <c r="A1463" t="s">
        <v>1527</v>
      </c>
    </row>
    <row r="1464" spans="1:1" x14ac:dyDescent="0.25">
      <c r="A1464" t="s">
        <v>1528</v>
      </c>
    </row>
    <row r="1465" spans="1:1" x14ac:dyDescent="0.25">
      <c r="A1465" t="s">
        <v>1529</v>
      </c>
    </row>
    <row r="1466" spans="1:1" x14ac:dyDescent="0.25">
      <c r="A1466" t="s">
        <v>1530</v>
      </c>
    </row>
    <row r="1467" spans="1:1" x14ac:dyDescent="0.25">
      <c r="A1467" t="s">
        <v>1531</v>
      </c>
    </row>
    <row r="1468" spans="1:1" x14ac:dyDescent="0.25">
      <c r="A1468" t="s">
        <v>1532</v>
      </c>
    </row>
    <row r="1469" spans="1:1" x14ac:dyDescent="0.25">
      <c r="A1469" t="s">
        <v>1533</v>
      </c>
    </row>
    <row r="1470" spans="1:1" x14ac:dyDescent="0.25">
      <c r="A1470" t="s">
        <v>1534</v>
      </c>
    </row>
    <row r="1471" spans="1:1" x14ac:dyDescent="0.25">
      <c r="A1471" t="s">
        <v>1535</v>
      </c>
    </row>
    <row r="1472" spans="1:1" x14ac:dyDescent="0.25">
      <c r="A1472" t="s">
        <v>1536</v>
      </c>
    </row>
    <row r="1473" spans="1:1" x14ac:dyDescent="0.25">
      <c r="A1473" t="s">
        <v>1537</v>
      </c>
    </row>
    <row r="1474" spans="1:1" x14ac:dyDescent="0.25">
      <c r="A1474" t="s">
        <v>1538</v>
      </c>
    </row>
    <row r="1475" spans="1:1" x14ac:dyDescent="0.25">
      <c r="A1475" t="s">
        <v>1539</v>
      </c>
    </row>
    <row r="1476" spans="1:1" x14ac:dyDescent="0.25">
      <c r="A1476" t="s">
        <v>1540</v>
      </c>
    </row>
    <row r="1477" spans="1:1" x14ac:dyDescent="0.25">
      <c r="A1477" t="s">
        <v>1541</v>
      </c>
    </row>
    <row r="1478" spans="1:1" x14ac:dyDescent="0.25">
      <c r="A1478" t="s">
        <v>1542</v>
      </c>
    </row>
    <row r="1479" spans="1:1" x14ac:dyDescent="0.25">
      <c r="A1479" t="s">
        <v>1543</v>
      </c>
    </row>
    <row r="1480" spans="1:1" x14ac:dyDescent="0.25">
      <c r="A1480" t="s">
        <v>1544</v>
      </c>
    </row>
    <row r="1481" spans="1:1" x14ac:dyDescent="0.25">
      <c r="A1481" t="s">
        <v>1545</v>
      </c>
    </row>
    <row r="1482" spans="1:1" x14ac:dyDescent="0.25">
      <c r="A1482" t="s">
        <v>1546</v>
      </c>
    </row>
    <row r="1483" spans="1:1" x14ac:dyDescent="0.25">
      <c r="A1483" t="s">
        <v>1547</v>
      </c>
    </row>
    <row r="1484" spans="1:1" x14ac:dyDescent="0.25">
      <c r="A1484" t="s">
        <v>1548</v>
      </c>
    </row>
    <row r="1485" spans="1:1" x14ac:dyDescent="0.25">
      <c r="A1485" t="s">
        <v>1549</v>
      </c>
    </row>
    <row r="1486" spans="1:1" x14ac:dyDescent="0.25">
      <c r="A1486" t="s">
        <v>1550</v>
      </c>
    </row>
    <row r="1487" spans="1:1" x14ac:dyDescent="0.25">
      <c r="A1487" t="s">
        <v>1551</v>
      </c>
    </row>
    <row r="1488" spans="1:1" x14ac:dyDescent="0.25">
      <c r="A1488" t="s">
        <v>1552</v>
      </c>
    </row>
    <row r="1489" spans="1:1" x14ac:dyDescent="0.25">
      <c r="A1489" t="s">
        <v>1553</v>
      </c>
    </row>
    <row r="1490" spans="1:1" x14ac:dyDescent="0.25">
      <c r="A1490" t="s">
        <v>1554</v>
      </c>
    </row>
    <row r="1491" spans="1:1" x14ac:dyDescent="0.25">
      <c r="A1491" t="s">
        <v>1555</v>
      </c>
    </row>
    <row r="1492" spans="1:1" x14ac:dyDescent="0.25">
      <c r="A1492" t="s">
        <v>1556</v>
      </c>
    </row>
    <row r="1493" spans="1:1" x14ac:dyDescent="0.25">
      <c r="A1493" t="s">
        <v>1557</v>
      </c>
    </row>
    <row r="1494" spans="1:1" x14ac:dyDescent="0.25">
      <c r="A1494" t="s">
        <v>1558</v>
      </c>
    </row>
    <row r="1495" spans="1:1" x14ac:dyDescent="0.25">
      <c r="A1495" t="s">
        <v>1559</v>
      </c>
    </row>
    <row r="1496" spans="1:1" x14ac:dyDescent="0.25">
      <c r="A1496" t="s">
        <v>1560</v>
      </c>
    </row>
    <row r="1497" spans="1:1" x14ac:dyDescent="0.25">
      <c r="A1497" t="s">
        <v>1561</v>
      </c>
    </row>
    <row r="1498" spans="1:1" x14ac:dyDescent="0.25">
      <c r="A1498" t="s">
        <v>1562</v>
      </c>
    </row>
    <row r="1499" spans="1:1" x14ac:dyDescent="0.25">
      <c r="A1499" t="s">
        <v>1563</v>
      </c>
    </row>
    <row r="1500" spans="1:1" x14ac:dyDescent="0.25">
      <c r="A1500" t="s">
        <v>1564</v>
      </c>
    </row>
    <row r="1501" spans="1:1" x14ac:dyDescent="0.25">
      <c r="A1501" t="s">
        <v>1565</v>
      </c>
    </row>
    <row r="1502" spans="1:1" x14ac:dyDescent="0.25">
      <c r="A1502" t="s">
        <v>1566</v>
      </c>
    </row>
    <row r="1503" spans="1:1" x14ac:dyDescent="0.25">
      <c r="A1503" t="s">
        <v>1567</v>
      </c>
    </row>
    <row r="1504" spans="1:1" x14ac:dyDescent="0.25">
      <c r="A1504" t="s">
        <v>1568</v>
      </c>
    </row>
    <row r="1505" spans="1:1" x14ac:dyDescent="0.25">
      <c r="A1505" t="s">
        <v>1569</v>
      </c>
    </row>
    <row r="1506" spans="1:1" x14ac:dyDescent="0.25">
      <c r="A1506" t="s">
        <v>1570</v>
      </c>
    </row>
    <row r="1507" spans="1:1" x14ac:dyDescent="0.25">
      <c r="A1507" t="s">
        <v>1571</v>
      </c>
    </row>
    <row r="1508" spans="1:1" x14ac:dyDescent="0.25">
      <c r="A1508" t="s">
        <v>1572</v>
      </c>
    </row>
    <row r="1509" spans="1:1" x14ac:dyDescent="0.25">
      <c r="A1509" t="s">
        <v>1573</v>
      </c>
    </row>
    <row r="1510" spans="1:1" x14ac:dyDescent="0.25">
      <c r="A1510" t="s">
        <v>1574</v>
      </c>
    </row>
    <row r="1511" spans="1:1" x14ac:dyDescent="0.25">
      <c r="A1511" t="s">
        <v>1575</v>
      </c>
    </row>
    <row r="1512" spans="1:1" x14ac:dyDescent="0.25">
      <c r="A1512" t="s">
        <v>1576</v>
      </c>
    </row>
    <row r="1513" spans="1:1" x14ac:dyDescent="0.25">
      <c r="A1513" t="s">
        <v>1577</v>
      </c>
    </row>
    <row r="1514" spans="1:1" x14ac:dyDescent="0.25">
      <c r="A1514" t="s">
        <v>1578</v>
      </c>
    </row>
    <row r="1515" spans="1:1" x14ac:dyDescent="0.25">
      <c r="A1515" t="s">
        <v>1579</v>
      </c>
    </row>
    <row r="1516" spans="1:1" x14ac:dyDescent="0.25">
      <c r="A1516" t="s">
        <v>1580</v>
      </c>
    </row>
    <row r="1517" spans="1:1" x14ac:dyDescent="0.25">
      <c r="A1517" t="s">
        <v>1581</v>
      </c>
    </row>
    <row r="1518" spans="1:1" x14ac:dyDescent="0.25">
      <c r="A1518" t="s">
        <v>1582</v>
      </c>
    </row>
    <row r="1519" spans="1:1" x14ac:dyDescent="0.25">
      <c r="A1519" t="s">
        <v>1583</v>
      </c>
    </row>
    <row r="1520" spans="1:1" x14ac:dyDescent="0.25">
      <c r="A1520" t="s">
        <v>1584</v>
      </c>
    </row>
    <row r="1521" spans="1:1" x14ac:dyDescent="0.25">
      <c r="A1521" t="s">
        <v>1585</v>
      </c>
    </row>
    <row r="1522" spans="1:1" x14ac:dyDescent="0.25">
      <c r="A1522" t="s">
        <v>1586</v>
      </c>
    </row>
    <row r="1523" spans="1:1" x14ac:dyDescent="0.25">
      <c r="A1523" t="s">
        <v>1587</v>
      </c>
    </row>
    <row r="1524" spans="1:1" x14ac:dyDescent="0.25">
      <c r="A1524" t="s">
        <v>1588</v>
      </c>
    </row>
    <row r="1525" spans="1:1" x14ac:dyDescent="0.25">
      <c r="A1525" t="s">
        <v>1589</v>
      </c>
    </row>
    <row r="1526" spans="1:1" x14ac:dyDescent="0.25">
      <c r="A1526" t="s">
        <v>1590</v>
      </c>
    </row>
    <row r="1527" spans="1:1" x14ac:dyDescent="0.25">
      <c r="A1527" t="s">
        <v>1591</v>
      </c>
    </row>
    <row r="1528" spans="1:1" x14ac:dyDescent="0.25">
      <c r="A1528" t="s">
        <v>1592</v>
      </c>
    </row>
    <row r="1529" spans="1:1" x14ac:dyDescent="0.25">
      <c r="A1529" t="s">
        <v>1593</v>
      </c>
    </row>
    <row r="1530" spans="1:1" x14ac:dyDescent="0.25">
      <c r="A1530" t="s">
        <v>1594</v>
      </c>
    </row>
    <row r="1531" spans="1:1" x14ac:dyDescent="0.25">
      <c r="A1531" t="s">
        <v>1595</v>
      </c>
    </row>
    <row r="1532" spans="1:1" x14ac:dyDescent="0.25">
      <c r="A1532" t="s">
        <v>1596</v>
      </c>
    </row>
    <row r="1533" spans="1:1" x14ac:dyDescent="0.25">
      <c r="A1533" t="s">
        <v>1597</v>
      </c>
    </row>
    <row r="1534" spans="1:1" x14ac:dyDescent="0.25">
      <c r="A1534" t="s">
        <v>1598</v>
      </c>
    </row>
    <row r="1535" spans="1:1" x14ac:dyDescent="0.25">
      <c r="A1535" t="s">
        <v>1599</v>
      </c>
    </row>
    <row r="1536" spans="1:1" x14ac:dyDescent="0.25">
      <c r="A1536" t="s">
        <v>1600</v>
      </c>
    </row>
    <row r="1537" spans="1:1" x14ac:dyDescent="0.25">
      <c r="A1537" t="s">
        <v>1601</v>
      </c>
    </row>
    <row r="1538" spans="1:1" x14ac:dyDescent="0.25">
      <c r="A1538" t="s">
        <v>1602</v>
      </c>
    </row>
    <row r="1539" spans="1:1" x14ac:dyDescent="0.25">
      <c r="A1539" t="s">
        <v>1603</v>
      </c>
    </row>
    <row r="1540" spans="1:1" x14ac:dyDescent="0.25">
      <c r="A1540" t="s">
        <v>1604</v>
      </c>
    </row>
    <row r="1541" spans="1:1" x14ac:dyDescent="0.25">
      <c r="A1541" t="s">
        <v>1605</v>
      </c>
    </row>
    <row r="1542" spans="1:1" x14ac:dyDescent="0.25">
      <c r="A1542" t="s">
        <v>1606</v>
      </c>
    </row>
    <row r="1543" spans="1:1" x14ac:dyDescent="0.25">
      <c r="A1543" t="s">
        <v>1607</v>
      </c>
    </row>
    <row r="1544" spans="1:1" x14ac:dyDescent="0.25">
      <c r="A1544" t="s">
        <v>1608</v>
      </c>
    </row>
    <row r="1545" spans="1:1" x14ac:dyDescent="0.25">
      <c r="A1545" t="s">
        <v>1609</v>
      </c>
    </row>
    <row r="1546" spans="1:1" x14ac:dyDescent="0.25">
      <c r="A1546" t="s">
        <v>1610</v>
      </c>
    </row>
    <row r="1547" spans="1:1" x14ac:dyDescent="0.25">
      <c r="A1547" t="s">
        <v>1611</v>
      </c>
    </row>
    <row r="1548" spans="1:1" x14ac:dyDescent="0.25">
      <c r="A1548" t="s">
        <v>1612</v>
      </c>
    </row>
    <row r="1549" spans="1:1" x14ac:dyDescent="0.25">
      <c r="A1549" t="s">
        <v>1613</v>
      </c>
    </row>
    <row r="1550" spans="1:1" x14ac:dyDescent="0.25">
      <c r="A1550" t="s">
        <v>1614</v>
      </c>
    </row>
    <row r="1551" spans="1:1" x14ac:dyDescent="0.25">
      <c r="A1551" t="s">
        <v>1615</v>
      </c>
    </row>
    <row r="1552" spans="1:1" x14ac:dyDescent="0.25">
      <c r="A1552" t="s">
        <v>1616</v>
      </c>
    </row>
    <row r="1553" spans="1:1" x14ac:dyDescent="0.25">
      <c r="A1553" t="s">
        <v>1617</v>
      </c>
    </row>
    <row r="1554" spans="1:1" x14ac:dyDescent="0.25">
      <c r="A1554" t="s">
        <v>1618</v>
      </c>
    </row>
    <row r="1555" spans="1:1" x14ac:dyDescent="0.25">
      <c r="A1555" t="s">
        <v>1619</v>
      </c>
    </row>
    <row r="1556" spans="1:1" x14ac:dyDescent="0.25">
      <c r="A1556" t="s">
        <v>1620</v>
      </c>
    </row>
    <row r="1557" spans="1:1" x14ac:dyDescent="0.25">
      <c r="A1557" t="s">
        <v>1621</v>
      </c>
    </row>
    <row r="1558" spans="1:1" x14ac:dyDescent="0.25">
      <c r="A1558" t="s">
        <v>1622</v>
      </c>
    </row>
    <row r="1559" spans="1:1" x14ac:dyDescent="0.25">
      <c r="A1559" t="s">
        <v>1623</v>
      </c>
    </row>
    <row r="1560" spans="1:1" x14ac:dyDescent="0.25">
      <c r="A1560" t="s">
        <v>1624</v>
      </c>
    </row>
    <row r="1561" spans="1:1" x14ac:dyDescent="0.25">
      <c r="A1561" t="s">
        <v>1625</v>
      </c>
    </row>
    <row r="1562" spans="1:1" x14ac:dyDescent="0.25">
      <c r="A1562" t="s">
        <v>1626</v>
      </c>
    </row>
    <row r="1563" spans="1:1" x14ac:dyDescent="0.25">
      <c r="A1563" t="s">
        <v>1627</v>
      </c>
    </row>
    <row r="1564" spans="1:1" x14ac:dyDescent="0.25">
      <c r="A1564" t="s">
        <v>1628</v>
      </c>
    </row>
    <row r="1565" spans="1:1" x14ac:dyDescent="0.25">
      <c r="A1565" t="s">
        <v>1629</v>
      </c>
    </row>
    <row r="1566" spans="1:1" x14ac:dyDescent="0.25">
      <c r="A1566" t="s">
        <v>1630</v>
      </c>
    </row>
    <row r="1567" spans="1:1" x14ac:dyDescent="0.25">
      <c r="A1567" t="s">
        <v>1631</v>
      </c>
    </row>
    <row r="1568" spans="1:1" x14ac:dyDescent="0.25">
      <c r="A1568" t="s">
        <v>1632</v>
      </c>
    </row>
    <row r="1569" spans="1:1" x14ac:dyDescent="0.25">
      <c r="A1569" t="s">
        <v>1633</v>
      </c>
    </row>
    <row r="1570" spans="1:1" x14ac:dyDescent="0.25">
      <c r="A1570" t="s">
        <v>1634</v>
      </c>
    </row>
    <row r="1571" spans="1:1" x14ac:dyDescent="0.25">
      <c r="A1571" t="s">
        <v>1635</v>
      </c>
    </row>
    <row r="1572" spans="1:1" x14ac:dyDescent="0.25">
      <c r="A1572" t="s">
        <v>1636</v>
      </c>
    </row>
    <row r="1573" spans="1:1" x14ac:dyDescent="0.25">
      <c r="A1573" t="s">
        <v>1637</v>
      </c>
    </row>
    <row r="1574" spans="1:1" x14ac:dyDescent="0.25">
      <c r="A1574" t="s">
        <v>1638</v>
      </c>
    </row>
    <row r="1575" spans="1:1" x14ac:dyDescent="0.25">
      <c r="A1575" t="s">
        <v>1639</v>
      </c>
    </row>
    <row r="1576" spans="1:1" x14ac:dyDescent="0.25">
      <c r="A1576" t="s">
        <v>1640</v>
      </c>
    </row>
    <row r="1577" spans="1:1" x14ac:dyDescent="0.25">
      <c r="A1577" t="s">
        <v>1641</v>
      </c>
    </row>
    <row r="1578" spans="1:1" x14ac:dyDescent="0.25">
      <c r="A1578" t="s">
        <v>1642</v>
      </c>
    </row>
    <row r="1579" spans="1:1" x14ac:dyDescent="0.25">
      <c r="A1579" t="s">
        <v>1643</v>
      </c>
    </row>
    <row r="1580" spans="1:1" x14ac:dyDescent="0.25">
      <c r="A1580" t="s">
        <v>1644</v>
      </c>
    </row>
    <row r="1581" spans="1:1" x14ac:dyDescent="0.25">
      <c r="A1581" t="s">
        <v>1645</v>
      </c>
    </row>
    <row r="1582" spans="1:1" x14ac:dyDescent="0.25">
      <c r="A1582" t="s">
        <v>1646</v>
      </c>
    </row>
    <row r="1583" spans="1:1" x14ac:dyDescent="0.25">
      <c r="A1583" t="s">
        <v>1647</v>
      </c>
    </row>
    <row r="1584" spans="1:1" x14ac:dyDescent="0.25">
      <c r="A1584" t="s">
        <v>1648</v>
      </c>
    </row>
    <row r="1585" spans="1:1" x14ac:dyDescent="0.25">
      <c r="A1585" t="s">
        <v>1649</v>
      </c>
    </row>
    <row r="1586" spans="1:1" x14ac:dyDescent="0.25">
      <c r="A1586" t="s">
        <v>1650</v>
      </c>
    </row>
    <row r="1587" spans="1:1" x14ac:dyDescent="0.25">
      <c r="A1587" t="s">
        <v>1651</v>
      </c>
    </row>
    <row r="1588" spans="1:1" x14ac:dyDescent="0.25">
      <c r="A1588" t="s">
        <v>1652</v>
      </c>
    </row>
    <row r="1589" spans="1:1" x14ac:dyDescent="0.25">
      <c r="A1589" t="s">
        <v>1653</v>
      </c>
    </row>
    <row r="1590" spans="1:1" x14ac:dyDescent="0.25">
      <c r="A1590" t="s">
        <v>1654</v>
      </c>
    </row>
    <row r="1591" spans="1:1" x14ac:dyDescent="0.25">
      <c r="A1591" t="s">
        <v>1655</v>
      </c>
    </row>
    <row r="1592" spans="1:1" x14ac:dyDescent="0.25">
      <c r="A1592" t="s">
        <v>1656</v>
      </c>
    </row>
    <row r="1593" spans="1:1" x14ac:dyDescent="0.25">
      <c r="A1593" t="s">
        <v>1657</v>
      </c>
    </row>
    <row r="1594" spans="1:1" x14ac:dyDescent="0.25">
      <c r="A1594" t="s">
        <v>1658</v>
      </c>
    </row>
    <row r="1595" spans="1:1" x14ac:dyDescent="0.25">
      <c r="A1595" t="s">
        <v>1659</v>
      </c>
    </row>
    <row r="1596" spans="1:1" x14ac:dyDescent="0.25">
      <c r="A1596" t="s">
        <v>1660</v>
      </c>
    </row>
    <row r="1597" spans="1:1" x14ac:dyDescent="0.25">
      <c r="A1597" t="s">
        <v>1661</v>
      </c>
    </row>
    <row r="1598" spans="1:1" x14ac:dyDescent="0.25">
      <c r="A1598" t="s">
        <v>1662</v>
      </c>
    </row>
    <row r="1599" spans="1:1" x14ac:dyDescent="0.25">
      <c r="A1599" t="s">
        <v>1663</v>
      </c>
    </row>
    <row r="1600" spans="1:1" x14ac:dyDescent="0.25">
      <c r="A1600" t="s">
        <v>1664</v>
      </c>
    </row>
    <row r="1601" spans="1:1" x14ac:dyDescent="0.25">
      <c r="A1601" t="s">
        <v>1665</v>
      </c>
    </row>
    <row r="1602" spans="1:1" x14ac:dyDescent="0.25">
      <c r="A1602" t="s">
        <v>1666</v>
      </c>
    </row>
    <row r="1603" spans="1:1" x14ac:dyDescent="0.25">
      <c r="A1603" t="s">
        <v>1667</v>
      </c>
    </row>
    <row r="1604" spans="1:1" x14ac:dyDescent="0.25">
      <c r="A1604" t="s">
        <v>1668</v>
      </c>
    </row>
    <row r="1605" spans="1:1" x14ac:dyDescent="0.25">
      <c r="A1605" t="s">
        <v>1669</v>
      </c>
    </row>
    <row r="1606" spans="1:1" x14ac:dyDescent="0.25">
      <c r="A1606" t="s">
        <v>1670</v>
      </c>
    </row>
    <row r="1607" spans="1:1" x14ac:dyDescent="0.25">
      <c r="A1607" t="s">
        <v>1671</v>
      </c>
    </row>
    <row r="1608" spans="1:1" x14ac:dyDescent="0.25">
      <c r="A1608" t="s">
        <v>1672</v>
      </c>
    </row>
    <row r="1609" spans="1:1" x14ac:dyDescent="0.25">
      <c r="A1609" t="s">
        <v>1673</v>
      </c>
    </row>
    <row r="1610" spans="1:1" x14ac:dyDescent="0.25">
      <c r="A1610" t="s">
        <v>1674</v>
      </c>
    </row>
    <row r="1611" spans="1:1" x14ac:dyDescent="0.25">
      <c r="A1611" t="s">
        <v>1675</v>
      </c>
    </row>
    <row r="1612" spans="1:1" x14ac:dyDescent="0.25">
      <c r="A1612" t="s">
        <v>1676</v>
      </c>
    </row>
    <row r="1613" spans="1:1" x14ac:dyDescent="0.25">
      <c r="A1613" t="s">
        <v>1677</v>
      </c>
    </row>
    <row r="1614" spans="1:1" x14ac:dyDescent="0.25">
      <c r="A1614" t="s">
        <v>1678</v>
      </c>
    </row>
    <row r="1615" spans="1:1" x14ac:dyDescent="0.25">
      <c r="A1615" t="s">
        <v>1679</v>
      </c>
    </row>
    <row r="1616" spans="1:1" x14ac:dyDescent="0.25">
      <c r="A1616" t="s">
        <v>1680</v>
      </c>
    </row>
    <row r="1617" spans="1:1" x14ac:dyDescent="0.25">
      <c r="A1617" t="s">
        <v>1681</v>
      </c>
    </row>
    <row r="1618" spans="1:1" x14ac:dyDescent="0.25">
      <c r="A1618" t="s">
        <v>1682</v>
      </c>
    </row>
    <row r="1619" spans="1:1" x14ac:dyDescent="0.25">
      <c r="A1619" t="s">
        <v>1683</v>
      </c>
    </row>
    <row r="1620" spans="1:1" x14ac:dyDescent="0.25">
      <c r="A1620" t="s">
        <v>1684</v>
      </c>
    </row>
    <row r="1621" spans="1:1" x14ac:dyDescent="0.25">
      <c r="A1621" t="s">
        <v>1685</v>
      </c>
    </row>
    <row r="1622" spans="1:1" x14ac:dyDescent="0.25">
      <c r="A1622" t="s">
        <v>1686</v>
      </c>
    </row>
    <row r="1623" spans="1:1" x14ac:dyDescent="0.25">
      <c r="A1623" t="s">
        <v>1687</v>
      </c>
    </row>
    <row r="1624" spans="1:1" x14ac:dyDescent="0.25">
      <c r="A1624" t="s">
        <v>1688</v>
      </c>
    </row>
    <row r="1625" spans="1:1" x14ac:dyDescent="0.25">
      <c r="A1625" t="s">
        <v>1689</v>
      </c>
    </row>
    <row r="1626" spans="1:1" x14ac:dyDescent="0.25">
      <c r="A1626" t="s">
        <v>1690</v>
      </c>
    </row>
    <row r="1627" spans="1:1" x14ac:dyDescent="0.25">
      <c r="A1627" t="s">
        <v>1691</v>
      </c>
    </row>
    <row r="1628" spans="1:1" x14ac:dyDescent="0.25">
      <c r="A1628" t="s">
        <v>1692</v>
      </c>
    </row>
    <row r="1629" spans="1:1" x14ac:dyDescent="0.25">
      <c r="A1629" t="s">
        <v>1693</v>
      </c>
    </row>
    <row r="1630" spans="1:1" x14ac:dyDescent="0.25">
      <c r="A1630" t="s">
        <v>1694</v>
      </c>
    </row>
    <row r="1631" spans="1:1" x14ac:dyDescent="0.25">
      <c r="A1631" t="s">
        <v>1695</v>
      </c>
    </row>
    <row r="1632" spans="1:1" x14ac:dyDescent="0.25">
      <c r="A1632" t="s">
        <v>1696</v>
      </c>
    </row>
    <row r="1633" spans="1:1" x14ac:dyDescent="0.25">
      <c r="A1633" t="s">
        <v>1697</v>
      </c>
    </row>
    <row r="1634" spans="1:1" x14ac:dyDescent="0.25">
      <c r="A1634" t="s">
        <v>1698</v>
      </c>
    </row>
    <row r="1635" spans="1:1" x14ac:dyDescent="0.25">
      <c r="A1635" t="s">
        <v>1699</v>
      </c>
    </row>
    <row r="1636" spans="1:1" x14ac:dyDescent="0.25">
      <c r="A1636" t="s">
        <v>1700</v>
      </c>
    </row>
    <row r="1637" spans="1:1" x14ac:dyDescent="0.25">
      <c r="A1637" t="s">
        <v>1701</v>
      </c>
    </row>
    <row r="1638" spans="1:1" x14ac:dyDescent="0.25">
      <c r="A1638" t="s">
        <v>1702</v>
      </c>
    </row>
    <row r="1639" spans="1:1" x14ac:dyDescent="0.25">
      <c r="A1639" t="s">
        <v>1703</v>
      </c>
    </row>
    <row r="1640" spans="1:1" x14ac:dyDescent="0.25">
      <c r="A1640" t="s">
        <v>1704</v>
      </c>
    </row>
    <row r="1641" spans="1:1" x14ac:dyDescent="0.25">
      <c r="A1641" t="s">
        <v>1705</v>
      </c>
    </row>
    <row r="1642" spans="1:1" x14ac:dyDescent="0.25">
      <c r="A1642" t="s">
        <v>1706</v>
      </c>
    </row>
    <row r="1643" spans="1:1" x14ac:dyDescent="0.25">
      <c r="A1643" t="s">
        <v>1707</v>
      </c>
    </row>
    <row r="1644" spans="1:1" x14ac:dyDescent="0.25">
      <c r="A1644" t="s">
        <v>1708</v>
      </c>
    </row>
    <row r="1645" spans="1:1" x14ac:dyDescent="0.25">
      <c r="A1645" t="s">
        <v>1709</v>
      </c>
    </row>
    <row r="1646" spans="1:1" x14ac:dyDescent="0.25">
      <c r="A1646" t="s">
        <v>1710</v>
      </c>
    </row>
    <row r="1647" spans="1:1" x14ac:dyDescent="0.25">
      <c r="A1647" t="s">
        <v>1711</v>
      </c>
    </row>
    <row r="1648" spans="1:1" x14ac:dyDescent="0.25">
      <c r="A1648" t="s">
        <v>1712</v>
      </c>
    </row>
    <row r="1649" spans="1:1" x14ac:dyDescent="0.25">
      <c r="A1649" t="s">
        <v>1713</v>
      </c>
    </row>
    <row r="1650" spans="1:1" x14ac:dyDescent="0.25">
      <c r="A1650" t="s">
        <v>1714</v>
      </c>
    </row>
    <row r="1651" spans="1:1" x14ac:dyDescent="0.25">
      <c r="A1651" t="s">
        <v>1715</v>
      </c>
    </row>
    <row r="1652" spans="1:1" x14ac:dyDescent="0.25">
      <c r="A1652" t="s">
        <v>1716</v>
      </c>
    </row>
    <row r="1653" spans="1:1" x14ac:dyDescent="0.25">
      <c r="A1653" t="s">
        <v>1717</v>
      </c>
    </row>
    <row r="1654" spans="1:1" x14ac:dyDescent="0.25">
      <c r="A1654" t="s">
        <v>1718</v>
      </c>
    </row>
    <row r="1655" spans="1:1" x14ac:dyDescent="0.25">
      <c r="A1655" t="s">
        <v>1719</v>
      </c>
    </row>
    <row r="1656" spans="1:1" x14ac:dyDescent="0.25">
      <c r="A1656" t="s">
        <v>1720</v>
      </c>
    </row>
    <row r="1657" spans="1:1" x14ac:dyDescent="0.25">
      <c r="A1657" t="s">
        <v>1721</v>
      </c>
    </row>
    <row r="1658" spans="1:1" x14ac:dyDescent="0.25">
      <c r="A1658" t="s">
        <v>1722</v>
      </c>
    </row>
    <row r="1659" spans="1:1" x14ac:dyDescent="0.25">
      <c r="A1659" t="s">
        <v>1723</v>
      </c>
    </row>
    <row r="1660" spans="1:1" x14ac:dyDescent="0.25">
      <c r="A1660" t="s">
        <v>1724</v>
      </c>
    </row>
    <row r="1661" spans="1:1" x14ac:dyDescent="0.25">
      <c r="A1661" t="s">
        <v>1725</v>
      </c>
    </row>
    <row r="1662" spans="1:1" x14ac:dyDescent="0.25">
      <c r="A1662" t="s">
        <v>1726</v>
      </c>
    </row>
    <row r="1663" spans="1:1" x14ac:dyDescent="0.25">
      <c r="A1663" t="s">
        <v>1727</v>
      </c>
    </row>
    <row r="1664" spans="1:1" x14ac:dyDescent="0.25">
      <c r="A1664" t="s">
        <v>1728</v>
      </c>
    </row>
    <row r="1665" spans="1:1" x14ac:dyDescent="0.25">
      <c r="A1665" t="s">
        <v>1729</v>
      </c>
    </row>
    <row r="1666" spans="1:1" x14ac:dyDescent="0.25">
      <c r="A1666" t="s">
        <v>1730</v>
      </c>
    </row>
    <row r="1667" spans="1:1" x14ac:dyDescent="0.25">
      <c r="A1667" t="s">
        <v>1731</v>
      </c>
    </row>
    <row r="1668" spans="1:1" x14ac:dyDescent="0.25">
      <c r="A1668" t="s">
        <v>1732</v>
      </c>
    </row>
    <row r="1669" spans="1:1" x14ac:dyDescent="0.25">
      <c r="A1669" t="s">
        <v>1733</v>
      </c>
    </row>
    <row r="1670" spans="1:1" x14ac:dyDescent="0.25">
      <c r="A1670" t="s">
        <v>1734</v>
      </c>
    </row>
    <row r="1671" spans="1:1" x14ac:dyDescent="0.25">
      <c r="A1671" t="s">
        <v>1735</v>
      </c>
    </row>
    <row r="1672" spans="1:1" x14ac:dyDescent="0.25">
      <c r="A1672" t="s">
        <v>1736</v>
      </c>
    </row>
    <row r="1673" spans="1:1" x14ac:dyDescent="0.25">
      <c r="A1673" t="s">
        <v>1737</v>
      </c>
    </row>
    <row r="1674" spans="1:1" x14ac:dyDescent="0.25">
      <c r="A1674" t="s">
        <v>1738</v>
      </c>
    </row>
    <row r="1675" spans="1:1" x14ac:dyDescent="0.25">
      <c r="A1675" t="s">
        <v>1739</v>
      </c>
    </row>
    <row r="1676" spans="1:1" x14ac:dyDescent="0.25">
      <c r="A1676" t="s">
        <v>1740</v>
      </c>
    </row>
    <row r="1677" spans="1:1" x14ac:dyDescent="0.25">
      <c r="A1677" t="s">
        <v>1741</v>
      </c>
    </row>
    <row r="1678" spans="1:1" x14ac:dyDescent="0.25">
      <c r="A1678" t="s">
        <v>1742</v>
      </c>
    </row>
    <row r="1679" spans="1:1" x14ac:dyDescent="0.25">
      <c r="A1679" t="s">
        <v>1743</v>
      </c>
    </row>
    <row r="1680" spans="1:1" x14ac:dyDescent="0.25">
      <c r="A1680" t="s">
        <v>1744</v>
      </c>
    </row>
    <row r="1681" spans="1:1" x14ac:dyDescent="0.25">
      <c r="A1681" t="s">
        <v>1745</v>
      </c>
    </row>
    <row r="1682" spans="1:1" x14ac:dyDescent="0.25">
      <c r="A1682" t="s">
        <v>1746</v>
      </c>
    </row>
    <row r="1683" spans="1:1" x14ac:dyDescent="0.25">
      <c r="A1683" t="s">
        <v>1747</v>
      </c>
    </row>
    <row r="1684" spans="1:1" x14ac:dyDescent="0.25">
      <c r="A1684" t="s">
        <v>1748</v>
      </c>
    </row>
    <row r="1685" spans="1:1" x14ac:dyDescent="0.25">
      <c r="A1685" t="s">
        <v>1749</v>
      </c>
    </row>
    <row r="1686" spans="1:1" x14ac:dyDescent="0.25">
      <c r="A1686" t="s">
        <v>1750</v>
      </c>
    </row>
    <row r="1687" spans="1:1" x14ac:dyDescent="0.25">
      <c r="A1687" t="s">
        <v>1751</v>
      </c>
    </row>
    <row r="1688" spans="1:1" x14ac:dyDescent="0.25">
      <c r="A1688" t="s">
        <v>1752</v>
      </c>
    </row>
    <row r="1689" spans="1:1" x14ac:dyDescent="0.25">
      <c r="A1689" t="s">
        <v>1753</v>
      </c>
    </row>
    <row r="1690" spans="1:1" x14ac:dyDescent="0.25">
      <c r="A1690" t="s">
        <v>1754</v>
      </c>
    </row>
    <row r="1691" spans="1:1" x14ac:dyDescent="0.25">
      <c r="A1691" t="s">
        <v>1755</v>
      </c>
    </row>
    <row r="1692" spans="1:1" x14ac:dyDescent="0.25">
      <c r="A1692" t="s">
        <v>1756</v>
      </c>
    </row>
    <row r="1693" spans="1:1" x14ac:dyDescent="0.25">
      <c r="A1693" t="s">
        <v>1757</v>
      </c>
    </row>
    <row r="1694" spans="1:1" x14ac:dyDescent="0.25">
      <c r="A1694" t="s">
        <v>1758</v>
      </c>
    </row>
    <row r="1695" spans="1:1" x14ac:dyDescent="0.25">
      <c r="A1695" t="s">
        <v>1759</v>
      </c>
    </row>
    <row r="1696" spans="1:1" x14ac:dyDescent="0.25">
      <c r="A1696" t="s">
        <v>1760</v>
      </c>
    </row>
    <row r="1697" spans="1:1" x14ac:dyDescent="0.25">
      <c r="A1697" t="s">
        <v>1761</v>
      </c>
    </row>
    <row r="1698" spans="1:1" x14ac:dyDescent="0.25">
      <c r="A1698" t="s">
        <v>1762</v>
      </c>
    </row>
    <row r="1699" spans="1:1" x14ac:dyDescent="0.25">
      <c r="A1699" t="s">
        <v>1763</v>
      </c>
    </row>
    <row r="1700" spans="1:1" x14ac:dyDescent="0.25">
      <c r="A1700" t="s">
        <v>1764</v>
      </c>
    </row>
    <row r="1701" spans="1:1" x14ac:dyDescent="0.25">
      <c r="A1701" t="s">
        <v>1765</v>
      </c>
    </row>
    <row r="1702" spans="1:1" x14ac:dyDescent="0.25">
      <c r="A1702" t="s">
        <v>1766</v>
      </c>
    </row>
    <row r="1703" spans="1:1" x14ac:dyDescent="0.25">
      <c r="A1703" t="s">
        <v>1767</v>
      </c>
    </row>
    <row r="1704" spans="1:1" x14ac:dyDescent="0.25">
      <c r="A1704" t="s">
        <v>1768</v>
      </c>
    </row>
    <row r="1705" spans="1:1" x14ac:dyDescent="0.25">
      <c r="A1705" t="s">
        <v>1769</v>
      </c>
    </row>
    <row r="1706" spans="1:1" x14ac:dyDescent="0.25">
      <c r="A1706" t="s">
        <v>1770</v>
      </c>
    </row>
    <row r="1707" spans="1:1" x14ac:dyDescent="0.25">
      <c r="A1707" t="s">
        <v>1771</v>
      </c>
    </row>
    <row r="1708" spans="1:1" x14ac:dyDescent="0.25">
      <c r="A1708" t="s">
        <v>1772</v>
      </c>
    </row>
    <row r="1709" spans="1:1" x14ac:dyDescent="0.25">
      <c r="A1709" t="s">
        <v>1773</v>
      </c>
    </row>
    <row r="1710" spans="1:1" x14ac:dyDescent="0.25">
      <c r="A1710" t="s">
        <v>1774</v>
      </c>
    </row>
    <row r="1711" spans="1:1" x14ac:dyDescent="0.25">
      <c r="A1711" t="s">
        <v>1775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8BBC3-CEAF-41EC-84FA-6EEB262F9DDB}">
  <sheetPr codeName="Sheet22"/>
  <dimension ref="A2:A1711"/>
  <sheetViews>
    <sheetView workbookViewId="0"/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92</v>
      </c>
    </row>
    <row r="29" spans="1:1" x14ac:dyDescent="0.25">
      <c r="A29" t="s">
        <v>93</v>
      </c>
    </row>
    <row r="30" spans="1:1" x14ac:dyDescent="0.25">
      <c r="A30" t="s">
        <v>94</v>
      </c>
    </row>
    <row r="31" spans="1:1" x14ac:dyDescent="0.25">
      <c r="A31" t="s">
        <v>95</v>
      </c>
    </row>
    <row r="32" spans="1:1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234</v>
      </c>
    </row>
    <row r="171" spans="1:1" x14ac:dyDescent="0.25">
      <c r="A171" t="s">
        <v>235</v>
      </c>
    </row>
    <row r="172" spans="1:1" x14ac:dyDescent="0.25">
      <c r="A172" t="s">
        <v>236</v>
      </c>
    </row>
    <row r="173" spans="1:1" x14ac:dyDescent="0.25">
      <c r="A173" t="s">
        <v>237</v>
      </c>
    </row>
    <row r="174" spans="1:1" x14ac:dyDescent="0.25">
      <c r="A174" t="s">
        <v>238</v>
      </c>
    </row>
    <row r="175" spans="1:1" x14ac:dyDescent="0.25">
      <c r="A175" t="s">
        <v>239</v>
      </c>
    </row>
    <row r="176" spans="1:1" x14ac:dyDescent="0.25">
      <c r="A176" t="s">
        <v>240</v>
      </c>
    </row>
    <row r="177" spans="1:1" x14ac:dyDescent="0.25">
      <c r="A177" t="s">
        <v>241</v>
      </c>
    </row>
    <row r="178" spans="1:1" x14ac:dyDescent="0.25">
      <c r="A178" t="s">
        <v>242</v>
      </c>
    </row>
    <row r="179" spans="1:1" x14ac:dyDescent="0.25">
      <c r="A179" t="s">
        <v>243</v>
      </c>
    </row>
    <row r="180" spans="1:1" x14ac:dyDescent="0.25">
      <c r="A180" t="s">
        <v>244</v>
      </c>
    </row>
    <row r="181" spans="1:1" x14ac:dyDescent="0.25">
      <c r="A181" t="s">
        <v>245</v>
      </c>
    </row>
    <row r="182" spans="1:1" x14ac:dyDescent="0.25">
      <c r="A182" t="s">
        <v>246</v>
      </c>
    </row>
    <row r="183" spans="1:1" x14ac:dyDescent="0.25">
      <c r="A183" t="s">
        <v>247</v>
      </c>
    </row>
    <row r="184" spans="1:1" x14ac:dyDescent="0.25">
      <c r="A184" t="s">
        <v>248</v>
      </c>
    </row>
    <row r="185" spans="1:1" x14ac:dyDescent="0.25">
      <c r="A185" t="s">
        <v>249</v>
      </c>
    </row>
    <row r="186" spans="1:1" x14ac:dyDescent="0.25">
      <c r="A186" t="s">
        <v>250</v>
      </c>
    </row>
    <row r="187" spans="1:1" x14ac:dyDescent="0.25">
      <c r="A187" t="s">
        <v>251</v>
      </c>
    </row>
    <row r="188" spans="1:1" x14ac:dyDescent="0.25">
      <c r="A188" t="s">
        <v>252</v>
      </c>
    </row>
    <row r="189" spans="1:1" x14ac:dyDescent="0.25">
      <c r="A189" t="s">
        <v>253</v>
      </c>
    </row>
    <row r="190" spans="1:1" x14ac:dyDescent="0.25">
      <c r="A190" t="s">
        <v>254</v>
      </c>
    </row>
    <row r="191" spans="1:1" x14ac:dyDescent="0.25">
      <c r="A191" t="s">
        <v>255</v>
      </c>
    </row>
    <row r="192" spans="1:1" x14ac:dyDescent="0.25">
      <c r="A192" t="s">
        <v>256</v>
      </c>
    </row>
    <row r="193" spans="1:1" x14ac:dyDescent="0.25">
      <c r="A193" t="s">
        <v>257</v>
      </c>
    </row>
    <row r="194" spans="1:1" x14ac:dyDescent="0.25">
      <c r="A194" t="s">
        <v>258</v>
      </c>
    </row>
    <row r="195" spans="1:1" x14ac:dyDescent="0.25">
      <c r="A195" t="s">
        <v>259</v>
      </c>
    </row>
    <row r="196" spans="1:1" x14ac:dyDescent="0.25">
      <c r="A196" t="s">
        <v>260</v>
      </c>
    </row>
    <row r="197" spans="1:1" x14ac:dyDescent="0.25">
      <c r="A197" t="s">
        <v>261</v>
      </c>
    </row>
    <row r="198" spans="1:1" x14ac:dyDescent="0.25">
      <c r="A198" t="s">
        <v>262</v>
      </c>
    </row>
    <row r="199" spans="1:1" x14ac:dyDescent="0.25">
      <c r="A199" t="s">
        <v>263</v>
      </c>
    </row>
    <row r="200" spans="1:1" x14ac:dyDescent="0.25">
      <c r="A200" t="s">
        <v>264</v>
      </c>
    </row>
    <row r="201" spans="1:1" x14ac:dyDescent="0.25">
      <c r="A201" t="s">
        <v>265</v>
      </c>
    </row>
    <row r="202" spans="1:1" x14ac:dyDescent="0.25">
      <c r="A202" t="s">
        <v>266</v>
      </c>
    </row>
    <row r="203" spans="1:1" x14ac:dyDescent="0.25">
      <c r="A203" t="s">
        <v>267</v>
      </c>
    </row>
    <row r="204" spans="1:1" x14ac:dyDescent="0.25">
      <c r="A204" t="s">
        <v>268</v>
      </c>
    </row>
    <row r="205" spans="1:1" x14ac:dyDescent="0.25">
      <c r="A205" t="s">
        <v>269</v>
      </c>
    </row>
    <row r="206" spans="1:1" x14ac:dyDescent="0.25">
      <c r="A206" t="s">
        <v>270</v>
      </c>
    </row>
    <row r="207" spans="1:1" x14ac:dyDescent="0.25">
      <c r="A207" t="s">
        <v>271</v>
      </c>
    </row>
    <row r="208" spans="1:1" x14ac:dyDescent="0.25">
      <c r="A208" t="s">
        <v>272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277</v>
      </c>
    </row>
    <row r="214" spans="1:1" x14ac:dyDescent="0.25">
      <c r="A214" t="s">
        <v>278</v>
      </c>
    </row>
    <row r="215" spans="1:1" x14ac:dyDescent="0.25">
      <c r="A215" t="s">
        <v>279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282</v>
      </c>
    </row>
    <row r="219" spans="1:1" x14ac:dyDescent="0.25">
      <c r="A219" t="s">
        <v>283</v>
      </c>
    </row>
    <row r="220" spans="1:1" x14ac:dyDescent="0.25">
      <c r="A220" t="s">
        <v>284</v>
      </c>
    </row>
    <row r="221" spans="1:1" x14ac:dyDescent="0.25">
      <c r="A221" t="s">
        <v>285</v>
      </c>
    </row>
    <row r="222" spans="1:1" x14ac:dyDescent="0.25">
      <c r="A222" t="s">
        <v>286</v>
      </c>
    </row>
    <row r="223" spans="1:1" x14ac:dyDescent="0.25">
      <c r="A223" t="s">
        <v>287</v>
      </c>
    </row>
    <row r="224" spans="1:1" x14ac:dyDescent="0.25">
      <c r="A224" t="s">
        <v>288</v>
      </c>
    </row>
    <row r="225" spans="1:1" x14ac:dyDescent="0.25">
      <c r="A225" t="s">
        <v>289</v>
      </c>
    </row>
    <row r="226" spans="1:1" x14ac:dyDescent="0.25">
      <c r="A226" t="s">
        <v>290</v>
      </c>
    </row>
    <row r="227" spans="1:1" x14ac:dyDescent="0.25">
      <c r="A227" t="s">
        <v>291</v>
      </c>
    </row>
    <row r="228" spans="1:1" x14ac:dyDescent="0.25">
      <c r="A228" t="s">
        <v>292</v>
      </c>
    </row>
    <row r="229" spans="1:1" x14ac:dyDescent="0.25">
      <c r="A229" t="s">
        <v>293</v>
      </c>
    </row>
    <row r="230" spans="1:1" x14ac:dyDescent="0.25">
      <c r="A230" t="s">
        <v>294</v>
      </c>
    </row>
    <row r="231" spans="1:1" x14ac:dyDescent="0.25">
      <c r="A231" t="s">
        <v>295</v>
      </c>
    </row>
    <row r="232" spans="1:1" x14ac:dyDescent="0.25">
      <c r="A232" t="s">
        <v>296</v>
      </c>
    </row>
    <row r="233" spans="1:1" x14ac:dyDescent="0.25">
      <c r="A233" t="s">
        <v>297</v>
      </c>
    </row>
    <row r="234" spans="1:1" x14ac:dyDescent="0.25">
      <c r="A234" t="s">
        <v>298</v>
      </c>
    </row>
    <row r="235" spans="1:1" x14ac:dyDescent="0.25">
      <c r="A235" t="s">
        <v>299</v>
      </c>
    </row>
    <row r="236" spans="1:1" x14ac:dyDescent="0.25">
      <c r="A236" t="s">
        <v>300</v>
      </c>
    </row>
    <row r="237" spans="1:1" x14ac:dyDescent="0.25">
      <c r="A237" t="s">
        <v>301</v>
      </c>
    </row>
    <row r="238" spans="1:1" x14ac:dyDescent="0.25">
      <c r="A238" t="s">
        <v>302</v>
      </c>
    </row>
    <row r="239" spans="1:1" x14ac:dyDescent="0.25">
      <c r="A239" t="s">
        <v>303</v>
      </c>
    </row>
    <row r="240" spans="1:1" x14ac:dyDescent="0.25">
      <c r="A240" t="s">
        <v>304</v>
      </c>
    </row>
    <row r="241" spans="1:1" x14ac:dyDescent="0.25">
      <c r="A241" t="s">
        <v>305</v>
      </c>
    </row>
    <row r="242" spans="1:1" x14ac:dyDescent="0.25">
      <c r="A242" t="s">
        <v>306</v>
      </c>
    </row>
    <row r="243" spans="1:1" x14ac:dyDescent="0.25">
      <c r="A243" t="s">
        <v>307</v>
      </c>
    </row>
    <row r="244" spans="1:1" x14ac:dyDescent="0.25">
      <c r="A244" t="s">
        <v>308</v>
      </c>
    </row>
    <row r="245" spans="1:1" x14ac:dyDescent="0.25">
      <c r="A245" t="s">
        <v>309</v>
      </c>
    </row>
    <row r="246" spans="1:1" x14ac:dyDescent="0.25">
      <c r="A246" t="s">
        <v>310</v>
      </c>
    </row>
    <row r="247" spans="1:1" x14ac:dyDescent="0.25">
      <c r="A247" t="s">
        <v>311</v>
      </c>
    </row>
    <row r="248" spans="1:1" x14ac:dyDescent="0.25">
      <c r="A248" t="s">
        <v>312</v>
      </c>
    </row>
    <row r="249" spans="1:1" x14ac:dyDescent="0.25">
      <c r="A249" t="s">
        <v>313</v>
      </c>
    </row>
    <row r="250" spans="1:1" x14ac:dyDescent="0.25">
      <c r="A250" t="s">
        <v>314</v>
      </c>
    </row>
    <row r="251" spans="1:1" x14ac:dyDescent="0.25">
      <c r="A251" t="s">
        <v>315</v>
      </c>
    </row>
    <row r="252" spans="1:1" x14ac:dyDescent="0.25">
      <c r="A252" t="s">
        <v>316</v>
      </c>
    </row>
    <row r="253" spans="1:1" x14ac:dyDescent="0.25">
      <c r="A253" t="s">
        <v>317</v>
      </c>
    </row>
    <row r="254" spans="1:1" x14ac:dyDescent="0.25">
      <c r="A254" t="s">
        <v>318</v>
      </c>
    </row>
    <row r="255" spans="1:1" x14ac:dyDescent="0.25">
      <c r="A255" t="s">
        <v>319</v>
      </c>
    </row>
    <row r="256" spans="1:1" x14ac:dyDescent="0.25">
      <c r="A256" t="s">
        <v>320</v>
      </c>
    </row>
    <row r="257" spans="1:1" x14ac:dyDescent="0.25">
      <c r="A257" t="s">
        <v>321</v>
      </c>
    </row>
    <row r="258" spans="1:1" x14ac:dyDescent="0.25">
      <c r="A258" t="s">
        <v>322</v>
      </c>
    </row>
    <row r="259" spans="1:1" x14ac:dyDescent="0.25">
      <c r="A259" t="s">
        <v>323</v>
      </c>
    </row>
    <row r="260" spans="1:1" x14ac:dyDescent="0.25">
      <c r="A260" t="s">
        <v>324</v>
      </c>
    </row>
    <row r="261" spans="1:1" x14ac:dyDescent="0.25">
      <c r="A261" t="s">
        <v>325</v>
      </c>
    </row>
    <row r="262" spans="1:1" x14ac:dyDescent="0.25">
      <c r="A262" t="s">
        <v>326</v>
      </c>
    </row>
    <row r="263" spans="1:1" x14ac:dyDescent="0.25">
      <c r="A263" t="s">
        <v>327</v>
      </c>
    </row>
    <row r="264" spans="1:1" x14ac:dyDescent="0.25">
      <c r="A264" t="s">
        <v>328</v>
      </c>
    </row>
    <row r="265" spans="1:1" x14ac:dyDescent="0.25">
      <c r="A265" t="s">
        <v>329</v>
      </c>
    </row>
    <row r="266" spans="1:1" x14ac:dyDescent="0.25">
      <c r="A266" t="s">
        <v>330</v>
      </c>
    </row>
    <row r="267" spans="1:1" x14ac:dyDescent="0.25">
      <c r="A267" t="s">
        <v>331</v>
      </c>
    </row>
    <row r="268" spans="1:1" x14ac:dyDescent="0.25">
      <c r="A268" t="s">
        <v>332</v>
      </c>
    </row>
    <row r="269" spans="1:1" x14ac:dyDescent="0.25">
      <c r="A269" t="s">
        <v>333</v>
      </c>
    </row>
    <row r="270" spans="1:1" x14ac:dyDescent="0.25">
      <c r="A270" t="s">
        <v>334</v>
      </c>
    </row>
    <row r="271" spans="1:1" x14ac:dyDescent="0.25">
      <c r="A271" t="s">
        <v>335</v>
      </c>
    </row>
    <row r="272" spans="1:1" x14ac:dyDescent="0.25">
      <c r="A272" t="s">
        <v>336</v>
      </c>
    </row>
    <row r="273" spans="1:1" x14ac:dyDescent="0.25">
      <c r="A273" t="s">
        <v>337</v>
      </c>
    </row>
    <row r="274" spans="1:1" x14ac:dyDescent="0.25">
      <c r="A274" t="s">
        <v>338</v>
      </c>
    </row>
    <row r="275" spans="1:1" x14ac:dyDescent="0.25">
      <c r="A275" t="s">
        <v>339</v>
      </c>
    </row>
    <row r="276" spans="1:1" x14ac:dyDescent="0.25">
      <c r="A276" t="s">
        <v>340</v>
      </c>
    </row>
    <row r="277" spans="1:1" x14ac:dyDescent="0.25">
      <c r="A277" t="s">
        <v>341</v>
      </c>
    </row>
    <row r="278" spans="1:1" x14ac:dyDescent="0.25">
      <c r="A278" t="s">
        <v>342</v>
      </c>
    </row>
    <row r="279" spans="1:1" x14ac:dyDescent="0.25">
      <c r="A279" t="s">
        <v>343</v>
      </c>
    </row>
    <row r="280" spans="1:1" x14ac:dyDescent="0.25">
      <c r="A280" t="s">
        <v>344</v>
      </c>
    </row>
    <row r="281" spans="1:1" x14ac:dyDescent="0.25">
      <c r="A281" t="s">
        <v>345</v>
      </c>
    </row>
    <row r="282" spans="1:1" x14ac:dyDescent="0.25">
      <c r="A282" t="s">
        <v>346</v>
      </c>
    </row>
    <row r="283" spans="1:1" x14ac:dyDescent="0.25">
      <c r="A283" t="s">
        <v>347</v>
      </c>
    </row>
    <row r="284" spans="1:1" x14ac:dyDescent="0.25">
      <c r="A284" t="s">
        <v>348</v>
      </c>
    </row>
    <row r="285" spans="1:1" x14ac:dyDescent="0.25">
      <c r="A285" t="s">
        <v>349</v>
      </c>
    </row>
    <row r="286" spans="1:1" x14ac:dyDescent="0.25">
      <c r="A286" t="s">
        <v>350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353</v>
      </c>
    </row>
    <row r="290" spans="1:1" x14ac:dyDescent="0.25">
      <c r="A290" t="s">
        <v>354</v>
      </c>
    </row>
    <row r="291" spans="1:1" x14ac:dyDescent="0.25">
      <c r="A291" t="s">
        <v>355</v>
      </c>
    </row>
    <row r="292" spans="1:1" x14ac:dyDescent="0.25">
      <c r="A292" t="s">
        <v>356</v>
      </c>
    </row>
    <row r="293" spans="1:1" x14ac:dyDescent="0.25">
      <c r="A293" t="s">
        <v>357</v>
      </c>
    </row>
    <row r="294" spans="1:1" x14ac:dyDescent="0.25">
      <c r="A294" t="s">
        <v>358</v>
      </c>
    </row>
    <row r="295" spans="1:1" x14ac:dyDescent="0.25">
      <c r="A295" t="s">
        <v>359</v>
      </c>
    </row>
    <row r="296" spans="1:1" x14ac:dyDescent="0.25">
      <c r="A296" t="s">
        <v>360</v>
      </c>
    </row>
    <row r="297" spans="1:1" x14ac:dyDescent="0.25">
      <c r="A297" t="s">
        <v>361</v>
      </c>
    </row>
    <row r="298" spans="1:1" x14ac:dyDescent="0.25">
      <c r="A298" t="s">
        <v>362</v>
      </c>
    </row>
    <row r="299" spans="1:1" x14ac:dyDescent="0.25">
      <c r="A299" t="s">
        <v>363</v>
      </c>
    </row>
    <row r="300" spans="1:1" x14ac:dyDescent="0.25">
      <c r="A300" t="s">
        <v>364</v>
      </c>
    </row>
    <row r="301" spans="1:1" x14ac:dyDescent="0.25">
      <c r="A301" t="s">
        <v>365</v>
      </c>
    </row>
    <row r="302" spans="1:1" x14ac:dyDescent="0.25">
      <c r="A302" t="s">
        <v>366</v>
      </c>
    </row>
    <row r="303" spans="1:1" x14ac:dyDescent="0.25">
      <c r="A303" t="s">
        <v>367</v>
      </c>
    </row>
    <row r="304" spans="1:1" x14ac:dyDescent="0.25">
      <c r="A304" t="s">
        <v>368</v>
      </c>
    </row>
    <row r="305" spans="1:1" x14ac:dyDescent="0.25">
      <c r="A305" t="s">
        <v>369</v>
      </c>
    </row>
    <row r="306" spans="1:1" x14ac:dyDescent="0.25">
      <c r="A306" t="s">
        <v>370</v>
      </c>
    </row>
    <row r="307" spans="1:1" x14ac:dyDescent="0.25">
      <c r="A307" t="s">
        <v>371</v>
      </c>
    </row>
    <row r="308" spans="1:1" x14ac:dyDescent="0.25">
      <c r="A308" t="s">
        <v>372</v>
      </c>
    </row>
    <row r="309" spans="1:1" x14ac:dyDescent="0.25">
      <c r="A309" t="s">
        <v>373</v>
      </c>
    </row>
    <row r="310" spans="1:1" x14ac:dyDescent="0.25">
      <c r="A310" t="s">
        <v>374</v>
      </c>
    </row>
    <row r="311" spans="1:1" x14ac:dyDescent="0.25">
      <c r="A311" t="s">
        <v>375</v>
      </c>
    </row>
    <row r="312" spans="1:1" x14ac:dyDescent="0.25">
      <c r="A312" t="s">
        <v>376</v>
      </c>
    </row>
    <row r="313" spans="1:1" x14ac:dyDescent="0.25">
      <c r="A313" t="s">
        <v>377</v>
      </c>
    </row>
    <row r="314" spans="1:1" x14ac:dyDescent="0.25">
      <c r="A314" t="s">
        <v>378</v>
      </c>
    </row>
    <row r="315" spans="1:1" x14ac:dyDescent="0.25">
      <c r="A315" t="s">
        <v>379</v>
      </c>
    </row>
    <row r="316" spans="1:1" x14ac:dyDescent="0.25">
      <c r="A316" t="s">
        <v>380</v>
      </c>
    </row>
    <row r="317" spans="1:1" x14ac:dyDescent="0.25">
      <c r="A317" t="s">
        <v>381</v>
      </c>
    </row>
    <row r="318" spans="1:1" x14ac:dyDescent="0.25">
      <c r="A318" t="s">
        <v>382</v>
      </c>
    </row>
    <row r="319" spans="1:1" x14ac:dyDescent="0.25">
      <c r="A319" t="s">
        <v>383</v>
      </c>
    </row>
    <row r="320" spans="1:1" x14ac:dyDescent="0.25">
      <c r="A320" t="s">
        <v>384</v>
      </c>
    </row>
    <row r="321" spans="1:1" x14ac:dyDescent="0.25">
      <c r="A321" t="s">
        <v>385</v>
      </c>
    </row>
    <row r="322" spans="1:1" x14ac:dyDescent="0.25">
      <c r="A322" t="s">
        <v>386</v>
      </c>
    </row>
    <row r="323" spans="1:1" x14ac:dyDescent="0.25">
      <c r="A323" t="s">
        <v>387</v>
      </c>
    </row>
    <row r="324" spans="1:1" x14ac:dyDescent="0.25">
      <c r="A324" t="s">
        <v>388</v>
      </c>
    </row>
    <row r="325" spans="1:1" x14ac:dyDescent="0.25">
      <c r="A325" t="s">
        <v>389</v>
      </c>
    </row>
    <row r="326" spans="1:1" x14ac:dyDescent="0.25">
      <c r="A326" t="s">
        <v>390</v>
      </c>
    </row>
    <row r="327" spans="1:1" x14ac:dyDescent="0.25">
      <c r="A327" t="s">
        <v>391</v>
      </c>
    </row>
    <row r="328" spans="1:1" x14ac:dyDescent="0.25">
      <c r="A328" t="s">
        <v>392</v>
      </c>
    </row>
    <row r="329" spans="1:1" x14ac:dyDescent="0.25">
      <c r="A329" t="s">
        <v>393</v>
      </c>
    </row>
    <row r="330" spans="1:1" x14ac:dyDescent="0.25">
      <c r="A330" t="s">
        <v>394</v>
      </c>
    </row>
    <row r="331" spans="1:1" x14ac:dyDescent="0.25">
      <c r="A331" t="s">
        <v>395</v>
      </c>
    </row>
    <row r="332" spans="1:1" x14ac:dyDescent="0.25">
      <c r="A332" t="s">
        <v>396</v>
      </c>
    </row>
    <row r="333" spans="1:1" x14ac:dyDescent="0.25">
      <c r="A333" t="s">
        <v>397</v>
      </c>
    </row>
    <row r="334" spans="1:1" x14ac:dyDescent="0.25">
      <c r="A334" t="s">
        <v>398</v>
      </c>
    </row>
    <row r="335" spans="1:1" x14ac:dyDescent="0.25">
      <c r="A335" t="s">
        <v>399</v>
      </c>
    </row>
    <row r="336" spans="1:1" x14ac:dyDescent="0.25">
      <c r="A336" t="s">
        <v>400</v>
      </c>
    </row>
    <row r="337" spans="1:1" x14ac:dyDescent="0.25">
      <c r="A337" t="s">
        <v>401</v>
      </c>
    </row>
    <row r="338" spans="1:1" x14ac:dyDescent="0.25">
      <c r="A338" t="s">
        <v>402</v>
      </c>
    </row>
    <row r="339" spans="1:1" x14ac:dyDescent="0.25">
      <c r="A339" t="s">
        <v>403</v>
      </c>
    </row>
    <row r="340" spans="1:1" x14ac:dyDescent="0.25">
      <c r="A340" t="s">
        <v>404</v>
      </c>
    </row>
    <row r="341" spans="1:1" x14ac:dyDescent="0.25">
      <c r="A341" t="s">
        <v>405</v>
      </c>
    </row>
    <row r="342" spans="1:1" x14ac:dyDescent="0.25">
      <c r="A342" t="s">
        <v>406</v>
      </c>
    </row>
    <row r="343" spans="1:1" x14ac:dyDescent="0.25">
      <c r="A343" t="s">
        <v>407</v>
      </c>
    </row>
    <row r="344" spans="1:1" x14ac:dyDescent="0.25">
      <c r="A344" t="s">
        <v>408</v>
      </c>
    </row>
    <row r="345" spans="1:1" x14ac:dyDescent="0.25">
      <c r="A345" t="s">
        <v>409</v>
      </c>
    </row>
    <row r="346" spans="1:1" x14ac:dyDescent="0.25">
      <c r="A346" t="s">
        <v>410</v>
      </c>
    </row>
    <row r="347" spans="1:1" x14ac:dyDescent="0.25">
      <c r="A347" t="s">
        <v>411</v>
      </c>
    </row>
    <row r="348" spans="1:1" x14ac:dyDescent="0.25">
      <c r="A348" t="s">
        <v>412</v>
      </c>
    </row>
    <row r="349" spans="1:1" x14ac:dyDescent="0.25">
      <c r="A349" t="s">
        <v>413</v>
      </c>
    </row>
    <row r="350" spans="1:1" x14ac:dyDescent="0.25">
      <c r="A350" t="s">
        <v>414</v>
      </c>
    </row>
    <row r="351" spans="1:1" x14ac:dyDescent="0.25">
      <c r="A351" t="s">
        <v>415</v>
      </c>
    </row>
    <row r="352" spans="1:1" x14ac:dyDescent="0.25">
      <c r="A352" t="s">
        <v>416</v>
      </c>
    </row>
    <row r="353" spans="1:1" x14ac:dyDescent="0.25">
      <c r="A353" t="s">
        <v>417</v>
      </c>
    </row>
    <row r="354" spans="1:1" x14ac:dyDescent="0.25">
      <c r="A354" t="s">
        <v>418</v>
      </c>
    </row>
    <row r="355" spans="1:1" x14ac:dyDescent="0.25">
      <c r="A355" t="s">
        <v>419</v>
      </c>
    </row>
    <row r="356" spans="1:1" x14ac:dyDescent="0.25">
      <c r="A356" t="s">
        <v>420</v>
      </c>
    </row>
    <row r="357" spans="1:1" x14ac:dyDescent="0.25">
      <c r="A357" t="s">
        <v>421</v>
      </c>
    </row>
    <row r="358" spans="1:1" x14ac:dyDescent="0.25">
      <c r="A358" t="s">
        <v>422</v>
      </c>
    </row>
    <row r="359" spans="1:1" x14ac:dyDescent="0.25">
      <c r="A359" t="s">
        <v>423</v>
      </c>
    </row>
    <row r="360" spans="1:1" x14ac:dyDescent="0.25">
      <c r="A360" t="s">
        <v>424</v>
      </c>
    </row>
    <row r="361" spans="1:1" x14ac:dyDescent="0.25">
      <c r="A361" t="s">
        <v>425</v>
      </c>
    </row>
    <row r="362" spans="1:1" x14ac:dyDescent="0.25">
      <c r="A362" t="s">
        <v>426</v>
      </c>
    </row>
    <row r="363" spans="1:1" x14ac:dyDescent="0.25">
      <c r="A363" t="s">
        <v>427</v>
      </c>
    </row>
    <row r="364" spans="1:1" x14ac:dyDescent="0.25">
      <c r="A364" t="s">
        <v>428</v>
      </c>
    </row>
    <row r="365" spans="1:1" x14ac:dyDescent="0.25">
      <c r="A365" t="s">
        <v>429</v>
      </c>
    </row>
    <row r="366" spans="1:1" x14ac:dyDescent="0.25">
      <c r="A366" t="s">
        <v>430</v>
      </c>
    </row>
    <row r="367" spans="1:1" x14ac:dyDescent="0.25">
      <c r="A367" t="s">
        <v>431</v>
      </c>
    </row>
    <row r="368" spans="1:1" x14ac:dyDescent="0.25">
      <c r="A368" t="s">
        <v>432</v>
      </c>
    </row>
    <row r="369" spans="1:1" x14ac:dyDescent="0.25">
      <c r="A369" t="s">
        <v>433</v>
      </c>
    </row>
    <row r="370" spans="1:1" x14ac:dyDescent="0.25">
      <c r="A370" t="s">
        <v>434</v>
      </c>
    </row>
    <row r="371" spans="1:1" x14ac:dyDescent="0.25">
      <c r="A371" t="s">
        <v>435</v>
      </c>
    </row>
    <row r="372" spans="1:1" x14ac:dyDescent="0.25">
      <c r="A372" t="s">
        <v>436</v>
      </c>
    </row>
    <row r="373" spans="1:1" x14ac:dyDescent="0.25">
      <c r="A373" t="s">
        <v>437</v>
      </c>
    </row>
    <row r="374" spans="1:1" x14ac:dyDescent="0.25">
      <c r="A374" t="s">
        <v>438</v>
      </c>
    </row>
    <row r="375" spans="1:1" x14ac:dyDescent="0.25">
      <c r="A375" t="s">
        <v>439</v>
      </c>
    </row>
    <row r="376" spans="1:1" x14ac:dyDescent="0.25">
      <c r="A376" t="s">
        <v>440</v>
      </c>
    </row>
    <row r="377" spans="1:1" x14ac:dyDescent="0.25">
      <c r="A377" t="s">
        <v>441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450</v>
      </c>
    </row>
    <row r="387" spans="1:1" x14ac:dyDescent="0.25">
      <c r="A387" t="s">
        <v>451</v>
      </c>
    </row>
    <row r="388" spans="1:1" x14ac:dyDescent="0.25">
      <c r="A388" t="s">
        <v>452</v>
      </c>
    </row>
    <row r="389" spans="1:1" x14ac:dyDescent="0.25">
      <c r="A389" t="s">
        <v>453</v>
      </c>
    </row>
    <row r="390" spans="1:1" x14ac:dyDescent="0.25">
      <c r="A390" t="s">
        <v>454</v>
      </c>
    </row>
    <row r="391" spans="1:1" x14ac:dyDescent="0.25">
      <c r="A391" t="s">
        <v>455</v>
      </c>
    </row>
    <row r="392" spans="1:1" x14ac:dyDescent="0.25">
      <c r="A392" t="s">
        <v>456</v>
      </c>
    </row>
    <row r="393" spans="1:1" x14ac:dyDescent="0.25">
      <c r="A393" t="s">
        <v>457</v>
      </c>
    </row>
    <row r="394" spans="1:1" x14ac:dyDescent="0.25">
      <c r="A394" t="s">
        <v>458</v>
      </c>
    </row>
    <row r="395" spans="1:1" x14ac:dyDescent="0.25">
      <c r="A395" t="s">
        <v>459</v>
      </c>
    </row>
    <row r="396" spans="1:1" x14ac:dyDescent="0.25">
      <c r="A396" t="s">
        <v>460</v>
      </c>
    </row>
    <row r="397" spans="1:1" x14ac:dyDescent="0.25">
      <c r="A397" t="s">
        <v>461</v>
      </c>
    </row>
    <row r="398" spans="1:1" x14ac:dyDescent="0.25">
      <c r="A398" t="s">
        <v>462</v>
      </c>
    </row>
    <row r="399" spans="1:1" x14ac:dyDescent="0.25">
      <c r="A399" t="s">
        <v>463</v>
      </c>
    </row>
    <row r="400" spans="1:1" x14ac:dyDescent="0.25">
      <c r="A400" t="s">
        <v>464</v>
      </c>
    </row>
    <row r="401" spans="1:1" x14ac:dyDescent="0.25">
      <c r="A401" t="s">
        <v>465</v>
      </c>
    </row>
    <row r="402" spans="1:1" x14ac:dyDescent="0.25">
      <c r="A402" t="s">
        <v>466</v>
      </c>
    </row>
    <row r="403" spans="1:1" x14ac:dyDescent="0.25">
      <c r="A403" t="s">
        <v>467</v>
      </c>
    </row>
    <row r="404" spans="1:1" x14ac:dyDescent="0.25">
      <c r="A404" t="s">
        <v>468</v>
      </c>
    </row>
    <row r="405" spans="1:1" x14ac:dyDescent="0.25">
      <c r="A405" t="s">
        <v>469</v>
      </c>
    </row>
    <row r="406" spans="1:1" x14ac:dyDescent="0.25">
      <c r="A406" t="s">
        <v>470</v>
      </c>
    </row>
    <row r="407" spans="1:1" x14ac:dyDescent="0.25">
      <c r="A407" t="s">
        <v>471</v>
      </c>
    </row>
    <row r="408" spans="1:1" x14ac:dyDescent="0.25">
      <c r="A408" t="s">
        <v>472</v>
      </c>
    </row>
    <row r="409" spans="1:1" x14ac:dyDescent="0.25">
      <c r="A409" t="s">
        <v>473</v>
      </c>
    </row>
    <row r="410" spans="1:1" x14ac:dyDescent="0.25">
      <c r="A410" t="s">
        <v>474</v>
      </c>
    </row>
    <row r="411" spans="1:1" x14ac:dyDescent="0.25">
      <c r="A411" t="s">
        <v>475</v>
      </c>
    </row>
    <row r="412" spans="1:1" x14ac:dyDescent="0.25">
      <c r="A412" t="s">
        <v>476</v>
      </c>
    </row>
    <row r="413" spans="1:1" x14ac:dyDescent="0.25">
      <c r="A413" t="s">
        <v>477</v>
      </c>
    </row>
    <row r="414" spans="1:1" x14ac:dyDescent="0.25">
      <c r="A414" t="s">
        <v>478</v>
      </c>
    </row>
    <row r="415" spans="1:1" x14ac:dyDescent="0.25">
      <c r="A415" t="s">
        <v>479</v>
      </c>
    </row>
    <row r="416" spans="1:1" x14ac:dyDescent="0.25">
      <c r="A416" t="s">
        <v>480</v>
      </c>
    </row>
    <row r="417" spans="1:1" x14ac:dyDescent="0.25">
      <c r="A417" t="s">
        <v>481</v>
      </c>
    </row>
    <row r="418" spans="1:1" x14ac:dyDescent="0.25">
      <c r="A418" t="s">
        <v>482</v>
      </c>
    </row>
    <row r="419" spans="1:1" x14ac:dyDescent="0.25">
      <c r="A419" t="s">
        <v>483</v>
      </c>
    </row>
    <row r="420" spans="1:1" x14ac:dyDescent="0.25">
      <c r="A420" t="s">
        <v>484</v>
      </c>
    </row>
    <row r="421" spans="1:1" x14ac:dyDescent="0.25">
      <c r="A421" t="s">
        <v>485</v>
      </c>
    </row>
    <row r="422" spans="1:1" x14ac:dyDescent="0.25">
      <c r="A422" t="s">
        <v>486</v>
      </c>
    </row>
    <row r="423" spans="1:1" x14ac:dyDescent="0.25">
      <c r="A423" t="s">
        <v>487</v>
      </c>
    </row>
    <row r="424" spans="1:1" x14ac:dyDescent="0.25">
      <c r="A424" t="s">
        <v>488</v>
      </c>
    </row>
    <row r="425" spans="1:1" x14ac:dyDescent="0.25">
      <c r="A425" t="s">
        <v>489</v>
      </c>
    </row>
    <row r="426" spans="1:1" x14ac:dyDescent="0.25">
      <c r="A426" t="s">
        <v>490</v>
      </c>
    </row>
    <row r="427" spans="1:1" x14ac:dyDescent="0.25">
      <c r="A427" t="s">
        <v>491</v>
      </c>
    </row>
    <row r="428" spans="1:1" x14ac:dyDescent="0.25">
      <c r="A428" t="s">
        <v>492</v>
      </c>
    </row>
    <row r="429" spans="1:1" x14ac:dyDescent="0.25">
      <c r="A429" t="s">
        <v>493</v>
      </c>
    </row>
    <row r="430" spans="1:1" x14ac:dyDescent="0.25">
      <c r="A430" t="s">
        <v>494</v>
      </c>
    </row>
    <row r="431" spans="1:1" x14ac:dyDescent="0.25">
      <c r="A431" t="s">
        <v>495</v>
      </c>
    </row>
    <row r="432" spans="1:1" x14ac:dyDescent="0.25">
      <c r="A432" t="s">
        <v>496</v>
      </c>
    </row>
    <row r="433" spans="1:1" x14ac:dyDescent="0.25">
      <c r="A433" t="s">
        <v>497</v>
      </c>
    </row>
    <row r="434" spans="1:1" x14ac:dyDescent="0.25">
      <c r="A434" t="s">
        <v>498</v>
      </c>
    </row>
    <row r="435" spans="1:1" x14ac:dyDescent="0.25">
      <c r="A435" t="s">
        <v>499</v>
      </c>
    </row>
    <row r="436" spans="1:1" x14ac:dyDescent="0.25">
      <c r="A436" t="s">
        <v>500</v>
      </c>
    </row>
    <row r="437" spans="1:1" x14ac:dyDescent="0.25">
      <c r="A437" t="s">
        <v>501</v>
      </c>
    </row>
    <row r="438" spans="1:1" x14ac:dyDescent="0.25">
      <c r="A438" t="s">
        <v>502</v>
      </c>
    </row>
    <row r="439" spans="1:1" x14ac:dyDescent="0.25">
      <c r="A439" t="s">
        <v>503</v>
      </c>
    </row>
    <row r="440" spans="1:1" x14ac:dyDescent="0.25">
      <c r="A440" t="s">
        <v>504</v>
      </c>
    </row>
    <row r="441" spans="1:1" x14ac:dyDescent="0.25">
      <c r="A441" t="s">
        <v>505</v>
      </c>
    </row>
    <row r="442" spans="1:1" x14ac:dyDescent="0.25">
      <c r="A442" t="s">
        <v>506</v>
      </c>
    </row>
    <row r="443" spans="1:1" x14ac:dyDescent="0.25">
      <c r="A443" t="s">
        <v>507</v>
      </c>
    </row>
    <row r="444" spans="1:1" x14ac:dyDescent="0.25">
      <c r="A444" t="s">
        <v>508</v>
      </c>
    </row>
    <row r="445" spans="1:1" x14ac:dyDescent="0.25">
      <c r="A445" t="s">
        <v>509</v>
      </c>
    </row>
    <row r="446" spans="1:1" x14ac:dyDescent="0.25">
      <c r="A446" t="s">
        <v>510</v>
      </c>
    </row>
    <row r="447" spans="1:1" x14ac:dyDescent="0.25">
      <c r="A447" t="s">
        <v>511</v>
      </c>
    </row>
    <row r="448" spans="1:1" x14ac:dyDescent="0.25">
      <c r="A448" t="s">
        <v>512</v>
      </c>
    </row>
    <row r="449" spans="1:1" x14ac:dyDescent="0.25">
      <c r="A449" t="s">
        <v>513</v>
      </c>
    </row>
    <row r="450" spans="1:1" x14ac:dyDescent="0.25">
      <c r="A450" t="s">
        <v>514</v>
      </c>
    </row>
    <row r="451" spans="1:1" x14ac:dyDescent="0.25">
      <c r="A451" t="s">
        <v>515</v>
      </c>
    </row>
    <row r="452" spans="1:1" x14ac:dyDescent="0.25">
      <c r="A452" t="s">
        <v>516</v>
      </c>
    </row>
    <row r="453" spans="1:1" x14ac:dyDescent="0.25">
      <c r="A453" t="s">
        <v>517</v>
      </c>
    </row>
    <row r="454" spans="1:1" x14ac:dyDescent="0.25">
      <c r="A454" t="s">
        <v>518</v>
      </c>
    </row>
    <row r="455" spans="1:1" x14ac:dyDescent="0.25">
      <c r="A455" t="s">
        <v>519</v>
      </c>
    </row>
    <row r="456" spans="1:1" x14ac:dyDescent="0.25">
      <c r="A456" t="s">
        <v>520</v>
      </c>
    </row>
    <row r="457" spans="1:1" x14ac:dyDescent="0.25">
      <c r="A457" t="s">
        <v>521</v>
      </c>
    </row>
    <row r="458" spans="1:1" x14ac:dyDescent="0.25">
      <c r="A458" t="s">
        <v>522</v>
      </c>
    </row>
    <row r="459" spans="1:1" x14ac:dyDescent="0.25">
      <c r="A459" t="s">
        <v>523</v>
      </c>
    </row>
    <row r="460" spans="1:1" x14ac:dyDescent="0.25">
      <c r="A460" t="s">
        <v>524</v>
      </c>
    </row>
    <row r="461" spans="1:1" x14ac:dyDescent="0.25">
      <c r="A461" t="s">
        <v>525</v>
      </c>
    </row>
    <row r="462" spans="1:1" x14ac:dyDescent="0.25">
      <c r="A462" t="s">
        <v>526</v>
      </c>
    </row>
    <row r="463" spans="1:1" x14ac:dyDescent="0.25">
      <c r="A463" t="s">
        <v>527</v>
      </c>
    </row>
    <row r="464" spans="1:1" x14ac:dyDescent="0.25">
      <c r="A464" t="s">
        <v>528</v>
      </c>
    </row>
    <row r="465" spans="1:1" x14ac:dyDescent="0.25">
      <c r="A465" t="s">
        <v>529</v>
      </c>
    </row>
    <row r="466" spans="1:1" x14ac:dyDescent="0.25">
      <c r="A466" t="s">
        <v>530</v>
      </c>
    </row>
    <row r="467" spans="1:1" x14ac:dyDescent="0.25">
      <c r="A467" t="s">
        <v>531</v>
      </c>
    </row>
    <row r="468" spans="1:1" x14ac:dyDescent="0.25">
      <c r="A468" t="s">
        <v>532</v>
      </c>
    </row>
    <row r="469" spans="1:1" x14ac:dyDescent="0.25">
      <c r="A469" t="s">
        <v>533</v>
      </c>
    </row>
    <row r="470" spans="1:1" x14ac:dyDescent="0.25">
      <c r="A470" t="s">
        <v>534</v>
      </c>
    </row>
    <row r="471" spans="1:1" x14ac:dyDescent="0.25">
      <c r="A471" t="s">
        <v>535</v>
      </c>
    </row>
    <row r="472" spans="1:1" x14ac:dyDescent="0.25">
      <c r="A472" t="s">
        <v>536</v>
      </c>
    </row>
    <row r="473" spans="1:1" x14ac:dyDescent="0.25">
      <c r="A473" t="s">
        <v>537</v>
      </c>
    </row>
    <row r="474" spans="1:1" x14ac:dyDescent="0.25">
      <c r="A474" t="s">
        <v>538</v>
      </c>
    </row>
    <row r="475" spans="1:1" x14ac:dyDescent="0.25">
      <c r="A475" t="s">
        <v>539</v>
      </c>
    </row>
    <row r="476" spans="1:1" x14ac:dyDescent="0.25">
      <c r="A476" t="s">
        <v>540</v>
      </c>
    </row>
    <row r="477" spans="1:1" x14ac:dyDescent="0.25">
      <c r="A477" t="s">
        <v>541</v>
      </c>
    </row>
    <row r="478" spans="1:1" x14ac:dyDescent="0.25">
      <c r="A478" t="s">
        <v>542</v>
      </c>
    </row>
    <row r="479" spans="1:1" x14ac:dyDescent="0.25">
      <c r="A479" t="s">
        <v>543</v>
      </c>
    </row>
    <row r="480" spans="1:1" x14ac:dyDescent="0.25">
      <c r="A480" t="s">
        <v>544</v>
      </c>
    </row>
    <row r="481" spans="1:1" x14ac:dyDescent="0.25">
      <c r="A481" t="s">
        <v>545</v>
      </c>
    </row>
    <row r="482" spans="1:1" x14ac:dyDescent="0.25">
      <c r="A482" t="s">
        <v>546</v>
      </c>
    </row>
    <row r="483" spans="1:1" x14ac:dyDescent="0.25">
      <c r="A483" t="s">
        <v>547</v>
      </c>
    </row>
    <row r="484" spans="1:1" x14ac:dyDescent="0.25">
      <c r="A484" t="s">
        <v>548</v>
      </c>
    </row>
    <row r="485" spans="1:1" x14ac:dyDescent="0.25">
      <c r="A485" t="s">
        <v>549</v>
      </c>
    </row>
    <row r="486" spans="1:1" x14ac:dyDescent="0.25">
      <c r="A486" t="s">
        <v>550</v>
      </c>
    </row>
    <row r="487" spans="1:1" x14ac:dyDescent="0.25">
      <c r="A487" t="s">
        <v>551</v>
      </c>
    </row>
    <row r="488" spans="1:1" x14ac:dyDescent="0.25">
      <c r="A488" t="s">
        <v>552</v>
      </c>
    </row>
    <row r="489" spans="1:1" x14ac:dyDescent="0.25">
      <c r="A489" t="s">
        <v>553</v>
      </c>
    </row>
    <row r="490" spans="1:1" x14ac:dyDescent="0.25">
      <c r="A490" t="s">
        <v>554</v>
      </c>
    </row>
    <row r="491" spans="1:1" x14ac:dyDescent="0.25">
      <c r="A491" t="s">
        <v>555</v>
      </c>
    </row>
    <row r="492" spans="1:1" x14ac:dyDescent="0.25">
      <c r="A492" t="s">
        <v>556</v>
      </c>
    </row>
    <row r="493" spans="1:1" x14ac:dyDescent="0.25">
      <c r="A493" t="s">
        <v>557</v>
      </c>
    </row>
    <row r="494" spans="1:1" x14ac:dyDescent="0.25">
      <c r="A494" t="s">
        <v>558</v>
      </c>
    </row>
    <row r="495" spans="1:1" x14ac:dyDescent="0.25">
      <c r="A495" t="s">
        <v>559</v>
      </c>
    </row>
    <row r="496" spans="1:1" x14ac:dyDescent="0.25">
      <c r="A496" t="s">
        <v>560</v>
      </c>
    </row>
    <row r="497" spans="1:1" x14ac:dyDescent="0.25">
      <c r="A497" t="s">
        <v>561</v>
      </c>
    </row>
    <row r="498" spans="1:1" x14ac:dyDescent="0.25">
      <c r="A498" t="s">
        <v>562</v>
      </c>
    </row>
    <row r="499" spans="1:1" x14ac:dyDescent="0.25">
      <c r="A499" t="s">
        <v>563</v>
      </c>
    </row>
    <row r="500" spans="1:1" x14ac:dyDescent="0.25">
      <c r="A500" t="s">
        <v>564</v>
      </c>
    </row>
    <row r="501" spans="1:1" x14ac:dyDescent="0.25">
      <c r="A501" t="s">
        <v>565</v>
      </c>
    </row>
    <row r="502" spans="1:1" x14ac:dyDescent="0.25">
      <c r="A502" t="s">
        <v>566</v>
      </c>
    </row>
    <row r="503" spans="1:1" x14ac:dyDescent="0.25">
      <c r="A503" t="s">
        <v>567</v>
      </c>
    </row>
    <row r="504" spans="1:1" x14ac:dyDescent="0.25">
      <c r="A504" t="s">
        <v>568</v>
      </c>
    </row>
    <row r="505" spans="1:1" x14ac:dyDescent="0.25">
      <c r="A505" t="s">
        <v>569</v>
      </c>
    </row>
    <row r="506" spans="1:1" x14ac:dyDescent="0.25">
      <c r="A506" t="s">
        <v>570</v>
      </c>
    </row>
    <row r="507" spans="1:1" x14ac:dyDescent="0.25">
      <c r="A507" t="s">
        <v>571</v>
      </c>
    </row>
    <row r="508" spans="1:1" x14ac:dyDescent="0.25">
      <c r="A508" t="s">
        <v>572</v>
      </c>
    </row>
    <row r="509" spans="1:1" x14ac:dyDescent="0.25">
      <c r="A509" t="s">
        <v>573</v>
      </c>
    </row>
    <row r="510" spans="1:1" x14ac:dyDescent="0.25">
      <c r="A510" t="s">
        <v>574</v>
      </c>
    </row>
    <row r="511" spans="1:1" x14ac:dyDescent="0.25">
      <c r="A511" t="s">
        <v>575</v>
      </c>
    </row>
    <row r="512" spans="1:1" x14ac:dyDescent="0.25">
      <c r="A512" t="s">
        <v>576</v>
      </c>
    </row>
    <row r="513" spans="1:1" x14ac:dyDescent="0.25">
      <c r="A513" t="s">
        <v>577</v>
      </c>
    </row>
    <row r="514" spans="1:1" x14ac:dyDescent="0.25">
      <c r="A514" t="s">
        <v>578</v>
      </c>
    </row>
    <row r="515" spans="1:1" x14ac:dyDescent="0.25">
      <c r="A515" t="s">
        <v>579</v>
      </c>
    </row>
    <row r="516" spans="1:1" x14ac:dyDescent="0.25">
      <c r="A516" t="s">
        <v>580</v>
      </c>
    </row>
    <row r="517" spans="1:1" x14ac:dyDescent="0.25">
      <c r="A517" t="s">
        <v>581</v>
      </c>
    </row>
    <row r="518" spans="1:1" x14ac:dyDescent="0.25">
      <c r="A518" t="s">
        <v>582</v>
      </c>
    </row>
    <row r="519" spans="1:1" x14ac:dyDescent="0.25">
      <c r="A519" t="s">
        <v>583</v>
      </c>
    </row>
    <row r="520" spans="1:1" x14ac:dyDescent="0.25">
      <c r="A520" t="s">
        <v>584</v>
      </c>
    </row>
    <row r="521" spans="1:1" x14ac:dyDescent="0.25">
      <c r="A521" t="s">
        <v>585</v>
      </c>
    </row>
    <row r="522" spans="1:1" x14ac:dyDescent="0.25">
      <c r="A522" t="s">
        <v>586</v>
      </c>
    </row>
    <row r="523" spans="1:1" x14ac:dyDescent="0.25">
      <c r="A523" t="s">
        <v>587</v>
      </c>
    </row>
    <row r="524" spans="1:1" x14ac:dyDescent="0.25">
      <c r="A524" t="s">
        <v>588</v>
      </c>
    </row>
    <row r="525" spans="1:1" x14ac:dyDescent="0.25">
      <c r="A525" t="s">
        <v>589</v>
      </c>
    </row>
    <row r="526" spans="1:1" x14ac:dyDescent="0.25">
      <c r="A526" t="s">
        <v>590</v>
      </c>
    </row>
    <row r="527" spans="1:1" x14ac:dyDescent="0.25">
      <c r="A527" t="s">
        <v>591</v>
      </c>
    </row>
    <row r="528" spans="1:1" x14ac:dyDescent="0.25">
      <c r="A528" t="s">
        <v>592</v>
      </c>
    </row>
    <row r="529" spans="1:1" x14ac:dyDescent="0.25">
      <c r="A529" t="s">
        <v>593</v>
      </c>
    </row>
    <row r="530" spans="1:1" x14ac:dyDescent="0.25">
      <c r="A530" t="s">
        <v>594</v>
      </c>
    </row>
    <row r="531" spans="1:1" x14ac:dyDescent="0.25">
      <c r="A531" t="s">
        <v>595</v>
      </c>
    </row>
    <row r="532" spans="1:1" x14ac:dyDescent="0.25">
      <c r="A532" t="s">
        <v>596</v>
      </c>
    </row>
    <row r="533" spans="1:1" x14ac:dyDescent="0.25">
      <c r="A533" t="s">
        <v>597</v>
      </c>
    </row>
    <row r="534" spans="1:1" x14ac:dyDescent="0.25">
      <c r="A534" t="s">
        <v>598</v>
      </c>
    </row>
    <row r="535" spans="1:1" x14ac:dyDescent="0.25">
      <c r="A535" t="s">
        <v>599</v>
      </c>
    </row>
    <row r="536" spans="1:1" x14ac:dyDescent="0.25">
      <c r="A536" t="s">
        <v>600</v>
      </c>
    </row>
    <row r="537" spans="1:1" x14ac:dyDescent="0.25">
      <c r="A537" t="s">
        <v>601</v>
      </c>
    </row>
    <row r="538" spans="1:1" x14ac:dyDescent="0.25">
      <c r="A538" t="s">
        <v>602</v>
      </c>
    </row>
    <row r="539" spans="1:1" x14ac:dyDescent="0.25">
      <c r="A539" t="s">
        <v>603</v>
      </c>
    </row>
    <row r="540" spans="1:1" x14ac:dyDescent="0.25">
      <c r="A540" t="s">
        <v>604</v>
      </c>
    </row>
    <row r="541" spans="1:1" x14ac:dyDescent="0.25">
      <c r="A541" t="s">
        <v>605</v>
      </c>
    </row>
    <row r="542" spans="1:1" x14ac:dyDescent="0.25">
      <c r="A542" t="s">
        <v>606</v>
      </c>
    </row>
    <row r="543" spans="1:1" x14ac:dyDescent="0.25">
      <c r="A543" t="s">
        <v>607</v>
      </c>
    </row>
    <row r="544" spans="1:1" x14ac:dyDescent="0.25">
      <c r="A544" t="s">
        <v>608</v>
      </c>
    </row>
    <row r="545" spans="1:1" x14ac:dyDescent="0.25">
      <c r="A545" t="s">
        <v>609</v>
      </c>
    </row>
    <row r="546" spans="1:1" x14ac:dyDescent="0.25">
      <c r="A546" t="s">
        <v>610</v>
      </c>
    </row>
    <row r="547" spans="1:1" x14ac:dyDescent="0.25">
      <c r="A547" t="s">
        <v>611</v>
      </c>
    </row>
    <row r="548" spans="1:1" x14ac:dyDescent="0.25">
      <c r="A548" t="s">
        <v>612</v>
      </c>
    </row>
    <row r="549" spans="1:1" x14ac:dyDescent="0.25">
      <c r="A549" t="s">
        <v>613</v>
      </c>
    </row>
    <row r="550" spans="1:1" x14ac:dyDescent="0.25">
      <c r="A550" t="s">
        <v>614</v>
      </c>
    </row>
    <row r="551" spans="1:1" x14ac:dyDescent="0.25">
      <c r="A551" t="s">
        <v>615</v>
      </c>
    </row>
    <row r="552" spans="1:1" x14ac:dyDescent="0.25">
      <c r="A552" t="s">
        <v>616</v>
      </c>
    </row>
    <row r="553" spans="1:1" x14ac:dyDescent="0.25">
      <c r="A553" t="s">
        <v>617</v>
      </c>
    </row>
    <row r="554" spans="1:1" x14ac:dyDescent="0.25">
      <c r="A554" t="s">
        <v>618</v>
      </c>
    </row>
    <row r="555" spans="1:1" x14ac:dyDescent="0.25">
      <c r="A555" t="s">
        <v>619</v>
      </c>
    </row>
    <row r="556" spans="1:1" x14ac:dyDescent="0.25">
      <c r="A556" t="s">
        <v>620</v>
      </c>
    </row>
    <row r="557" spans="1:1" x14ac:dyDescent="0.25">
      <c r="A557" t="s">
        <v>621</v>
      </c>
    </row>
    <row r="558" spans="1:1" x14ac:dyDescent="0.25">
      <c r="A558" t="s">
        <v>622</v>
      </c>
    </row>
    <row r="559" spans="1:1" x14ac:dyDescent="0.25">
      <c r="A559" t="s">
        <v>623</v>
      </c>
    </row>
    <row r="560" spans="1:1" x14ac:dyDescent="0.25">
      <c r="A560" t="s">
        <v>624</v>
      </c>
    </row>
    <row r="561" spans="1:1" x14ac:dyDescent="0.25">
      <c r="A561" t="s">
        <v>625</v>
      </c>
    </row>
    <row r="562" spans="1:1" x14ac:dyDescent="0.25">
      <c r="A562" t="s">
        <v>626</v>
      </c>
    </row>
    <row r="563" spans="1:1" x14ac:dyDescent="0.25">
      <c r="A563" t="s">
        <v>627</v>
      </c>
    </row>
    <row r="564" spans="1:1" x14ac:dyDescent="0.25">
      <c r="A564" t="s">
        <v>628</v>
      </c>
    </row>
    <row r="565" spans="1:1" x14ac:dyDescent="0.25">
      <c r="A565" t="s">
        <v>629</v>
      </c>
    </row>
    <row r="566" spans="1:1" x14ac:dyDescent="0.25">
      <c r="A566" t="s">
        <v>630</v>
      </c>
    </row>
    <row r="567" spans="1:1" x14ac:dyDescent="0.25">
      <c r="A567" t="s">
        <v>631</v>
      </c>
    </row>
    <row r="568" spans="1:1" x14ac:dyDescent="0.25">
      <c r="A568" t="s">
        <v>632</v>
      </c>
    </row>
    <row r="569" spans="1:1" x14ac:dyDescent="0.25">
      <c r="A569" t="s">
        <v>633</v>
      </c>
    </row>
    <row r="570" spans="1:1" x14ac:dyDescent="0.25">
      <c r="A570" t="s">
        <v>634</v>
      </c>
    </row>
    <row r="571" spans="1:1" x14ac:dyDescent="0.25">
      <c r="A571" t="s">
        <v>635</v>
      </c>
    </row>
    <row r="572" spans="1:1" x14ac:dyDescent="0.25">
      <c r="A572" t="s">
        <v>636</v>
      </c>
    </row>
    <row r="573" spans="1:1" x14ac:dyDescent="0.25">
      <c r="A573" t="s">
        <v>637</v>
      </c>
    </row>
    <row r="574" spans="1:1" x14ac:dyDescent="0.25">
      <c r="A574" t="s">
        <v>638</v>
      </c>
    </row>
    <row r="575" spans="1:1" x14ac:dyDescent="0.25">
      <c r="A575" t="s">
        <v>639</v>
      </c>
    </row>
    <row r="576" spans="1:1" x14ac:dyDescent="0.25">
      <c r="A576" t="s">
        <v>640</v>
      </c>
    </row>
    <row r="577" spans="1:1" x14ac:dyDescent="0.25">
      <c r="A577" t="s">
        <v>641</v>
      </c>
    </row>
    <row r="578" spans="1:1" x14ac:dyDescent="0.25">
      <c r="A578" t="s">
        <v>642</v>
      </c>
    </row>
    <row r="579" spans="1:1" x14ac:dyDescent="0.25">
      <c r="A579" t="s">
        <v>643</v>
      </c>
    </row>
    <row r="580" spans="1:1" x14ac:dyDescent="0.25">
      <c r="A580" t="s">
        <v>644</v>
      </c>
    </row>
    <row r="581" spans="1:1" x14ac:dyDescent="0.25">
      <c r="A581" t="s">
        <v>645</v>
      </c>
    </row>
    <row r="582" spans="1:1" x14ac:dyDescent="0.25">
      <c r="A582" t="s">
        <v>646</v>
      </c>
    </row>
    <row r="583" spans="1:1" x14ac:dyDescent="0.25">
      <c r="A583" t="s">
        <v>647</v>
      </c>
    </row>
    <row r="584" spans="1:1" x14ac:dyDescent="0.25">
      <c r="A584" t="s">
        <v>648</v>
      </c>
    </row>
    <row r="585" spans="1:1" x14ac:dyDescent="0.25">
      <c r="A585" t="s">
        <v>649</v>
      </c>
    </row>
    <row r="586" spans="1:1" x14ac:dyDescent="0.25">
      <c r="A586" t="s">
        <v>650</v>
      </c>
    </row>
    <row r="587" spans="1:1" x14ac:dyDescent="0.25">
      <c r="A587" t="s">
        <v>651</v>
      </c>
    </row>
    <row r="588" spans="1:1" x14ac:dyDescent="0.25">
      <c r="A588" t="s">
        <v>652</v>
      </c>
    </row>
    <row r="589" spans="1:1" x14ac:dyDescent="0.25">
      <c r="A589" t="s">
        <v>653</v>
      </c>
    </row>
    <row r="590" spans="1:1" x14ac:dyDescent="0.25">
      <c r="A590" t="s">
        <v>654</v>
      </c>
    </row>
    <row r="591" spans="1:1" x14ac:dyDescent="0.25">
      <c r="A591" t="s">
        <v>655</v>
      </c>
    </row>
    <row r="592" spans="1:1" x14ac:dyDescent="0.25">
      <c r="A592" t="s">
        <v>656</v>
      </c>
    </row>
    <row r="593" spans="1:1" x14ac:dyDescent="0.25">
      <c r="A593" t="s">
        <v>657</v>
      </c>
    </row>
    <row r="594" spans="1:1" x14ac:dyDescent="0.25">
      <c r="A594" t="s">
        <v>658</v>
      </c>
    </row>
    <row r="595" spans="1:1" x14ac:dyDescent="0.25">
      <c r="A595" t="s">
        <v>659</v>
      </c>
    </row>
    <row r="596" spans="1:1" x14ac:dyDescent="0.25">
      <c r="A596" t="s">
        <v>660</v>
      </c>
    </row>
    <row r="597" spans="1:1" x14ac:dyDescent="0.25">
      <c r="A597" t="s">
        <v>661</v>
      </c>
    </row>
    <row r="598" spans="1:1" x14ac:dyDescent="0.25">
      <c r="A598" t="s">
        <v>662</v>
      </c>
    </row>
    <row r="599" spans="1:1" x14ac:dyDescent="0.25">
      <c r="A599" t="s">
        <v>663</v>
      </c>
    </row>
    <row r="600" spans="1:1" x14ac:dyDescent="0.25">
      <c r="A600" t="s">
        <v>664</v>
      </c>
    </row>
    <row r="601" spans="1:1" x14ac:dyDescent="0.25">
      <c r="A601" t="s">
        <v>665</v>
      </c>
    </row>
    <row r="602" spans="1:1" x14ac:dyDescent="0.25">
      <c r="A602" t="s">
        <v>666</v>
      </c>
    </row>
    <row r="603" spans="1:1" x14ac:dyDescent="0.25">
      <c r="A603" t="s">
        <v>667</v>
      </c>
    </row>
    <row r="604" spans="1:1" x14ac:dyDescent="0.25">
      <c r="A604" t="s">
        <v>668</v>
      </c>
    </row>
    <row r="605" spans="1:1" x14ac:dyDescent="0.25">
      <c r="A605" t="s">
        <v>669</v>
      </c>
    </row>
    <row r="606" spans="1:1" x14ac:dyDescent="0.25">
      <c r="A606" t="s">
        <v>670</v>
      </c>
    </row>
    <row r="607" spans="1:1" x14ac:dyDescent="0.25">
      <c r="A607" t="s">
        <v>671</v>
      </c>
    </row>
    <row r="608" spans="1:1" x14ac:dyDescent="0.25">
      <c r="A608" t="s">
        <v>672</v>
      </c>
    </row>
    <row r="609" spans="1:1" x14ac:dyDescent="0.25">
      <c r="A609" t="s">
        <v>673</v>
      </c>
    </row>
    <row r="610" spans="1:1" x14ac:dyDescent="0.25">
      <c r="A610" t="s">
        <v>674</v>
      </c>
    </row>
    <row r="611" spans="1:1" x14ac:dyDescent="0.25">
      <c r="A611" t="s">
        <v>675</v>
      </c>
    </row>
    <row r="612" spans="1:1" x14ac:dyDescent="0.25">
      <c r="A612" t="s">
        <v>676</v>
      </c>
    </row>
    <row r="613" spans="1:1" x14ac:dyDescent="0.25">
      <c r="A613" t="s">
        <v>677</v>
      </c>
    </row>
    <row r="614" spans="1:1" x14ac:dyDescent="0.25">
      <c r="A614" t="s">
        <v>678</v>
      </c>
    </row>
    <row r="615" spans="1:1" x14ac:dyDescent="0.25">
      <c r="A615" t="s">
        <v>679</v>
      </c>
    </row>
    <row r="616" spans="1:1" x14ac:dyDescent="0.25">
      <c r="A616" t="s">
        <v>680</v>
      </c>
    </row>
    <row r="617" spans="1:1" x14ac:dyDescent="0.25">
      <c r="A617" t="s">
        <v>681</v>
      </c>
    </row>
    <row r="618" spans="1:1" x14ac:dyDescent="0.25">
      <c r="A618" t="s">
        <v>682</v>
      </c>
    </row>
    <row r="619" spans="1:1" x14ac:dyDescent="0.25">
      <c r="A619" t="s">
        <v>683</v>
      </c>
    </row>
    <row r="620" spans="1:1" x14ac:dyDescent="0.25">
      <c r="A620" t="s">
        <v>684</v>
      </c>
    </row>
    <row r="621" spans="1:1" x14ac:dyDescent="0.25">
      <c r="A621" t="s">
        <v>685</v>
      </c>
    </row>
    <row r="622" spans="1:1" x14ac:dyDescent="0.25">
      <c r="A622" t="s">
        <v>686</v>
      </c>
    </row>
    <row r="623" spans="1:1" x14ac:dyDescent="0.25">
      <c r="A623" t="s">
        <v>687</v>
      </c>
    </row>
    <row r="624" spans="1:1" x14ac:dyDescent="0.25">
      <c r="A624" t="s">
        <v>688</v>
      </c>
    </row>
    <row r="625" spans="1:1" x14ac:dyDescent="0.25">
      <c r="A625" t="s">
        <v>689</v>
      </c>
    </row>
    <row r="626" spans="1:1" x14ac:dyDescent="0.25">
      <c r="A626" t="s">
        <v>690</v>
      </c>
    </row>
    <row r="627" spans="1:1" x14ac:dyDescent="0.25">
      <c r="A627" t="s">
        <v>691</v>
      </c>
    </row>
    <row r="628" spans="1:1" x14ac:dyDescent="0.25">
      <c r="A628" t="s">
        <v>692</v>
      </c>
    </row>
    <row r="629" spans="1:1" x14ac:dyDescent="0.25">
      <c r="A629" t="s">
        <v>693</v>
      </c>
    </row>
    <row r="630" spans="1:1" x14ac:dyDescent="0.25">
      <c r="A630" t="s">
        <v>694</v>
      </c>
    </row>
    <row r="631" spans="1:1" x14ac:dyDescent="0.25">
      <c r="A631" t="s">
        <v>695</v>
      </c>
    </row>
    <row r="632" spans="1:1" x14ac:dyDescent="0.25">
      <c r="A632" t="s">
        <v>696</v>
      </c>
    </row>
    <row r="633" spans="1:1" x14ac:dyDescent="0.25">
      <c r="A633" t="s">
        <v>697</v>
      </c>
    </row>
    <row r="634" spans="1:1" x14ac:dyDescent="0.25">
      <c r="A634" t="s">
        <v>698</v>
      </c>
    </row>
    <row r="635" spans="1:1" x14ac:dyDescent="0.25">
      <c r="A635" t="s">
        <v>699</v>
      </c>
    </row>
    <row r="636" spans="1:1" x14ac:dyDescent="0.25">
      <c r="A636" t="s">
        <v>700</v>
      </c>
    </row>
    <row r="637" spans="1:1" x14ac:dyDescent="0.25">
      <c r="A637" t="s">
        <v>701</v>
      </c>
    </row>
    <row r="638" spans="1:1" x14ac:dyDescent="0.25">
      <c r="A638" t="s">
        <v>702</v>
      </c>
    </row>
    <row r="639" spans="1:1" x14ac:dyDescent="0.25">
      <c r="A639" t="s">
        <v>703</v>
      </c>
    </row>
    <row r="640" spans="1:1" x14ac:dyDescent="0.25">
      <c r="A640" t="s">
        <v>704</v>
      </c>
    </row>
    <row r="641" spans="1:1" x14ac:dyDescent="0.25">
      <c r="A641" t="s">
        <v>705</v>
      </c>
    </row>
    <row r="642" spans="1:1" x14ac:dyDescent="0.25">
      <c r="A642" t="s">
        <v>706</v>
      </c>
    </row>
    <row r="643" spans="1:1" x14ac:dyDescent="0.25">
      <c r="A643" t="s">
        <v>707</v>
      </c>
    </row>
    <row r="644" spans="1:1" x14ac:dyDescent="0.25">
      <c r="A644" t="s">
        <v>708</v>
      </c>
    </row>
    <row r="645" spans="1:1" x14ac:dyDescent="0.25">
      <c r="A645" t="s">
        <v>709</v>
      </c>
    </row>
    <row r="646" spans="1:1" x14ac:dyDescent="0.25">
      <c r="A646" t="s">
        <v>710</v>
      </c>
    </row>
    <row r="647" spans="1:1" x14ac:dyDescent="0.25">
      <c r="A647" t="s">
        <v>711</v>
      </c>
    </row>
    <row r="648" spans="1:1" x14ac:dyDescent="0.25">
      <c r="A648" t="s">
        <v>712</v>
      </c>
    </row>
    <row r="649" spans="1:1" x14ac:dyDescent="0.25">
      <c r="A649" t="s">
        <v>713</v>
      </c>
    </row>
    <row r="650" spans="1:1" x14ac:dyDescent="0.25">
      <c r="A650" t="s">
        <v>714</v>
      </c>
    </row>
    <row r="651" spans="1:1" x14ac:dyDescent="0.25">
      <c r="A651" t="s">
        <v>715</v>
      </c>
    </row>
    <row r="652" spans="1:1" x14ac:dyDescent="0.25">
      <c r="A652" t="s">
        <v>716</v>
      </c>
    </row>
    <row r="653" spans="1:1" x14ac:dyDescent="0.25">
      <c r="A653" t="s">
        <v>717</v>
      </c>
    </row>
    <row r="654" spans="1:1" x14ac:dyDescent="0.25">
      <c r="A654" t="s">
        <v>718</v>
      </c>
    </row>
    <row r="655" spans="1:1" x14ac:dyDescent="0.25">
      <c r="A655" t="s">
        <v>719</v>
      </c>
    </row>
    <row r="656" spans="1:1" x14ac:dyDescent="0.25">
      <c r="A656" t="s">
        <v>720</v>
      </c>
    </row>
    <row r="657" spans="1:1" x14ac:dyDescent="0.25">
      <c r="A657" t="s">
        <v>721</v>
      </c>
    </row>
    <row r="658" spans="1:1" x14ac:dyDescent="0.25">
      <c r="A658" t="s">
        <v>722</v>
      </c>
    </row>
    <row r="659" spans="1:1" x14ac:dyDescent="0.25">
      <c r="A659" t="s">
        <v>723</v>
      </c>
    </row>
    <row r="660" spans="1:1" x14ac:dyDescent="0.25">
      <c r="A660" t="s">
        <v>724</v>
      </c>
    </row>
    <row r="661" spans="1:1" x14ac:dyDescent="0.25">
      <c r="A661" t="s">
        <v>725</v>
      </c>
    </row>
    <row r="662" spans="1:1" x14ac:dyDescent="0.25">
      <c r="A662" t="s">
        <v>726</v>
      </c>
    </row>
    <row r="663" spans="1:1" x14ac:dyDescent="0.25">
      <c r="A663" t="s">
        <v>727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733</v>
      </c>
    </row>
    <row r="670" spans="1:1" x14ac:dyDescent="0.25">
      <c r="A670" t="s">
        <v>734</v>
      </c>
    </row>
    <row r="671" spans="1:1" x14ac:dyDescent="0.25">
      <c r="A671" t="s">
        <v>735</v>
      </c>
    </row>
    <row r="672" spans="1:1" x14ac:dyDescent="0.25">
      <c r="A672" t="s">
        <v>736</v>
      </c>
    </row>
    <row r="673" spans="1:1" x14ac:dyDescent="0.25">
      <c r="A673" t="s">
        <v>737</v>
      </c>
    </row>
    <row r="674" spans="1:1" x14ac:dyDescent="0.25">
      <c r="A674" t="s">
        <v>738</v>
      </c>
    </row>
    <row r="675" spans="1:1" x14ac:dyDescent="0.25">
      <c r="A675" t="s">
        <v>739</v>
      </c>
    </row>
    <row r="676" spans="1:1" x14ac:dyDescent="0.25">
      <c r="A676" t="s">
        <v>740</v>
      </c>
    </row>
    <row r="677" spans="1:1" x14ac:dyDescent="0.25">
      <c r="A677" t="s">
        <v>741</v>
      </c>
    </row>
    <row r="678" spans="1:1" x14ac:dyDescent="0.25">
      <c r="A678" t="s">
        <v>742</v>
      </c>
    </row>
    <row r="679" spans="1:1" x14ac:dyDescent="0.25">
      <c r="A679" t="s">
        <v>743</v>
      </c>
    </row>
    <row r="680" spans="1:1" x14ac:dyDescent="0.25">
      <c r="A680" t="s">
        <v>744</v>
      </c>
    </row>
    <row r="681" spans="1:1" x14ac:dyDescent="0.25">
      <c r="A681" t="s">
        <v>745</v>
      </c>
    </row>
    <row r="682" spans="1:1" x14ac:dyDescent="0.25">
      <c r="A682" t="s">
        <v>746</v>
      </c>
    </row>
    <row r="683" spans="1:1" x14ac:dyDescent="0.25">
      <c r="A683" t="s">
        <v>747</v>
      </c>
    </row>
    <row r="684" spans="1:1" x14ac:dyDescent="0.25">
      <c r="A684" t="s">
        <v>748</v>
      </c>
    </row>
    <row r="685" spans="1:1" x14ac:dyDescent="0.25">
      <c r="A685" t="s">
        <v>749</v>
      </c>
    </row>
    <row r="686" spans="1:1" x14ac:dyDescent="0.25">
      <c r="A686" t="s">
        <v>750</v>
      </c>
    </row>
    <row r="687" spans="1:1" x14ac:dyDescent="0.25">
      <c r="A687" t="s">
        <v>751</v>
      </c>
    </row>
    <row r="688" spans="1:1" x14ac:dyDescent="0.25">
      <c r="A688" t="s">
        <v>752</v>
      </c>
    </row>
    <row r="689" spans="1:1" x14ac:dyDescent="0.25">
      <c r="A689" t="s">
        <v>753</v>
      </c>
    </row>
    <row r="690" spans="1:1" x14ac:dyDescent="0.25">
      <c r="A690" t="s">
        <v>754</v>
      </c>
    </row>
    <row r="691" spans="1:1" x14ac:dyDescent="0.25">
      <c r="A691" t="s">
        <v>755</v>
      </c>
    </row>
    <row r="692" spans="1:1" x14ac:dyDescent="0.25">
      <c r="A692" t="s">
        <v>756</v>
      </c>
    </row>
    <row r="693" spans="1:1" x14ac:dyDescent="0.25">
      <c r="A693" t="s">
        <v>757</v>
      </c>
    </row>
    <row r="694" spans="1:1" x14ac:dyDescent="0.25">
      <c r="A694" t="s">
        <v>758</v>
      </c>
    </row>
    <row r="695" spans="1:1" x14ac:dyDescent="0.25">
      <c r="A695" t="s">
        <v>759</v>
      </c>
    </row>
    <row r="696" spans="1:1" x14ac:dyDescent="0.25">
      <c r="A696" t="s">
        <v>760</v>
      </c>
    </row>
    <row r="697" spans="1:1" x14ac:dyDescent="0.25">
      <c r="A697" t="s">
        <v>761</v>
      </c>
    </row>
    <row r="698" spans="1:1" x14ac:dyDescent="0.25">
      <c r="A698" t="s">
        <v>762</v>
      </c>
    </row>
    <row r="699" spans="1:1" x14ac:dyDescent="0.25">
      <c r="A699" t="s">
        <v>763</v>
      </c>
    </row>
    <row r="700" spans="1:1" x14ac:dyDescent="0.25">
      <c r="A700" t="s">
        <v>764</v>
      </c>
    </row>
    <row r="701" spans="1:1" x14ac:dyDescent="0.25">
      <c r="A701" t="s">
        <v>765</v>
      </c>
    </row>
    <row r="702" spans="1:1" x14ac:dyDescent="0.25">
      <c r="A702" t="s">
        <v>766</v>
      </c>
    </row>
    <row r="703" spans="1:1" x14ac:dyDescent="0.25">
      <c r="A703" t="s">
        <v>767</v>
      </c>
    </row>
    <row r="704" spans="1:1" x14ac:dyDescent="0.25">
      <c r="A704" t="s">
        <v>768</v>
      </c>
    </row>
    <row r="705" spans="1:1" x14ac:dyDescent="0.25">
      <c r="A705" t="s">
        <v>769</v>
      </c>
    </row>
    <row r="706" spans="1:1" x14ac:dyDescent="0.25">
      <c r="A706" t="s">
        <v>770</v>
      </c>
    </row>
    <row r="707" spans="1:1" x14ac:dyDescent="0.25">
      <c r="A707" t="s">
        <v>771</v>
      </c>
    </row>
    <row r="708" spans="1:1" x14ac:dyDescent="0.25">
      <c r="A708" t="s">
        <v>772</v>
      </c>
    </row>
    <row r="709" spans="1:1" x14ac:dyDescent="0.25">
      <c r="A709" t="s">
        <v>773</v>
      </c>
    </row>
    <row r="710" spans="1:1" x14ac:dyDescent="0.25">
      <c r="A710" t="s">
        <v>774</v>
      </c>
    </row>
    <row r="711" spans="1:1" x14ac:dyDescent="0.25">
      <c r="A711" t="s">
        <v>775</v>
      </c>
    </row>
    <row r="712" spans="1:1" x14ac:dyDescent="0.25">
      <c r="A712" t="s">
        <v>776</v>
      </c>
    </row>
    <row r="713" spans="1:1" x14ac:dyDescent="0.25">
      <c r="A713" t="s">
        <v>777</v>
      </c>
    </row>
    <row r="714" spans="1:1" x14ac:dyDescent="0.25">
      <c r="A714" t="s">
        <v>778</v>
      </c>
    </row>
    <row r="715" spans="1:1" x14ac:dyDescent="0.25">
      <c r="A715" t="s">
        <v>779</v>
      </c>
    </row>
    <row r="716" spans="1:1" x14ac:dyDescent="0.25">
      <c r="A716" t="s">
        <v>780</v>
      </c>
    </row>
    <row r="717" spans="1:1" x14ac:dyDescent="0.25">
      <c r="A717" t="s">
        <v>781</v>
      </c>
    </row>
    <row r="718" spans="1:1" x14ac:dyDescent="0.25">
      <c r="A718" t="s">
        <v>782</v>
      </c>
    </row>
    <row r="719" spans="1:1" x14ac:dyDescent="0.25">
      <c r="A719" t="s">
        <v>783</v>
      </c>
    </row>
    <row r="720" spans="1:1" x14ac:dyDescent="0.25">
      <c r="A720" t="s">
        <v>784</v>
      </c>
    </row>
    <row r="721" spans="1:1" x14ac:dyDescent="0.25">
      <c r="A721" t="s">
        <v>785</v>
      </c>
    </row>
    <row r="722" spans="1:1" x14ac:dyDescent="0.25">
      <c r="A722" t="s">
        <v>786</v>
      </c>
    </row>
    <row r="723" spans="1:1" x14ac:dyDescent="0.25">
      <c r="A723" t="s">
        <v>787</v>
      </c>
    </row>
    <row r="724" spans="1:1" x14ac:dyDescent="0.25">
      <c r="A724" t="s">
        <v>788</v>
      </c>
    </row>
    <row r="725" spans="1:1" x14ac:dyDescent="0.25">
      <c r="A725" t="s">
        <v>789</v>
      </c>
    </row>
    <row r="726" spans="1:1" x14ac:dyDescent="0.25">
      <c r="A726" t="s">
        <v>790</v>
      </c>
    </row>
    <row r="727" spans="1:1" x14ac:dyDescent="0.25">
      <c r="A727" t="s">
        <v>791</v>
      </c>
    </row>
    <row r="728" spans="1:1" x14ac:dyDescent="0.25">
      <c r="A728" t="s">
        <v>792</v>
      </c>
    </row>
    <row r="729" spans="1:1" x14ac:dyDescent="0.25">
      <c r="A729" t="s">
        <v>793</v>
      </c>
    </row>
    <row r="730" spans="1:1" x14ac:dyDescent="0.25">
      <c r="A730" t="s">
        <v>794</v>
      </c>
    </row>
    <row r="731" spans="1:1" x14ac:dyDescent="0.25">
      <c r="A731" t="s">
        <v>795</v>
      </c>
    </row>
    <row r="732" spans="1:1" x14ac:dyDescent="0.25">
      <c r="A732" t="s">
        <v>796</v>
      </c>
    </row>
    <row r="733" spans="1:1" x14ac:dyDescent="0.25">
      <c r="A733" t="s">
        <v>797</v>
      </c>
    </row>
    <row r="734" spans="1:1" x14ac:dyDescent="0.25">
      <c r="A734" t="s">
        <v>798</v>
      </c>
    </row>
    <row r="735" spans="1:1" x14ac:dyDescent="0.25">
      <c r="A735" t="s">
        <v>799</v>
      </c>
    </row>
    <row r="736" spans="1:1" x14ac:dyDescent="0.25">
      <c r="A736" t="s">
        <v>800</v>
      </c>
    </row>
    <row r="737" spans="1:1" x14ac:dyDescent="0.25">
      <c r="A737" t="s">
        <v>801</v>
      </c>
    </row>
    <row r="738" spans="1:1" x14ac:dyDescent="0.25">
      <c r="A738" t="s">
        <v>802</v>
      </c>
    </row>
    <row r="739" spans="1:1" x14ac:dyDescent="0.25">
      <c r="A739" t="s">
        <v>803</v>
      </c>
    </row>
    <row r="740" spans="1:1" x14ac:dyDescent="0.25">
      <c r="A740" t="s">
        <v>804</v>
      </c>
    </row>
    <row r="741" spans="1:1" x14ac:dyDescent="0.25">
      <c r="A741" t="s">
        <v>805</v>
      </c>
    </row>
    <row r="742" spans="1:1" x14ac:dyDescent="0.25">
      <c r="A742" t="s">
        <v>806</v>
      </c>
    </row>
    <row r="743" spans="1:1" x14ac:dyDescent="0.25">
      <c r="A743" t="s">
        <v>807</v>
      </c>
    </row>
    <row r="744" spans="1:1" x14ac:dyDescent="0.25">
      <c r="A744" t="s">
        <v>808</v>
      </c>
    </row>
    <row r="745" spans="1:1" x14ac:dyDescent="0.25">
      <c r="A745" t="s">
        <v>809</v>
      </c>
    </row>
    <row r="746" spans="1:1" x14ac:dyDescent="0.25">
      <c r="A746" t="s">
        <v>810</v>
      </c>
    </row>
    <row r="747" spans="1:1" x14ac:dyDescent="0.25">
      <c r="A747" t="s">
        <v>811</v>
      </c>
    </row>
    <row r="748" spans="1:1" x14ac:dyDescent="0.25">
      <c r="A748" t="s">
        <v>812</v>
      </c>
    </row>
    <row r="749" spans="1:1" x14ac:dyDescent="0.25">
      <c r="A749" t="s">
        <v>813</v>
      </c>
    </row>
    <row r="750" spans="1:1" x14ac:dyDescent="0.25">
      <c r="A750" t="s">
        <v>814</v>
      </c>
    </row>
    <row r="751" spans="1:1" x14ac:dyDescent="0.25">
      <c r="A751" t="s">
        <v>815</v>
      </c>
    </row>
    <row r="752" spans="1:1" x14ac:dyDescent="0.25">
      <c r="A752" t="s">
        <v>816</v>
      </c>
    </row>
    <row r="753" spans="1:1" x14ac:dyDescent="0.25">
      <c r="A753" t="s">
        <v>817</v>
      </c>
    </row>
    <row r="754" spans="1:1" x14ac:dyDescent="0.25">
      <c r="A754" t="s">
        <v>818</v>
      </c>
    </row>
    <row r="755" spans="1:1" x14ac:dyDescent="0.25">
      <c r="A755" t="s">
        <v>819</v>
      </c>
    </row>
    <row r="756" spans="1:1" x14ac:dyDescent="0.25">
      <c r="A756" t="s">
        <v>820</v>
      </c>
    </row>
    <row r="757" spans="1:1" x14ac:dyDescent="0.25">
      <c r="A757" t="s">
        <v>821</v>
      </c>
    </row>
    <row r="758" spans="1:1" x14ac:dyDescent="0.25">
      <c r="A758" t="s">
        <v>822</v>
      </c>
    </row>
    <row r="759" spans="1:1" x14ac:dyDescent="0.25">
      <c r="A759" t="s">
        <v>823</v>
      </c>
    </row>
    <row r="760" spans="1:1" x14ac:dyDescent="0.25">
      <c r="A760" t="s">
        <v>824</v>
      </c>
    </row>
    <row r="761" spans="1:1" x14ac:dyDescent="0.25">
      <c r="A761" t="s">
        <v>825</v>
      </c>
    </row>
    <row r="762" spans="1:1" x14ac:dyDescent="0.25">
      <c r="A762" t="s">
        <v>826</v>
      </c>
    </row>
    <row r="763" spans="1:1" x14ac:dyDescent="0.25">
      <c r="A763" t="s">
        <v>827</v>
      </c>
    </row>
    <row r="764" spans="1:1" x14ac:dyDescent="0.25">
      <c r="A764" t="s">
        <v>828</v>
      </c>
    </row>
    <row r="765" spans="1:1" x14ac:dyDescent="0.25">
      <c r="A765" t="s">
        <v>829</v>
      </c>
    </row>
    <row r="766" spans="1:1" x14ac:dyDescent="0.25">
      <c r="A766" t="s">
        <v>830</v>
      </c>
    </row>
    <row r="767" spans="1:1" x14ac:dyDescent="0.25">
      <c r="A767" t="s">
        <v>831</v>
      </c>
    </row>
    <row r="768" spans="1:1" x14ac:dyDescent="0.25">
      <c r="A768" t="s">
        <v>832</v>
      </c>
    </row>
    <row r="769" spans="1:1" x14ac:dyDescent="0.25">
      <c r="A769" t="s">
        <v>833</v>
      </c>
    </row>
    <row r="770" spans="1:1" x14ac:dyDescent="0.25">
      <c r="A770" t="s">
        <v>834</v>
      </c>
    </row>
    <row r="771" spans="1:1" x14ac:dyDescent="0.25">
      <c r="A771" t="s">
        <v>835</v>
      </c>
    </row>
    <row r="772" spans="1:1" x14ac:dyDescent="0.25">
      <c r="A772" t="s">
        <v>836</v>
      </c>
    </row>
    <row r="773" spans="1:1" x14ac:dyDescent="0.25">
      <c r="A773" t="s">
        <v>837</v>
      </c>
    </row>
    <row r="774" spans="1:1" x14ac:dyDescent="0.25">
      <c r="A774" t="s">
        <v>838</v>
      </c>
    </row>
    <row r="775" spans="1:1" x14ac:dyDescent="0.25">
      <c r="A775" t="s">
        <v>839</v>
      </c>
    </row>
    <row r="776" spans="1:1" x14ac:dyDescent="0.25">
      <c r="A776" t="s">
        <v>840</v>
      </c>
    </row>
    <row r="777" spans="1:1" x14ac:dyDescent="0.25">
      <c r="A777" t="s">
        <v>841</v>
      </c>
    </row>
    <row r="778" spans="1:1" x14ac:dyDescent="0.25">
      <c r="A778" t="s">
        <v>842</v>
      </c>
    </row>
    <row r="779" spans="1:1" x14ac:dyDescent="0.25">
      <c r="A779" t="s">
        <v>843</v>
      </c>
    </row>
    <row r="780" spans="1:1" x14ac:dyDescent="0.25">
      <c r="A780" t="s">
        <v>844</v>
      </c>
    </row>
    <row r="781" spans="1:1" x14ac:dyDescent="0.25">
      <c r="A781" t="s">
        <v>845</v>
      </c>
    </row>
    <row r="782" spans="1:1" x14ac:dyDescent="0.25">
      <c r="A782" t="s">
        <v>846</v>
      </c>
    </row>
    <row r="783" spans="1:1" x14ac:dyDescent="0.25">
      <c r="A783" t="s">
        <v>847</v>
      </c>
    </row>
    <row r="784" spans="1:1" x14ac:dyDescent="0.25">
      <c r="A784" t="s">
        <v>848</v>
      </c>
    </row>
    <row r="785" spans="1:1" x14ac:dyDescent="0.25">
      <c r="A785" t="s">
        <v>849</v>
      </c>
    </row>
    <row r="786" spans="1:1" x14ac:dyDescent="0.25">
      <c r="A786" t="s">
        <v>850</v>
      </c>
    </row>
    <row r="787" spans="1:1" x14ac:dyDescent="0.25">
      <c r="A787" t="s">
        <v>851</v>
      </c>
    </row>
    <row r="788" spans="1:1" x14ac:dyDescent="0.25">
      <c r="A788" t="s">
        <v>852</v>
      </c>
    </row>
    <row r="789" spans="1:1" x14ac:dyDescent="0.25">
      <c r="A789" t="s">
        <v>853</v>
      </c>
    </row>
    <row r="790" spans="1:1" x14ac:dyDescent="0.25">
      <c r="A790" t="s">
        <v>854</v>
      </c>
    </row>
    <row r="791" spans="1:1" x14ac:dyDescent="0.25">
      <c r="A791" t="s">
        <v>855</v>
      </c>
    </row>
    <row r="792" spans="1:1" x14ac:dyDescent="0.25">
      <c r="A792" t="s">
        <v>856</v>
      </c>
    </row>
    <row r="793" spans="1:1" x14ac:dyDescent="0.25">
      <c r="A793" t="s">
        <v>857</v>
      </c>
    </row>
    <row r="794" spans="1:1" x14ac:dyDescent="0.25">
      <c r="A794" t="s">
        <v>858</v>
      </c>
    </row>
    <row r="795" spans="1:1" x14ac:dyDescent="0.25">
      <c r="A795" t="s">
        <v>859</v>
      </c>
    </row>
    <row r="796" spans="1:1" x14ac:dyDescent="0.25">
      <c r="A796" t="s">
        <v>860</v>
      </c>
    </row>
    <row r="797" spans="1:1" x14ac:dyDescent="0.25">
      <c r="A797" t="s">
        <v>861</v>
      </c>
    </row>
    <row r="798" spans="1:1" x14ac:dyDescent="0.25">
      <c r="A798" t="s">
        <v>862</v>
      </c>
    </row>
    <row r="799" spans="1:1" x14ac:dyDescent="0.25">
      <c r="A799" t="s">
        <v>863</v>
      </c>
    </row>
    <row r="800" spans="1:1" x14ac:dyDescent="0.25">
      <c r="A800" t="s">
        <v>864</v>
      </c>
    </row>
    <row r="801" spans="1:1" x14ac:dyDescent="0.25">
      <c r="A801" t="s">
        <v>865</v>
      </c>
    </row>
    <row r="802" spans="1:1" x14ac:dyDescent="0.25">
      <c r="A802" t="s">
        <v>866</v>
      </c>
    </row>
    <row r="803" spans="1:1" x14ac:dyDescent="0.25">
      <c r="A803" t="s">
        <v>867</v>
      </c>
    </row>
    <row r="804" spans="1:1" x14ac:dyDescent="0.25">
      <c r="A804" t="s">
        <v>868</v>
      </c>
    </row>
    <row r="805" spans="1:1" x14ac:dyDescent="0.25">
      <c r="A805" t="s">
        <v>869</v>
      </c>
    </row>
    <row r="806" spans="1:1" x14ac:dyDescent="0.25">
      <c r="A806" t="s">
        <v>870</v>
      </c>
    </row>
    <row r="807" spans="1:1" x14ac:dyDescent="0.25">
      <c r="A807" t="s">
        <v>871</v>
      </c>
    </row>
    <row r="808" spans="1:1" x14ac:dyDescent="0.25">
      <c r="A808" t="s">
        <v>872</v>
      </c>
    </row>
    <row r="809" spans="1:1" x14ac:dyDescent="0.25">
      <c r="A809" t="s">
        <v>873</v>
      </c>
    </row>
    <row r="810" spans="1:1" x14ac:dyDescent="0.25">
      <c r="A810" t="s">
        <v>874</v>
      </c>
    </row>
    <row r="811" spans="1:1" x14ac:dyDescent="0.25">
      <c r="A811" t="s">
        <v>875</v>
      </c>
    </row>
    <row r="812" spans="1:1" x14ac:dyDescent="0.25">
      <c r="A812" t="s">
        <v>876</v>
      </c>
    </row>
    <row r="813" spans="1:1" x14ac:dyDescent="0.25">
      <c r="A813" t="s">
        <v>877</v>
      </c>
    </row>
    <row r="814" spans="1:1" x14ac:dyDescent="0.25">
      <c r="A814" t="s">
        <v>878</v>
      </c>
    </row>
    <row r="815" spans="1:1" x14ac:dyDescent="0.25">
      <c r="A815" t="s">
        <v>879</v>
      </c>
    </row>
    <row r="816" spans="1:1" x14ac:dyDescent="0.25">
      <c r="A816" t="s">
        <v>880</v>
      </c>
    </row>
    <row r="817" spans="1:1" x14ac:dyDescent="0.25">
      <c r="A817" t="s">
        <v>881</v>
      </c>
    </row>
    <row r="818" spans="1:1" x14ac:dyDescent="0.25">
      <c r="A818" t="s">
        <v>882</v>
      </c>
    </row>
    <row r="819" spans="1:1" x14ac:dyDescent="0.25">
      <c r="A819" t="s">
        <v>883</v>
      </c>
    </row>
    <row r="820" spans="1:1" x14ac:dyDescent="0.25">
      <c r="A820" t="s">
        <v>884</v>
      </c>
    </row>
    <row r="821" spans="1:1" x14ac:dyDescent="0.25">
      <c r="A821" t="s">
        <v>885</v>
      </c>
    </row>
    <row r="822" spans="1:1" x14ac:dyDescent="0.25">
      <c r="A822" t="s">
        <v>886</v>
      </c>
    </row>
    <row r="823" spans="1:1" x14ac:dyDescent="0.25">
      <c r="A823" t="s">
        <v>887</v>
      </c>
    </row>
    <row r="824" spans="1:1" x14ac:dyDescent="0.25">
      <c r="A824" t="s">
        <v>888</v>
      </c>
    </row>
    <row r="825" spans="1:1" x14ac:dyDescent="0.25">
      <c r="A825" t="s">
        <v>889</v>
      </c>
    </row>
    <row r="826" spans="1:1" x14ac:dyDescent="0.25">
      <c r="A826" t="s">
        <v>890</v>
      </c>
    </row>
    <row r="827" spans="1:1" x14ac:dyDescent="0.25">
      <c r="A827" t="s">
        <v>891</v>
      </c>
    </row>
    <row r="828" spans="1:1" x14ac:dyDescent="0.25">
      <c r="A828" t="s">
        <v>892</v>
      </c>
    </row>
    <row r="829" spans="1:1" x14ac:dyDescent="0.25">
      <c r="A829" t="s">
        <v>893</v>
      </c>
    </row>
    <row r="830" spans="1:1" x14ac:dyDescent="0.25">
      <c r="A830" t="s">
        <v>894</v>
      </c>
    </row>
    <row r="831" spans="1:1" x14ac:dyDescent="0.25">
      <c r="A831" t="s">
        <v>895</v>
      </c>
    </row>
    <row r="832" spans="1:1" x14ac:dyDescent="0.25">
      <c r="A832" t="s">
        <v>896</v>
      </c>
    </row>
    <row r="833" spans="1:1" x14ac:dyDescent="0.25">
      <c r="A833" t="s">
        <v>897</v>
      </c>
    </row>
    <row r="834" spans="1:1" x14ac:dyDescent="0.25">
      <c r="A834" t="s">
        <v>898</v>
      </c>
    </row>
    <row r="835" spans="1:1" x14ac:dyDescent="0.25">
      <c r="A835" t="s">
        <v>899</v>
      </c>
    </row>
    <row r="836" spans="1:1" x14ac:dyDescent="0.25">
      <c r="A836" t="s">
        <v>900</v>
      </c>
    </row>
    <row r="837" spans="1:1" x14ac:dyDescent="0.25">
      <c r="A837" t="s">
        <v>901</v>
      </c>
    </row>
    <row r="838" spans="1:1" x14ac:dyDescent="0.25">
      <c r="A838" t="s">
        <v>902</v>
      </c>
    </row>
    <row r="839" spans="1:1" x14ac:dyDescent="0.25">
      <c r="A839" t="s">
        <v>903</v>
      </c>
    </row>
    <row r="840" spans="1:1" x14ac:dyDescent="0.25">
      <c r="A840" t="s">
        <v>904</v>
      </c>
    </row>
    <row r="841" spans="1:1" x14ac:dyDescent="0.25">
      <c r="A841" t="s">
        <v>905</v>
      </c>
    </row>
    <row r="842" spans="1:1" x14ac:dyDescent="0.25">
      <c r="A842" t="s">
        <v>906</v>
      </c>
    </row>
    <row r="843" spans="1:1" x14ac:dyDescent="0.25">
      <c r="A843" t="s">
        <v>907</v>
      </c>
    </row>
    <row r="844" spans="1:1" x14ac:dyDescent="0.25">
      <c r="A844" t="s">
        <v>908</v>
      </c>
    </row>
    <row r="845" spans="1:1" x14ac:dyDescent="0.25">
      <c r="A845" t="s">
        <v>909</v>
      </c>
    </row>
    <row r="846" spans="1:1" x14ac:dyDescent="0.25">
      <c r="A846" t="s">
        <v>910</v>
      </c>
    </row>
    <row r="847" spans="1:1" x14ac:dyDescent="0.25">
      <c r="A847" t="s">
        <v>911</v>
      </c>
    </row>
    <row r="848" spans="1:1" x14ac:dyDescent="0.25">
      <c r="A848" t="s">
        <v>912</v>
      </c>
    </row>
    <row r="849" spans="1:1" x14ac:dyDescent="0.25">
      <c r="A849" t="s">
        <v>913</v>
      </c>
    </row>
    <row r="850" spans="1:1" x14ac:dyDescent="0.25">
      <c r="A850" t="s">
        <v>914</v>
      </c>
    </row>
    <row r="851" spans="1:1" x14ac:dyDescent="0.25">
      <c r="A851" t="s">
        <v>915</v>
      </c>
    </row>
    <row r="852" spans="1:1" x14ac:dyDescent="0.25">
      <c r="A852" t="s">
        <v>916</v>
      </c>
    </row>
    <row r="853" spans="1:1" x14ac:dyDescent="0.25">
      <c r="A853" t="s">
        <v>917</v>
      </c>
    </row>
    <row r="854" spans="1:1" x14ac:dyDescent="0.25">
      <c r="A854" t="s">
        <v>918</v>
      </c>
    </row>
    <row r="855" spans="1:1" x14ac:dyDescent="0.25">
      <c r="A855" t="s">
        <v>919</v>
      </c>
    </row>
    <row r="856" spans="1:1" x14ac:dyDescent="0.25">
      <c r="A856" t="s">
        <v>920</v>
      </c>
    </row>
    <row r="857" spans="1:1" x14ac:dyDescent="0.25">
      <c r="A857" t="s">
        <v>921</v>
      </c>
    </row>
    <row r="858" spans="1:1" x14ac:dyDescent="0.25">
      <c r="A858" t="s">
        <v>922</v>
      </c>
    </row>
    <row r="859" spans="1:1" x14ac:dyDescent="0.25">
      <c r="A859" t="s">
        <v>923</v>
      </c>
    </row>
    <row r="860" spans="1:1" x14ac:dyDescent="0.25">
      <c r="A860" t="s">
        <v>924</v>
      </c>
    </row>
    <row r="861" spans="1:1" x14ac:dyDescent="0.25">
      <c r="A861" t="s">
        <v>925</v>
      </c>
    </row>
    <row r="862" spans="1:1" x14ac:dyDescent="0.25">
      <c r="A862" t="s">
        <v>926</v>
      </c>
    </row>
    <row r="863" spans="1:1" x14ac:dyDescent="0.25">
      <c r="A863" t="s">
        <v>927</v>
      </c>
    </row>
    <row r="864" spans="1:1" x14ac:dyDescent="0.25">
      <c r="A864" t="s">
        <v>928</v>
      </c>
    </row>
    <row r="865" spans="1:1" x14ac:dyDescent="0.25">
      <c r="A865" t="s">
        <v>929</v>
      </c>
    </row>
    <row r="866" spans="1:1" x14ac:dyDescent="0.25">
      <c r="A866" t="s">
        <v>930</v>
      </c>
    </row>
    <row r="867" spans="1:1" x14ac:dyDescent="0.25">
      <c r="A867" t="s">
        <v>931</v>
      </c>
    </row>
    <row r="868" spans="1:1" x14ac:dyDescent="0.25">
      <c r="A868" t="s">
        <v>932</v>
      </c>
    </row>
    <row r="869" spans="1:1" x14ac:dyDescent="0.25">
      <c r="A869" t="s">
        <v>933</v>
      </c>
    </row>
    <row r="870" spans="1:1" x14ac:dyDescent="0.25">
      <c r="A870" t="s">
        <v>934</v>
      </c>
    </row>
    <row r="871" spans="1:1" x14ac:dyDescent="0.25">
      <c r="A871" t="s">
        <v>935</v>
      </c>
    </row>
    <row r="872" spans="1:1" x14ac:dyDescent="0.25">
      <c r="A872" t="s">
        <v>936</v>
      </c>
    </row>
    <row r="873" spans="1:1" x14ac:dyDescent="0.25">
      <c r="A873" t="s">
        <v>937</v>
      </c>
    </row>
    <row r="874" spans="1:1" x14ac:dyDescent="0.25">
      <c r="A874" t="s">
        <v>938</v>
      </c>
    </row>
    <row r="875" spans="1:1" x14ac:dyDescent="0.25">
      <c r="A875" t="s">
        <v>939</v>
      </c>
    </row>
    <row r="876" spans="1:1" x14ac:dyDescent="0.25">
      <c r="A876" t="s">
        <v>940</v>
      </c>
    </row>
    <row r="877" spans="1:1" x14ac:dyDescent="0.25">
      <c r="A877" t="s">
        <v>941</v>
      </c>
    </row>
    <row r="878" spans="1:1" x14ac:dyDescent="0.25">
      <c r="A878" t="s">
        <v>942</v>
      </c>
    </row>
    <row r="879" spans="1:1" x14ac:dyDescent="0.25">
      <c r="A879" t="s">
        <v>943</v>
      </c>
    </row>
    <row r="880" spans="1:1" x14ac:dyDescent="0.25">
      <c r="A880" t="s">
        <v>944</v>
      </c>
    </row>
    <row r="881" spans="1:1" x14ac:dyDescent="0.25">
      <c r="A881" t="s">
        <v>945</v>
      </c>
    </row>
    <row r="882" spans="1:1" x14ac:dyDescent="0.25">
      <c r="A882" t="s">
        <v>946</v>
      </c>
    </row>
    <row r="883" spans="1:1" x14ac:dyDescent="0.25">
      <c r="A883" t="s">
        <v>947</v>
      </c>
    </row>
    <row r="884" spans="1:1" x14ac:dyDescent="0.25">
      <c r="A884" t="s">
        <v>948</v>
      </c>
    </row>
    <row r="885" spans="1:1" x14ac:dyDescent="0.25">
      <c r="A885" t="s">
        <v>949</v>
      </c>
    </row>
    <row r="886" spans="1:1" x14ac:dyDescent="0.25">
      <c r="A886" t="s">
        <v>950</v>
      </c>
    </row>
    <row r="887" spans="1:1" x14ac:dyDescent="0.25">
      <c r="A887" t="s">
        <v>951</v>
      </c>
    </row>
    <row r="888" spans="1:1" x14ac:dyDescent="0.25">
      <c r="A888" t="s">
        <v>952</v>
      </c>
    </row>
    <row r="889" spans="1:1" x14ac:dyDescent="0.25">
      <c r="A889" t="s">
        <v>953</v>
      </c>
    </row>
    <row r="890" spans="1:1" x14ac:dyDescent="0.25">
      <c r="A890" t="s">
        <v>954</v>
      </c>
    </row>
    <row r="891" spans="1:1" x14ac:dyDescent="0.25">
      <c r="A891" t="s">
        <v>955</v>
      </c>
    </row>
    <row r="892" spans="1:1" x14ac:dyDescent="0.25">
      <c r="A892" t="s">
        <v>956</v>
      </c>
    </row>
    <row r="893" spans="1:1" x14ac:dyDescent="0.25">
      <c r="A893" t="s">
        <v>957</v>
      </c>
    </row>
    <row r="894" spans="1:1" x14ac:dyDescent="0.25">
      <c r="A894" t="s">
        <v>958</v>
      </c>
    </row>
    <row r="895" spans="1:1" x14ac:dyDescent="0.25">
      <c r="A895" t="s">
        <v>959</v>
      </c>
    </row>
    <row r="896" spans="1:1" x14ac:dyDescent="0.25">
      <c r="A896" t="s">
        <v>960</v>
      </c>
    </row>
    <row r="897" spans="1:1" x14ac:dyDescent="0.25">
      <c r="A897" t="s">
        <v>961</v>
      </c>
    </row>
    <row r="898" spans="1:1" x14ac:dyDescent="0.25">
      <c r="A898" t="s">
        <v>962</v>
      </c>
    </row>
    <row r="899" spans="1:1" x14ac:dyDescent="0.25">
      <c r="A899" t="s">
        <v>963</v>
      </c>
    </row>
    <row r="900" spans="1:1" x14ac:dyDescent="0.25">
      <c r="A900" t="s">
        <v>964</v>
      </c>
    </row>
    <row r="901" spans="1:1" x14ac:dyDescent="0.25">
      <c r="A901" t="s">
        <v>965</v>
      </c>
    </row>
    <row r="902" spans="1:1" x14ac:dyDescent="0.25">
      <c r="A902" t="s">
        <v>966</v>
      </c>
    </row>
    <row r="903" spans="1:1" x14ac:dyDescent="0.25">
      <c r="A903" t="s">
        <v>967</v>
      </c>
    </row>
    <row r="904" spans="1:1" x14ac:dyDescent="0.25">
      <c r="A904" t="s">
        <v>968</v>
      </c>
    </row>
    <row r="905" spans="1:1" x14ac:dyDescent="0.25">
      <c r="A905" t="s">
        <v>969</v>
      </c>
    </row>
    <row r="906" spans="1:1" x14ac:dyDescent="0.25">
      <c r="A906" t="s">
        <v>970</v>
      </c>
    </row>
    <row r="907" spans="1:1" x14ac:dyDescent="0.25">
      <c r="A907" t="s">
        <v>971</v>
      </c>
    </row>
    <row r="908" spans="1:1" x14ac:dyDescent="0.25">
      <c r="A908" t="s">
        <v>972</v>
      </c>
    </row>
    <row r="909" spans="1:1" x14ac:dyDescent="0.25">
      <c r="A909" t="s">
        <v>973</v>
      </c>
    </row>
    <row r="910" spans="1:1" x14ac:dyDescent="0.25">
      <c r="A910" t="s">
        <v>974</v>
      </c>
    </row>
    <row r="911" spans="1:1" x14ac:dyDescent="0.25">
      <c r="A911" t="s">
        <v>975</v>
      </c>
    </row>
    <row r="912" spans="1:1" x14ac:dyDescent="0.25">
      <c r="A912" t="s">
        <v>976</v>
      </c>
    </row>
    <row r="913" spans="1:1" x14ac:dyDescent="0.25">
      <c r="A913" t="s">
        <v>977</v>
      </c>
    </row>
    <row r="914" spans="1:1" x14ac:dyDescent="0.25">
      <c r="A914" t="s">
        <v>978</v>
      </c>
    </row>
    <row r="915" spans="1:1" x14ac:dyDescent="0.25">
      <c r="A915" t="s">
        <v>979</v>
      </c>
    </row>
    <row r="916" spans="1:1" x14ac:dyDescent="0.25">
      <c r="A916" t="s">
        <v>980</v>
      </c>
    </row>
    <row r="917" spans="1:1" x14ac:dyDescent="0.25">
      <c r="A917" t="s">
        <v>981</v>
      </c>
    </row>
    <row r="918" spans="1:1" x14ac:dyDescent="0.25">
      <c r="A918" t="s">
        <v>982</v>
      </c>
    </row>
    <row r="919" spans="1:1" x14ac:dyDescent="0.25">
      <c r="A919" t="s">
        <v>983</v>
      </c>
    </row>
    <row r="920" spans="1:1" x14ac:dyDescent="0.25">
      <c r="A920" t="s">
        <v>984</v>
      </c>
    </row>
    <row r="921" spans="1:1" x14ac:dyDescent="0.25">
      <c r="A921" t="s">
        <v>985</v>
      </c>
    </row>
    <row r="922" spans="1:1" x14ac:dyDescent="0.25">
      <c r="A922" t="s">
        <v>986</v>
      </c>
    </row>
    <row r="923" spans="1:1" x14ac:dyDescent="0.25">
      <c r="A923" t="s">
        <v>987</v>
      </c>
    </row>
    <row r="924" spans="1:1" x14ac:dyDescent="0.25">
      <c r="A924" t="s">
        <v>988</v>
      </c>
    </row>
    <row r="925" spans="1:1" x14ac:dyDescent="0.25">
      <c r="A925" t="s">
        <v>989</v>
      </c>
    </row>
    <row r="926" spans="1:1" x14ac:dyDescent="0.25">
      <c r="A926" t="s">
        <v>990</v>
      </c>
    </row>
    <row r="927" spans="1:1" x14ac:dyDescent="0.25">
      <c r="A927" t="s">
        <v>991</v>
      </c>
    </row>
    <row r="928" spans="1:1" x14ac:dyDescent="0.25">
      <c r="A928" t="s">
        <v>992</v>
      </c>
    </row>
    <row r="929" spans="1:1" x14ac:dyDescent="0.25">
      <c r="A929" t="s">
        <v>993</v>
      </c>
    </row>
    <row r="930" spans="1:1" x14ac:dyDescent="0.25">
      <c r="A930" t="s">
        <v>994</v>
      </c>
    </row>
    <row r="931" spans="1:1" x14ac:dyDescent="0.25">
      <c r="A931" t="s">
        <v>995</v>
      </c>
    </row>
    <row r="932" spans="1:1" x14ac:dyDescent="0.25">
      <c r="A932" t="s">
        <v>996</v>
      </c>
    </row>
    <row r="933" spans="1:1" x14ac:dyDescent="0.25">
      <c r="A933" t="s">
        <v>997</v>
      </c>
    </row>
    <row r="934" spans="1:1" x14ac:dyDescent="0.25">
      <c r="A934" t="s">
        <v>998</v>
      </c>
    </row>
    <row r="935" spans="1:1" x14ac:dyDescent="0.25">
      <c r="A935" t="s">
        <v>999</v>
      </c>
    </row>
    <row r="936" spans="1:1" x14ac:dyDescent="0.25">
      <c r="A936" t="s">
        <v>1000</v>
      </c>
    </row>
    <row r="937" spans="1:1" x14ac:dyDescent="0.25">
      <c r="A937" t="s">
        <v>1001</v>
      </c>
    </row>
    <row r="938" spans="1:1" x14ac:dyDescent="0.25">
      <c r="A938" t="s">
        <v>1002</v>
      </c>
    </row>
    <row r="939" spans="1:1" x14ac:dyDescent="0.25">
      <c r="A939" t="s">
        <v>1003</v>
      </c>
    </row>
    <row r="940" spans="1:1" x14ac:dyDescent="0.25">
      <c r="A940" t="s">
        <v>1004</v>
      </c>
    </row>
    <row r="941" spans="1:1" x14ac:dyDescent="0.25">
      <c r="A941" t="s">
        <v>1005</v>
      </c>
    </row>
    <row r="942" spans="1:1" x14ac:dyDescent="0.25">
      <c r="A942" t="s">
        <v>1006</v>
      </c>
    </row>
    <row r="943" spans="1:1" x14ac:dyDescent="0.25">
      <c r="A943" t="s">
        <v>1007</v>
      </c>
    </row>
    <row r="944" spans="1:1" x14ac:dyDescent="0.25">
      <c r="A944" t="s">
        <v>1008</v>
      </c>
    </row>
    <row r="945" spans="1:1" x14ac:dyDescent="0.25">
      <c r="A945" t="s">
        <v>1009</v>
      </c>
    </row>
    <row r="946" spans="1:1" x14ac:dyDescent="0.25">
      <c r="A946" t="s">
        <v>1010</v>
      </c>
    </row>
    <row r="947" spans="1:1" x14ac:dyDescent="0.25">
      <c r="A947" t="s">
        <v>1011</v>
      </c>
    </row>
    <row r="948" spans="1:1" x14ac:dyDescent="0.25">
      <c r="A948" t="s">
        <v>1012</v>
      </c>
    </row>
    <row r="949" spans="1:1" x14ac:dyDescent="0.25">
      <c r="A949" t="s">
        <v>1013</v>
      </c>
    </row>
    <row r="950" spans="1:1" x14ac:dyDescent="0.25">
      <c r="A950" t="s">
        <v>1014</v>
      </c>
    </row>
    <row r="951" spans="1:1" x14ac:dyDescent="0.25">
      <c r="A951" t="s">
        <v>1015</v>
      </c>
    </row>
    <row r="952" spans="1:1" x14ac:dyDescent="0.25">
      <c r="A952" t="s">
        <v>1016</v>
      </c>
    </row>
    <row r="953" spans="1:1" x14ac:dyDescent="0.25">
      <c r="A953" t="s">
        <v>1017</v>
      </c>
    </row>
    <row r="954" spans="1:1" x14ac:dyDescent="0.25">
      <c r="A954" t="s">
        <v>1018</v>
      </c>
    </row>
    <row r="955" spans="1:1" x14ac:dyDescent="0.25">
      <c r="A955" t="s">
        <v>1019</v>
      </c>
    </row>
    <row r="956" spans="1:1" x14ac:dyDescent="0.25">
      <c r="A956" t="s">
        <v>1020</v>
      </c>
    </row>
    <row r="957" spans="1:1" x14ac:dyDescent="0.25">
      <c r="A957" t="s">
        <v>1021</v>
      </c>
    </row>
    <row r="958" spans="1:1" x14ac:dyDescent="0.25">
      <c r="A958" t="s">
        <v>1022</v>
      </c>
    </row>
    <row r="959" spans="1:1" x14ac:dyDescent="0.25">
      <c r="A959" t="s">
        <v>1023</v>
      </c>
    </row>
    <row r="960" spans="1:1" x14ac:dyDescent="0.25">
      <c r="A960" t="s">
        <v>1024</v>
      </c>
    </row>
    <row r="961" spans="1:1" x14ac:dyDescent="0.25">
      <c r="A961" t="s">
        <v>1025</v>
      </c>
    </row>
    <row r="962" spans="1:1" x14ac:dyDescent="0.25">
      <c r="A962" t="s">
        <v>1026</v>
      </c>
    </row>
    <row r="963" spans="1:1" x14ac:dyDescent="0.25">
      <c r="A963" t="s">
        <v>1027</v>
      </c>
    </row>
    <row r="964" spans="1:1" x14ac:dyDescent="0.25">
      <c r="A964" t="s">
        <v>1028</v>
      </c>
    </row>
    <row r="965" spans="1:1" x14ac:dyDescent="0.25">
      <c r="A965" t="s">
        <v>1029</v>
      </c>
    </row>
    <row r="966" spans="1:1" x14ac:dyDescent="0.25">
      <c r="A966" t="s">
        <v>1030</v>
      </c>
    </row>
    <row r="967" spans="1:1" x14ac:dyDescent="0.25">
      <c r="A967" t="s">
        <v>1031</v>
      </c>
    </row>
    <row r="968" spans="1:1" x14ac:dyDescent="0.25">
      <c r="A968" t="s">
        <v>1032</v>
      </c>
    </row>
    <row r="969" spans="1:1" x14ac:dyDescent="0.25">
      <c r="A969" t="s">
        <v>1033</v>
      </c>
    </row>
    <row r="970" spans="1:1" x14ac:dyDescent="0.25">
      <c r="A970" t="s">
        <v>1034</v>
      </c>
    </row>
    <row r="971" spans="1:1" x14ac:dyDescent="0.25">
      <c r="A971" t="s">
        <v>1035</v>
      </c>
    </row>
    <row r="972" spans="1:1" x14ac:dyDescent="0.25">
      <c r="A972" t="s">
        <v>1036</v>
      </c>
    </row>
    <row r="973" spans="1:1" x14ac:dyDescent="0.25">
      <c r="A973" t="s">
        <v>1037</v>
      </c>
    </row>
    <row r="974" spans="1:1" x14ac:dyDescent="0.25">
      <c r="A974" t="s">
        <v>1038</v>
      </c>
    </row>
    <row r="975" spans="1:1" x14ac:dyDescent="0.25">
      <c r="A975" t="s">
        <v>1039</v>
      </c>
    </row>
    <row r="976" spans="1:1" x14ac:dyDescent="0.25">
      <c r="A976" t="s">
        <v>1040</v>
      </c>
    </row>
    <row r="977" spans="1:1" x14ac:dyDescent="0.25">
      <c r="A977" t="s">
        <v>1041</v>
      </c>
    </row>
    <row r="978" spans="1:1" x14ac:dyDescent="0.25">
      <c r="A978" t="s">
        <v>1042</v>
      </c>
    </row>
    <row r="979" spans="1:1" x14ac:dyDescent="0.25">
      <c r="A979" t="s">
        <v>1043</v>
      </c>
    </row>
    <row r="980" spans="1:1" x14ac:dyDescent="0.25">
      <c r="A980" t="s">
        <v>1044</v>
      </c>
    </row>
    <row r="981" spans="1:1" x14ac:dyDescent="0.25">
      <c r="A981" t="s">
        <v>1045</v>
      </c>
    </row>
    <row r="982" spans="1:1" x14ac:dyDescent="0.25">
      <c r="A982" t="s">
        <v>1046</v>
      </c>
    </row>
    <row r="983" spans="1:1" x14ac:dyDescent="0.25">
      <c r="A983" t="s">
        <v>1047</v>
      </c>
    </row>
    <row r="984" spans="1:1" x14ac:dyDescent="0.25">
      <c r="A984" t="s">
        <v>1048</v>
      </c>
    </row>
    <row r="985" spans="1:1" x14ac:dyDescent="0.25">
      <c r="A985" t="s">
        <v>1049</v>
      </c>
    </row>
    <row r="986" spans="1:1" x14ac:dyDescent="0.25">
      <c r="A986" t="s">
        <v>1050</v>
      </c>
    </row>
    <row r="987" spans="1:1" x14ac:dyDescent="0.25">
      <c r="A987" t="s">
        <v>1051</v>
      </c>
    </row>
    <row r="988" spans="1:1" x14ac:dyDescent="0.25">
      <c r="A988" t="s">
        <v>1052</v>
      </c>
    </row>
    <row r="989" spans="1:1" x14ac:dyDescent="0.25">
      <c r="A989" t="s">
        <v>1053</v>
      </c>
    </row>
    <row r="990" spans="1:1" x14ac:dyDescent="0.25">
      <c r="A990" t="s">
        <v>1054</v>
      </c>
    </row>
    <row r="991" spans="1:1" x14ac:dyDescent="0.25">
      <c r="A991" t="s">
        <v>1055</v>
      </c>
    </row>
    <row r="992" spans="1:1" x14ac:dyDescent="0.25">
      <c r="A992" t="s">
        <v>1056</v>
      </c>
    </row>
    <row r="993" spans="1:1" x14ac:dyDescent="0.25">
      <c r="A993" t="s">
        <v>1057</v>
      </c>
    </row>
    <row r="994" spans="1:1" x14ac:dyDescent="0.25">
      <c r="A994" t="s">
        <v>1058</v>
      </c>
    </row>
    <row r="995" spans="1:1" x14ac:dyDescent="0.25">
      <c r="A995" t="s">
        <v>1059</v>
      </c>
    </row>
    <row r="996" spans="1:1" x14ac:dyDescent="0.25">
      <c r="A996" t="s">
        <v>1060</v>
      </c>
    </row>
    <row r="997" spans="1:1" x14ac:dyDescent="0.25">
      <c r="A997" t="s">
        <v>1061</v>
      </c>
    </row>
    <row r="998" spans="1:1" x14ac:dyDescent="0.25">
      <c r="A998" t="s">
        <v>1062</v>
      </c>
    </row>
    <row r="999" spans="1:1" x14ac:dyDescent="0.25">
      <c r="A999" t="s">
        <v>1063</v>
      </c>
    </row>
    <row r="1000" spans="1:1" x14ac:dyDescent="0.25">
      <c r="A1000" t="s">
        <v>1064</v>
      </c>
    </row>
    <row r="1001" spans="1:1" x14ac:dyDescent="0.25">
      <c r="A1001" t="s">
        <v>1065</v>
      </c>
    </row>
    <row r="1002" spans="1:1" x14ac:dyDescent="0.25">
      <c r="A1002" t="s">
        <v>1066</v>
      </c>
    </row>
    <row r="1003" spans="1:1" x14ac:dyDescent="0.25">
      <c r="A1003" t="s">
        <v>1067</v>
      </c>
    </row>
    <row r="1004" spans="1:1" x14ac:dyDescent="0.25">
      <c r="A1004" t="s">
        <v>1068</v>
      </c>
    </row>
    <row r="1005" spans="1:1" x14ac:dyDescent="0.25">
      <c r="A1005" t="s">
        <v>1069</v>
      </c>
    </row>
    <row r="1006" spans="1:1" x14ac:dyDescent="0.25">
      <c r="A1006" t="s">
        <v>1070</v>
      </c>
    </row>
    <row r="1007" spans="1:1" x14ac:dyDescent="0.25">
      <c r="A1007" t="s">
        <v>1071</v>
      </c>
    </row>
    <row r="1008" spans="1:1" x14ac:dyDescent="0.25">
      <c r="A1008" t="s">
        <v>1072</v>
      </c>
    </row>
    <row r="1009" spans="1:1" x14ac:dyDescent="0.25">
      <c r="A1009" t="s">
        <v>1073</v>
      </c>
    </row>
    <row r="1010" spans="1:1" x14ac:dyDescent="0.25">
      <c r="A1010" t="s">
        <v>1074</v>
      </c>
    </row>
    <row r="1011" spans="1:1" x14ac:dyDescent="0.25">
      <c r="A1011" t="s">
        <v>1075</v>
      </c>
    </row>
    <row r="1012" spans="1:1" x14ac:dyDescent="0.25">
      <c r="A1012" t="s">
        <v>1076</v>
      </c>
    </row>
    <row r="1013" spans="1:1" x14ac:dyDescent="0.25">
      <c r="A1013" t="s">
        <v>1077</v>
      </c>
    </row>
    <row r="1014" spans="1:1" x14ac:dyDescent="0.25">
      <c r="A1014" t="s">
        <v>1078</v>
      </c>
    </row>
    <row r="1015" spans="1:1" x14ac:dyDescent="0.25">
      <c r="A1015" t="s">
        <v>1079</v>
      </c>
    </row>
    <row r="1016" spans="1:1" x14ac:dyDescent="0.25">
      <c r="A1016" t="s">
        <v>1080</v>
      </c>
    </row>
    <row r="1017" spans="1:1" x14ac:dyDescent="0.25">
      <c r="A1017" t="s">
        <v>1081</v>
      </c>
    </row>
    <row r="1018" spans="1:1" x14ac:dyDescent="0.25">
      <c r="A1018" t="s">
        <v>1082</v>
      </c>
    </row>
    <row r="1019" spans="1:1" x14ac:dyDescent="0.25">
      <c r="A1019" t="s">
        <v>1083</v>
      </c>
    </row>
    <row r="1020" spans="1:1" x14ac:dyDescent="0.25">
      <c r="A1020" t="s">
        <v>1084</v>
      </c>
    </row>
    <row r="1021" spans="1:1" x14ac:dyDescent="0.25">
      <c r="A1021" t="s">
        <v>1085</v>
      </c>
    </row>
    <row r="1022" spans="1:1" x14ac:dyDescent="0.25">
      <c r="A1022" t="s">
        <v>1086</v>
      </c>
    </row>
    <row r="1023" spans="1:1" x14ac:dyDescent="0.25">
      <c r="A1023" t="s">
        <v>1087</v>
      </c>
    </row>
    <row r="1024" spans="1:1" x14ac:dyDescent="0.25">
      <c r="A1024" t="s">
        <v>1088</v>
      </c>
    </row>
    <row r="1025" spans="1:1" x14ac:dyDescent="0.25">
      <c r="A1025" t="s">
        <v>1089</v>
      </c>
    </row>
    <row r="1026" spans="1:1" x14ac:dyDescent="0.25">
      <c r="A1026" t="s">
        <v>1090</v>
      </c>
    </row>
    <row r="1027" spans="1:1" x14ac:dyDescent="0.25">
      <c r="A1027" t="s">
        <v>1091</v>
      </c>
    </row>
    <row r="1028" spans="1:1" x14ac:dyDescent="0.25">
      <c r="A1028" t="s">
        <v>1092</v>
      </c>
    </row>
    <row r="1029" spans="1:1" x14ac:dyDescent="0.25">
      <c r="A1029" t="s">
        <v>1093</v>
      </c>
    </row>
    <row r="1030" spans="1:1" x14ac:dyDescent="0.25">
      <c r="A1030" t="s">
        <v>1094</v>
      </c>
    </row>
    <row r="1031" spans="1:1" x14ac:dyDescent="0.25">
      <c r="A1031" t="s">
        <v>1095</v>
      </c>
    </row>
    <row r="1032" spans="1:1" x14ac:dyDescent="0.25">
      <c r="A1032" t="s">
        <v>1096</v>
      </c>
    </row>
    <row r="1033" spans="1:1" x14ac:dyDescent="0.25">
      <c r="A1033" t="s">
        <v>1097</v>
      </c>
    </row>
    <row r="1034" spans="1:1" x14ac:dyDescent="0.25">
      <c r="A1034" t="s">
        <v>1098</v>
      </c>
    </row>
    <row r="1035" spans="1:1" x14ac:dyDescent="0.25">
      <c r="A1035" t="s">
        <v>1099</v>
      </c>
    </row>
    <row r="1036" spans="1:1" x14ac:dyDescent="0.25">
      <c r="A1036" t="s">
        <v>1100</v>
      </c>
    </row>
    <row r="1037" spans="1:1" x14ac:dyDescent="0.25">
      <c r="A1037" t="s">
        <v>1101</v>
      </c>
    </row>
    <row r="1038" spans="1:1" x14ac:dyDescent="0.25">
      <c r="A1038" t="s">
        <v>1102</v>
      </c>
    </row>
    <row r="1039" spans="1:1" x14ac:dyDescent="0.25">
      <c r="A1039" t="s">
        <v>1103</v>
      </c>
    </row>
    <row r="1040" spans="1:1" x14ac:dyDescent="0.25">
      <c r="A1040" t="s">
        <v>1104</v>
      </c>
    </row>
    <row r="1041" spans="1:1" x14ac:dyDescent="0.25">
      <c r="A1041" t="s">
        <v>1105</v>
      </c>
    </row>
    <row r="1042" spans="1:1" x14ac:dyDescent="0.25">
      <c r="A1042" t="s">
        <v>1106</v>
      </c>
    </row>
    <row r="1043" spans="1:1" x14ac:dyDescent="0.25">
      <c r="A1043" t="s">
        <v>1107</v>
      </c>
    </row>
    <row r="1044" spans="1:1" x14ac:dyDescent="0.25">
      <c r="A1044" t="s">
        <v>1108</v>
      </c>
    </row>
    <row r="1045" spans="1:1" x14ac:dyDescent="0.25">
      <c r="A1045" t="s">
        <v>1109</v>
      </c>
    </row>
    <row r="1046" spans="1:1" x14ac:dyDescent="0.25">
      <c r="A1046" t="s">
        <v>1110</v>
      </c>
    </row>
    <row r="1047" spans="1:1" x14ac:dyDescent="0.25">
      <c r="A1047" t="s">
        <v>1111</v>
      </c>
    </row>
    <row r="1048" spans="1:1" x14ac:dyDescent="0.25">
      <c r="A1048" t="s">
        <v>1112</v>
      </c>
    </row>
    <row r="1049" spans="1:1" x14ac:dyDescent="0.25">
      <c r="A1049" t="s">
        <v>1113</v>
      </c>
    </row>
    <row r="1050" spans="1:1" x14ac:dyDescent="0.25">
      <c r="A1050" t="s">
        <v>1114</v>
      </c>
    </row>
    <row r="1051" spans="1:1" x14ac:dyDescent="0.25">
      <c r="A1051" t="s">
        <v>1115</v>
      </c>
    </row>
    <row r="1052" spans="1:1" x14ac:dyDescent="0.25">
      <c r="A1052" t="s">
        <v>1116</v>
      </c>
    </row>
    <row r="1053" spans="1:1" x14ac:dyDescent="0.25">
      <c r="A1053" t="s">
        <v>1117</v>
      </c>
    </row>
    <row r="1054" spans="1:1" x14ac:dyDescent="0.25">
      <c r="A1054" t="s">
        <v>1118</v>
      </c>
    </row>
    <row r="1055" spans="1:1" x14ac:dyDescent="0.25">
      <c r="A1055" t="s">
        <v>1119</v>
      </c>
    </row>
    <row r="1056" spans="1:1" x14ac:dyDescent="0.25">
      <c r="A1056" t="s">
        <v>1120</v>
      </c>
    </row>
    <row r="1057" spans="1:1" x14ac:dyDescent="0.25">
      <c r="A1057" t="s">
        <v>1121</v>
      </c>
    </row>
    <row r="1058" spans="1:1" x14ac:dyDescent="0.25">
      <c r="A1058" t="s">
        <v>1122</v>
      </c>
    </row>
    <row r="1059" spans="1:1" x14ac:dyDescent="0.25">
      <c r="A1059" t="s">
        <v>1123</v>
      </c>
    </row>
    <row r="1060" spans="1:1" x14ac:dyDescent="0.25">
      <c r="A1060" t="s">
        <v>1124</v>
      </c>
    </row>
    <row r="1061" spans="1:1" x14ac:dyDescent="0.25">
      <c r="A1061" t="s">
        <v>1125</v>
      </c>
    </row>
    <row r="1062" spans="1:1" x14ac:dyDescent="0.25">
      <c r="A1062" t="s">
        <v>1126</v>
      </c>
    </row>
    <row r="1063" spans="1:1" x14ac:dyDescent="0.25">
      <c r="A1063" t="s">
        <v>1127</v>
      </c>
    </row>
    <row r="1064" spans="1:1" x14ac:dyDescent="0.25">
      <c r="A1064" t="s">
        <v>1128</v>
      </c>
    </row>
    <row r="1065" spans="1:1" x14ac:dyDescent="0.25">
      <c r="A1065" t="s">
        <v>1129</v>
      </c>
    </row>
    <row r="1066" spans="1:1" x14ac:dyDescent="0.25">
      <c r="A1066" t="s">
        <v>1130</v>
      </c>
    </row>
    <row r="1067" spans="1:1" x14ac:dyDescent="0.25">
      <c r="A1067" t="s">
        <v>1131</v>
      </c>
    </row>
    <row r="1068" spans="1:1" x14ac:dyDescent="0.25">
      <c r="A1068" t="s">
        <v>1132</v>
      </c>
    </row>
    <row r="1069" spans="1:1" x14ac:dyDescent="0.25">
      <c r="A1069" t="s">
        <v>1133</v>
      </c>
    </row>
    <row r="1070" spans="1:1" x14ac:dyDescent="0.25">
      <c r="A1070" t="s">
        <v>1134</v>
      </c>
    </row>
    <row r="1071" spans="1:1" x14ac:dyDescent="0.25">
      <c r="A1071" t="s">
        <v>1135</v>
      </c>
    </row>
    <row r="1072" spans="1:1" x14ac:dyDescent="0.25">
      <c r="A1072" t="s">
        <v>1136</v>
      </c>
    </row>
    <row r="1073" spans="1:1" x14ac:dyDescent="0.25">
      <c r="A1073" t="s">
        <v>1137</v>
      </c>
    </row>
    <row r="1074" spans="1:1" x14ac:dyDescent="0.25">
      <c r="A1074" t="s">
        <v>1138</v>
      </c>
    </row>
    <row r="1075" spans="1:1" x14ac:dyDescent="0.25">
      <c r="A1075" t="s">
        <v>1139</v>
      </c>
    </row>
    <row r="1076" spans="1:1" x14ac:dyDescent="0.25">
      <c r="A1076" t="s">
        <v>1140</v>
      </c>
    </row>
    <row r="1077" spans="1:1" x14ac:dyDescent="0.25">
      <c r="A1077" t="s">
        <v>1141</v>
      </c>
    </row>
    <row r="1078" spans="1:1" x14ac:dyDescent="0.25">
      <c r="A1078" t="s">
        <v>1142</v>
      </c>
    </row>
    <row r="1079" spans="1:1" x14ac:dyDescent="0.25">
      <c r="A1079" t="s">
        <v>1143</v>
      </c>
    </row>
    <row r="1080" spans="1:1" x14ac:dyDescent="0.25">
      <c r="A1080" t="s">
        <v>1144</v>
      </c>
    </row>
    <row r="1081" spans="1:1" x14ac:dyDescent="0.25">
      <c r="A1081" t="s">
        <v>1145</v>
      </c>
    </row>
    <row r="1082" spans="1:1" x14ac:dyDescent="0.25">
      <c r="A1082" t="s">
        <v>1146</v>
      </c>
    </row>
    <row r="1083" spans="1:1" x14ac:dyDescent="0.25">
      <c r="A1083" t="s">
        <v>1147</v>
      </c>
    </row>
    <row r="1084" spans="1:1" x14ac:dyDescent="0.25">
      <c r="A1084" t="s">
        <v>1148</v>
      </c>
    </row>
    <row r="1085" spans="1:1" x14ac:dyDescent="0.25">
      <c r="A1085" t="s">
        <v>1149</v>
      </c>
    </row>
    <row r="1086" spans="1:1" x14ac:dyDescent="0.25">
      <c r="A1086" t="s">
        <v>1150</v>
      </c>
    </row>
    <row r="1087" spans="1:1" x14ac:dyDescent="0.25">
      <c r="A1087" t="s">
        <v>1151</v>
      </c>
    </row>
    <row r="1088" spans="1:1" x14ac:dyDescent="0.25">
      <c r="A1088" t="s">
        <v>1152</v>
      </c>
    </row>
    <row r="1089" spans="1:1" x14ac:dyDescent="0.25">
      <c r="A1089" t="s">
        <v>1153</v>
      </c>
    </row>
    <row r="1090" spans="1:1" x14ac:dyDescent="0.25">
      <c r="A1090" t="s">
        <v>1154</v>
      </c>
    </row>
    <row r="1091" spans="1:1" x14ac:dyDescent="0.25">
      <c r="A1091" t="s">
        <v>1155</v>
      </c>
    </row>
    <row r="1092" spans="1:1" x14ac:dyDescent="0.25">
      <c r="A1092" t="s">
        <v>1156</v>
      </c>
    </row>
    <row r="1093" spans="1:1" x14ac:dyDescent="0.25">
      <c r="A1093" t="s">
        <v>1157</v>
      </c>
    </row>
    <row r="1094" spans="1:1" x14ac:dyDescent="0.25">
      <c r="A1094" t="s">
        <v>1158</v>
      </c>
    </row>
    <row r="1095" spans="1:1" x14ac:dyDescent="0.25">
      <c r="A1095" t="s">
        <v>1159</v>
      </c>
    </row>
    <row r="1096" spans="1:1" x14ac:dyDescent="0.25">
      <c r="A1096" t="s">
        <v>1160</v>
      </c>
    </row>
    <row r="1097" spans="1:1" x14ac:dyDescent="0.25">
      <c r="A1097" t="s">
        <v>1161</v>
      </c>
    </row>
    <row r="1098" spans="1:1" x14ac:dyDescent="0.25">
      <c r="A1098" t="s">
        <v>1162</v>
      </c>
    </row>
    <row r="1099" spans="1:1" x14ac:dyDescent="0.25">
      <c r="A1099" t="s">
        <v>1163</v>
      </c>
    </row>
    <row r="1100" spans="1:1" x14ac:dyDescent="0.25">
      <c r="A1100" t="s">
        <v>1164</v>
      </c>
    </row>
    <row r="1101" spans="1:1" x14ac:dyDescent="0.25">
      <c r="A1101" t="s">
        <v>1165</v>
      </c>
    </row>
    <row r="1102" spans="1:1" x14ac:dyDescent="0.25">
      <c r="A1102" t="s">
        <v>1166</v>
      </c>
    </row>
    <row r="1103" spans="1:1" x14ac:dyDescent="0.25">
      <c r="A1103" t="s">
        <v>1167</v>
      </c>
    </row>
    <row r="1104" spans="1:1" x14ac:dyDescent="0.25">
      <c r="A1104" t="s">
        <v>1168</v>
      </c>
    </row>
    <row r="1105" spans="1:1" x14ac:dyDescent="0.25">
      <c r="A1105" t="s">
        <v>1169</v>
      </c>
    </row>
    <row r="1106" spans="1:1" x14ac:dyDescent="0.25">
      <c r="A1106" t="s">
        <v>1170</v>
      </c>
    </row>
    <row r="1107" spans="1:1" x14ac:dyDescent="0.25">
      <c r="A1107" t="s">
        <v>1171</v>
      </c>
    </row>
    <row r="1108" spans="1:1" x14ac:dyDescent="0.25">
      <c r="A1108" t="s">
        <v>1172</v>
      </c>
    </row>
    <row r="1109" spans="1:1" x14ac:dyDescent="0.25">
      <c r="A1109" t="s">
        <v>1173</v>
      </c>
    </row>
    <row r="1110" spans="1:1" x14ac:dyDescent="0.25">
      <c r="A1110" t="s">
        <v>1174</v>
      </c>
    </row>
    <row r="1111" spans="1:1" x14ac:dyDescent="0.25">
      <c r="A1111" t="s">
        <v>1175</v>
      </c>
    </row>
    <row r="1112" spans="1:1" x14ac:dyDescent="0.25">
      <c r="A1112" t="s">
        <v>1176</v>
      </c>
    </row>
    <row r="1113" spans="1:1" x14ac:dyDescent="0.25">
      <c r="A1113" t="s">
        <v>1177</v>
      </c>
    </row>
    <row r="1114" spans="1:1" x14ac:dyDescent="0.25">
      <c r="A1114" t="s">
        <v>1178</v>
      </c>
    </row>
    <row r="1115" spans="1:1" x14ac:dyDescent="0.25">
      <c r="A1115" t="s">
        <v>1179</v>
      </c>
    </row>
    <row r="1116" spans="1:1" x14ac:dyDescent="0.25">
      <c r="A1116" t="s">
        <v>1180</v>
      </c>
    </row>
    <row r="1117" spans="1:1" x14ac:dyDescent="0.25">
      <c r="A1117" t="s">
        <v>1181</v>
      </c>
    </row>
    <row r="1118" spans="1:1" x14ac:dyDescent="0.25">
      <c r="A1118" t="s">
        <v>1182</v>
      </c>
    </row>
    <row r="1119" spans="1:1" x14ac:dyDescent="0.25">
      <c r="A1119" t="s">
        <v>1183</v>
      </c>
    </row>
    <row r="1120" spans="1:1" x14ac:dyDescent="0.25">
      <c r="A1120" t="s">
        <v>1184</v>
      </c>
    </row>
    <row r="1121" spans="1:1" x14ac:dyDescent="0.25">
      <c r="A1121" t="s">
        <v>1185</v>
      </c>
    </row>
    <row r="1122" spans="1:1" x14ac:dyDescent="0.25">
      <c r="A1122" t="s">
        <v>1186</v>
      </c>
    </row>
    <row r="1123" spans="1:1" x14ac:dyDescent="0.25">
      <c r="A1123" t="s">
        <v>1187</v>
      </c>
    </row>
    <row r="1124" spans="1:1" x14ac:dyDescent="0.25">
      <c r="A1124" t="s">
        <v>1188</v>
      </c>
    </row>
    <row r="1125" spans="1:1" x14ac:dyDescent="0.25">
      <c r="A1125" t="s">
        <v>1189</v>
      </c>
    </row>
    <row r="1126" spans="1:1" x14ac:dyDescent="0.25">
      <c r="A1126" t="s">
        <v>1190</v>
      </c>
    </row>
    <row r="1127" spans="1:1" x14ac:dyDescent="0.25">
      <c r="A1127" t="s">
        <v>1191</v>
      </c>
    </row>
    <row r="1128" spans="1:1" x14ac:dyDescent="0.25">
      <c r="A1128" t="s">
        <v>1192</v>
      </c>
    </row>
    <row r="1129" spans="1:1" x14ac:dyDescent="0.25">
      <c r="A1129" t="s">
        <v>1193</v>
      </c>
    </row>
    <row r="1130" spans="1:1" x14ac:dyDescent="0.25">
      <c r="A1130" t="s">
        <v>1194</v>
      </c>
    </row>
    <row r="1131" spans="1:1" x14ac:dyDescent="0.25">
      <c r="A1131" t="s">
        <v>1195</v>
      </c>
    </row>
    <row r="1132" spans="1:1" x14ac:dyDescent="0.25">
      <c r="A1132" t="s">
        <v>1196</v>
      </c>
    </row>
    <row r="1133" spans="1:1" x14ac:dyDescent="0.25">
      <c r="A1133" t="s">
        <v>1197</v>
      </c>
    </row>
    <row r="1134" spans="1:1" x14ac:dyDescent="0.25">
      <c r="A1134" t="s">
        <v>1198</v>
      </c>
    </row>
    <row r="1135" spans="1:1" x14ac:dyDescent="0.25">
      <c r="A1135" t="s">
        <v>1199</v>
      </c>
    </row>
    <row r="1136" spans="1:1" x14ac:dyDescent="0.25">
      <c r="A1136" t="s">
        <v>1200</v>
      </c>
    </row>
    <row r="1137" spans="1:1" x14ac:dyDescent="0.25">
      <c r="A1137" t="s">
        <v>1201</v>
      </c>
    </row>
    <row r="1138" spans="1:1" x14ac:dyDescent="0.25">
      <c r="A1138" t="s">
        <v>1202</v>
      </c>
    </row>
    <row r="1139" spans="1:1" x14ac:dyDescent="0.25">
      <c r="A1139" t="s">
        <v>1203</v>
      </c>
    </row>
    <row r="1140" spans="1:1" x14ac:dyDescent="0.25">
      <c r="A1140" t="s">
        <v>1204</v>
      </c>
    </row>
    <row r="1141" spans="1:1" x14ac:dyDescent="0.25">
      <c r="A1141" t="s">
        <v>1205</v>
      </c>
    </row>
    <row r="1142" spans="1:1" x14ac:dyDescent="0.25">
      <c r="A1142" t="s">
        <v>1206</v>
      </c>
    </row>
    <row r="1143" spans="1:1" x14ac:dyDescent="0.25">
      <c r="A1143" t="s">
        <v>1207</v>
      </c>
    </row>
    <row r="1144" spans="1:1" x14ac:dyDescent="0.25">
      <c r="A1144" t="s">
        <v>1208</v>
      </c>
    </row>
    <row r="1145" spans="1:1" x14ac:dyDescent="0.25">
      <c r="A1145" t="s">
        <v>1209</v>
      </c>
    </row>
    <row r="1146" spans="1:1" x14ac:dyDescent="0.25">
      <c r="A1146" t="s">
        <v>1210</v>
      </c>
    </row>
    <row r="1147" spans="1:1" x14ac:dyDescent="0.25">
      <c r="A1147" t="s">
        <v>1211</v>
      </c>
    </row>
    <row r="1148" spans="1:1" x14ac:dyDescent="0.25">
      <c r="A1148" t="s">
        <v>1212</v>
      </c>
    </row>
    <row r="1149" spans="1:1" x14ac:dyDescent="0.25">
      <c r="A1149" t="s">
        <v>1213</v>
      </c>
    </row>
    <row r="1150" spans="1:1" x14ac:dyDescent="0.25">
      <c r="A1150" t="s">
        <v>1214</v>
      </c>
    </row>
    <row r="1151" spans="1:1" x14ac:dyDescent="0.25">
      <c r="A1151" t="s">
        <v>1215</v>
      </c>
    </row>
    <row r="1152" spans="1:1" x14ac:dyDescent="0.25">
      <c r="A1152" t="s">
        <v>1216</v>
      </c>
    </row>
    <row r="1153" spans="1:1" x14ac:dyDescent="0.25">
      <c r="A1153" t="s">
        <v>1217</v>
      </c>
    </row>
    <row r="1154" spans="1:1" x14ac:dyDescent="0.25">
      <c r="A1154" t="s">
        <v>1218</v>
      </c>
    </row>
    <row r="1155" spans="1:1" x14ac:dyDescent="0.25">
      <c r="A1155" t="s">
        <v>1219</v>
      </c>
    </row>
    <row r="1156" spans="1:1" x14ac:dyDescent="0.25">
      <c r="A1156" t="s">
        <v>1220</v>
      </c>
    </row>
    <row r="1157" spans="1:1" x14ac:dyDescent="0.25">
      <c r="A1157" t="s">
        <v>1221</v>
      </c>
    </row>
    <row r="1158" spans="1:1" x14ac:dyDescent="0.25">
      <c r="A1158" t="s">
        <v>1222</v>
      </c>
    </row>
    <row r="1159" spans="1:1" x14ac:dyDescent="0.25">
      <c r="A1159" t="s">
        <v>1223</v>
      </c>
    </row>
    <row r="1160" spans="1:1" x14ac:dyDescent="0.25">
      <c r="A1160" t="s">
        <v>1224</v>
      </c>
    </row>
    <row r="1161" spans="1:1" x14ac:dyDescent="0.25">
      <c r="A1161" t="s">
        <v>1225</v>
      </c>
    </row>
    <row r="1162" spans="1:1" x14ac:dyDescent="0.25">
      <c r="A1162" t="s">
        <v>1226</v>
      </c>
    </row>
    <row r="1163" spans="1:1" x14ac:dyDescent="0.25">
      <c r="A1163" t="s">
        <v>1227</v>
      </c>
    </row>
    <row r="1164" spans="1:1" x14ac:dyDescent="0.25">
      <c r="A1164" t="s">
        <v>1228</v>
      </c>
    </row>
    <row r="1165" spans="1:1" x14ac:dyDescent="0.25">
      <c r="A1165" t="s">
        <v>1229</v>
      </c>
    </row>
    <row r="1166" spans="1:1" x14ac:dyDescent="0.25">
      <c r="A1166" t="s">
        <v>1230</v>
      </c>
    </row>
    <row r="1167" spans="1:1" x14ac:dyDescent="0.25">
      <c r="A1167" t="s">
        <v>1231</v>
      </c>
    </row>
    <row r="1168" spans="1:1" x14ac:dyDescent="0.25">
      <c r="A1168" t="s">
        <v>1232</v>
      </c>
    </row>
    <row r="1169" spans="1:1" x14ac:dyDescent="0.25">
      <c r="A1169" t="s">
        <v>1233</v>
      </c>
    </row>
    <row r="1170" spans="1:1" x14ac:dyDescent="0.25">
      <c r="A1170" t="s">
        <v>1234</v>
      </c>
    </row>
    <row r="1171" spans="1:1" x14ac:dyDescent="0.25">
      <c r="A1171" t="s">
        <v>1235</v>
      </c>
    </row>
    <row r="1172" spans="1:1" x14ac:dyDescent="0.25">
      <c r="A1172" t="s">
        <v>1236</v>
      </c>
    </row>
    <row r="1173" spans="1:1" x14ac:dyDescent="0.25">
      <c r="A1173" t="s">
        <v>1237</v>
      </c>
    </row>
    <row r="1174" spans="1:1" x14ac:dyDescent="0.25">
      <c r="A1174" t="s">
        <v>1238</v>
      </c>
    </row>
    <row r="1175" spans="1:1" x14ac:dyDescent="0.25">
      <c r="A1175" t="s">
        <v>1239</v>
      </c>
    </row>
    <row r="1176" spans="1:1" x14ac:dyDescent="0.25">
      <c r="A1176" t="s">
        <v>1240</v>
      </c>
    </row>
    <row r="1177" spans="1:1" x14ac:dyDescent="0.25">
      <c r="A1177" t="s">
        <v>1241</v>
      </c>
    </row>
    <row r="1178" spans="1:1" x14ac:dyDescent="0.25">
      <c r="A1178" t="s">
        <v>1242</v>
      </c>
    </row>
    <row r="1179" spans="1:1" x14ac:dyDescent="0.25">
      <c r="A1179" t="s">
        <v>1243</v>
      </c>
    </row>
    <row r="1180" spans="1:1" x14ac:dyDescent="0.25">
      <c r="A1180" t="s">
        <v>1244</v>
      </c>
    </row>
    <row r="1181" spans="1:1" x14ac:dyDescent="0.25">
      <c r="A1181" t="s">
        <v>1245</v>
      </c>
    </row>
    <row r="1182" spans="1:1" x14ac:dyDescent="0.25">
      <c r="A1182" t="s">
        <v>1246</v>
      </c>
    </row>
    <row r="1183" spans="1:1" x14ac:dyDescent="0.25">
      <c r="A1183" t="s">
        <v>1247</v>
      </c>
    </row>
    <row r="1184" spans="1:1" x14ac:dyDescent="0.25">
      <c r="A1184" t="s">
        <v>1248</v>
      </c>
    </row>
    <row r="1185" spans="1:1" x14ac:dyDescent="0.25">
      <c r="A1185" t="s">
        <v>1249</v>
      </c>
    </row>
    <row r="1186" spans="1:1" x14ac:dyDescent="0.25">
      <c r="A1186" t="s">
        <v>1250</v>
      </c>
    </row>
    <row r="1187" spans="1:1" x14ac:dyDescent="0.25">
      <c r="A1187" t="s">
        <v>1251</v>
      </c>
    </row>
    <row r="1188" spans="1:1" x14ac:dyDescent="0.25">
      <c r="A1188" t="s">
        <v>1252</v>
      </c>
    </row>
    <row r="1189" spans="1:1" x14ac:dyDescent="0.25">
      <c r="A1189" t="s">
        <v>1253</v>
      </c>
    </row>
    <row r="1190" spans="1:1" x14ac:dyDescent="0.25">
      <c r="A1190" t="s">
        <v>1254</v>
      </c>
    </row>
    <row r="1191" spans="1:1" x14ac:dyDescent="0.25">
      <c r="A1191" t="s">
        <v>1255</v>
      </c>
    </row>
    <row r="1192" spans="1:1" x14ac:dyDescent="0.25">
      <c r="A1192" t="s">
        <v>1256</v>
      </c>
    </row>
    <row r="1193" spans="1:1" x14ac:dyDescent="0.25">
      <c r="A1193" t="s">
        <v>1257</v>
      </c>
    </row>
    <row r="1194" spans="1:1" x14ac:dyDescent="0.25">
      <c r="A1194" t="s">
        <v>1258</v>
      </c>
    </row>
    <row r="1195" spans="1:1" x14ac:dyDescent="0.25">
      <c r="A1195" t="s">
        <v>1259</v>
      </c>
    </row>
    <row r="1196" spans="1:1" x14ac:dyDescent="0.25">
      <c r="A1196" t="s">
        <v>1260</v>
      </c>
    </row>
    <row r="1197" spans="1:1" x14ac:dyDescent="0.25">
      <c r="A1197" t="s">
        <v>1261</v>
      </c>
    </row>
    <row r="1198" spans="1:1" x14ac:dyDescent="0.25">
      <c r="A1198" t="s">
        <v>1262</v>
      </c>
    </row>
    <row r="1199" spans="1:1" x14ac:dyDescent="0.25">
      <c r="A1199" t="s">
        <v>1263</v>
      </c>
    </row>
    <row r="1200" spans="1:1" x14ac:dyDescent="0.25">
      <c r="A1200" t="s">
        <v>1264</v>
      </c>
    </row>
    <row r="1201" spans="1:1" x14ac:dyDescent="0.25">
      <c r="A1201" t="s">
        <v>1265</v>
      </c>
    </row>
    <row r="1202" spans="1:1" x14ac:dyDescent="0.25">
      <c r="A1202" t="s">
        <v>1266</v>
      </c>
    </row>
    <row r="1203" spans="1:1" x14ac:dyDescent="0.25">
      <c r="A1203" t="s">
        <v>1267</v>
      </c>
    </row>
    <row r="1204" spans="1:1" x14ac:dyDescent="0.25">
      <c r="A1204" t="s">
        <v>1268</v>
      </c>
    </row>
    <row r="1205" spans="1:1" x14ac:dyDescent="0.25">
      <c r="A1205" t="s">
        <v>1269</v>
      </c>
    </row>
    <row r="1206" spans="1:1" x14ac:dyDescent="0.25">
      <c r="A1206" t="s">
        <v>1270</v>
      </c>
    </row>
    <row r="1207" spans="1:1" x14ac:dyDescent="0.25">
      <c r="A1207" t="s">
        <v>1271</v>
      </c>
    </row>
    <row r="1208" spans="1:1" x14ac:dyDescent="0.25">
      <c r="A1208" t="s">
        <v>1272</v>
      </c>
    </row>
    <row r="1209" spans="1:1" x14ac:dyDescent="0.25">
      <c r="A1209" t="s">
        <v>1273</v>
      </c>
    </row>
    <row r="1210" spans="1:1" x14ac:dyDescent="0.25">
      <c r="A1210" t="s">
        <v>1274</v>
      </c>
    </row>
    <row r="1211" spans="1:1" x14ac:dyDescent="0.25">
      <c r="A1211" t="s">
        <v>1275</v>
      </c>
    </row>
    <row r="1212" spans="1:1" x14ac:dyDescent="0.25">
      <c r="A1212" t="s">
        <v>1276</v>
      </c>
    </row>
    <row r="1213" spans="1:1" x14ac:dyDescent="0.25">
      <c r="A1213" t="s">
        <v>1277</v>
      </c>
    </row>
    <row r="1214" spans="1:1" x14ac:dyDescent="0.25">
      <c r="A1214" t="s">
        <v>1278</v>
      </c>
    </row>
    <row r="1215" spans="1:1" x14ac:dyDescent="0.25">
      <c r="A1215" t="s">
        <v>1279</v>
      </c>
    </row>
    <row r="1216" spans="1:1" x14ac:dyDescent="0.25">
      <c r="A1216" t="s">
        <v>1280</v>
      </c>
    </row>
    <row r="1217" spans="1:1" x14ac:dyDescent="0.25">
      <c r="A1217" t="s">
        <v>1281</v>
      </c>
    </row>
    <row r="1218" spans="1:1" x14ac:dyDescent="0.25">
      <c r="A1218" t="s">
        <v>1282</v>
      </c>
    </row>
    <row r="1219" spans="1:1" x14ac:dyDescent="0.25">
      <c r="A1219" t="s">
        <v>1283</v>
      </c>
    </row>
    <row r="1220" spans="1:1" x14ac:dyDescent="0.25">
      <c r="A1220" t="s">
        <v>1284</v>
      </c>
    </row>
    <row r="1221" spans="1:1" x14ac:dyDescent="0.25">
      <c r="A1221" t="s">
        <v>1285</v>
      </c>
    </row>
    <row r="1222" spans="1:1" x14ac:dyDescent="0.25">
      <c r="A1222" t="s">
        <v>1286</v>
      </c>
    </row>
    <row r="1223" spans="1:1" x14ac:dyDescent="0.25">
      <c r="A1223" t="s">
        <v>1287</v>
      </c>
    </row>
    <row r="1224" spans="1:1" x14ac:dyDescent="0.25">
      <c r="A1224" t="s">
        <v>1288</v>
      </c>
    </row>
    <row r="1225" spans="1:1" x14ac:dyDescent="0.25">
      <c r="A1225" t="s">
        <v>1289</v>
      </c>
    </row>
    <row r="1226" spans="1:1" x14ac:dyDescent="0.25">
      <c r="A1226" t="s">
        <v>1290</v>
      </c>
    </row>
    <row r="1227" spans="1:1" x14ac:dyDescent="0.25">
      <c r="A1227" t="s">
        <v>1291</v>
      </c>
    </row>
    <row r="1228" spans="1:1" x14ac:dyDescent="0.25">
      <c r="A1228" t="s">
        <v>1292</v>
      </c>
    </row>
    <row r="1229" spans="1:1" x14ac:dyDescent="0.25">
      <c r="A1229" t="s">
        <v>1293</v>
      </c>
    </row>
    <row r="1230" spans="1:1" x14ac:dyDescent="0.25">
      <c r="A1230" t="s">
        <v>1294</v>
      </c>
    </row>
    <row r="1231" spans="1:1" x14ac:dyDescent="0.25">
      <c r="A1231" t="s">
        <v>1295</v>
      </c>
    </row>
    <row r="1232" spans="1:1" x14ac:dyDescent="0.25">
      <c r="A1232" t="s">
        <v>1296</v>
      </c>
    </row>
    <row r="1233" spans="1:1" x14ac:dyDescent="0.25">
      <c r="A1233" t="s">
        <v>1297</v>
      </c>
    </row>
    <row r="1234" spans="1:1" x14ac:dyDescent="0.25">
      <c r="A1234" t="s">
        <v>1298</v>
      </c>
    </row>
    <row r="1235" spans="1:1" x14ac:dyDescent="0.25">
      <c r="A1235" t="s">
        <v>1299</v>
      </c>
    </row>
    <row r="1236" spans="1:1" x14ac:dyDescent="0.25">
      <c r="A1236" t="s">
        <v>1300</v>
      </c>
    </row>
    <row r="1237" spans="1:1" x14ac:dyDescent="0.25">
      <c r="A1237" t="s">
        <v>1301</v>
      </c>
    </row>
    <row r="1238" spans="1:1" x14ac:dyDescent="0.25">
      <c r="A1238" t="s">
        <v>1302</v>
      </c>
    </row>
    <row r="1239" spans="1:1" x14ac:dyDescent="0.25">
      <c r="A1239" t="s">
        <v>1303</v>
      </c>
    </row>
    <row r="1240" spans="1:1" x14ac:dyDescent="0.25">
      <c r="A1240" t="s">
        <v>1304</v>
      </c>
    </row>
    <row r="1241" spans="1:1" x14ac:dyDescent="0.25">
      <c r="A1241" t="s">
        <v>1305</v>
      </c>
    </row>
    <row r="1242" spans="1:1" x14ac:dyDescent="0.25">
      <c r="A1242" t="s">
        <v>1306</v>
      </c>
    </row>
    <row r="1243" spans="1:1" x14ac:dyDescent="0.25">
      <c r="A1243" t="s">
        <v>1307</v>
      </c>
    </row>
    <row r="1244" spans="1:1" x14ac:dyDescent="0.25">
      <c r="A1244" t="s">
        <v>1308</v>
      </c>
    </row>
    <row r="1245" spans="1:1" x14ac:dyDescent="0.25">
      <c r="A1245" t="s">
        <v>1309</v>
      </c>
    </row>
    <row r="1246" spans="1:1" x14ac:dyDescent="0.25">
      <c r="A1246" t="s">
        <v>1310</v>
      </c>
    </row>
    <row r="1247" spans="1:1" x14ac:dyDescent="0.25">
      <c r="A1247" t="s">
        <v>1311</v>
      </c>
    </row>
    <row r="1248" spans="1:1" x14ac:dyDescent="0.25">
      <c r="A1248" t="s">
        <v>1312</v>
      </c>
    </row>
    <row r="1249" spans="1:1" x14ac:dyDescent="0.25">
      <c r="A1249" t="s">
        <v>1313</v>
      </c>
    </row>
    <row r="1250" spans="1:1" x14ac:dyDescent="0.25">
      <c r="A1250" t="s">
        <v>1314</v>
      </c>
    </row>
    <row r="1251" spans="1:1" x14ac:dyDescent="0.25">
      <c r="A1251" t="s">
        <v>1315</v>
      </c>
    </row>
    <row r="1252" spans="1:1" x14ac:dyDescent="0.25">
      <c r="A1252" t="s">
        <v>1316</v>
      </c>
    </row>
    <row r="1253" spans="1:1" x14ac:dyDescent="0.25">
      <c r="A1253" t="s">
        <v>1317</v>
      </c>
    </row>
    <row r="1254" spans="1:1" x14ac:dyDescent="0.25">
      <c r="A1254" t="s">
        <v>1318</v>
      </c>
    </row>
    <row r="1255" spans="1:1" x14ac:dyDescent="0.25">
      <c r="A1255" t="s">
        <v>1319</v>
      </c>
    </row>
    <row r="1256" spans="1:1" x14ac:dyDescent="0.25">
      <c r="A1256" t="s">
        <v>1320</v>
      </c>
    </row>
    <row r="1257" spans="1:1" x14ac:dyDescent="0.25">
      <c r="A1257" t="s">
        <v>1321</v>
      </c>
    </row>
    <row r="1258" spans="1:1" x14ac:dyDescent="0.25">
      <c r="A1258" t="s">
        <v>1322</v>
      </c>
    </row>
    <row r="1259" spans="1:1" x14ac:dyDescent="0.25">
      <c r="A1259" t="s">
        <v>1323</v>
      </c>
    </row>
    <row r="1260" spans="1:1" x14ac:dyDescent="0.25">
      <c r="A1260" t="s">
        <v>1324</v>
      </c>
    </row>
    <row r="1261" spans="1:1" x14ac:dyDescent="0.25">
      <c r="A1261" t="s">
        <v>1325</v>
      </c>
    </row>
    <row r="1262" spans="1:1" x14ac:dyDescent="0.25">
      <c r="A1262" t="s">
        <v>1326</v>
      </c>
    </row>
    <row r="1263" spans="1:1" x14ac:dyDescent="0.25">
      <c r="A1263" t="s">
        <v>1327</v>
      </c>
    </row>
    <row r="1264" spans="1:1" x14ac:dyDescent="0.25">
      <c r="A1264" t="s">
        <v>1328</v>
      </c>
    </row>
    <row r="1265" spans="1:1" x14ac:dyDescent="0.25">
      <c r="A1265" t="s">
        <v>1329</v>
      </c>
    </row>
    <row r="1266" spans="1:1" x14ac:dyDescent="0.25">
      <c r="A1266" t="s">
        <v>1330</v>
      </c>
    </row>
    <row r="1267" spans="1:1" x14ac:dyDescent="0.25">
      <c r="A1267" t="s">
        <v>1331</v>
      </c>
    </row>
    <row r="1268" spans="1:1" x14ac:dyDescent="0.25">
      <c r="A1268" t="s">
        <v>1332</v>
      </c>
    </row>
    <row r="1269" spans="1:1" x14ac:dyDescent="0.25">
      <c r="A1269" t="s">
        <v>1333</v>
      </c>
    </row>
    <row r="1270" spans="1:1" x14ac:dyDescent="0.25">
      <c r="A1270" t="s">
        <v>1334</v>
      </c>
    </row>
    <row r="1271" spans="1:1" x14ac:dyDescent="0.25">
      <c r="A1271" t="s">
        <v>1335</v>
      </c>
    </row>
    <row r="1272" spans="1:1" x14ac:dyDescent="0.25">
      <c r="A1272" t="s">
        <v>1336</v>
      </c>
    </row>
    <row r="1273" spans="1:1" x14ac:dyDescent="0.25">
      <c r="A1273" t="s">
        <v>1337</v>
      </c>
    </row>
    <row r="1274" spans="1:1" x14ac:dyDescent="0.25">
      <c r="A1274" t="s">
        <v>1338</v>
      </c>
    </row>
    <row r="1275" spans="1:1" x14ac:dyDescent="0.25">
      <c r="A1275" t="s">
        <v>1339</v>
      </c>
    </row>
    <row r="1276" spans="1:1" x14ac:dyDescent="0.25">
      <c r="A1276" t="s">
        <v>1340</v>
      </c>
    </row>
    <row r="1277" spans="1:1" x14ac:dyDescent="0.25">
      <c r="A1277" t="s">
        <v>1341</v>
      </c>
    </row>
    <row r="1278" spans="1:1" x14ac:dyDescent="0.25">
      <c r="A1278" t="s">
        <v>1342</v>
      </c>
    </row>
    <row r="1279" spans="1:1" x14ac:dyDescent="0.25">
      <c r="A1279" t="s">
        <v>1343</v>
      </c>
    </row>
    <row r="1280" spans="1:1" x14ac:dyDescent="0.25">
      <c r="A1280" t="s">
        <v>1344</v>
      </c>
    </row>
    <row r="1281" spans="1:1" x14ac:dyDescent="0.25">
      <c r="A1281" t="s">
        <v>1345</v>
      </c>
    </row>
    <row r="1282" spans="1:1" x14ac:dyDescent="0.25">
      <c r="A1282" t="s">
        <v>1346</v>
      </c>
    </row>
    <row r="1283" spans="1:1" x14ac:dyDescent="0.25">
      <c r="A1283" t="s">
        <v>1347</v>
      </c>
    </row>
    <row r="1284" spans="1:1" x14ac:dyDescent="0.25">
      <c r="A1284" t="s">
        <v>1348</v>
      </c>
    </row>
    <row r="1285" spans="1:1" x14ac:dyDescent="0.25">
      <c r="A1285" t="s">
        <v>1349</v>
      </c>
    </row>
    <row r="1286" spans="1:1" x14ac:dyDescent="0.25">
      <c r="A1286" t="s">
        <v>1350</v>
      </c>
    </row>
    <row r="1287" spans="1:1" x14ac:dyDescent="0.25">
      <c r="A1287" t="s">
        <v>1351</v>
      </c>
    </row>
    <row r="1288" spans="1:1" x14ac:dyDescent="0.25">
      <c r="A1288" t="s">
        <v>1352</v>
      </c>
    </row>
    <row r="1289" spans="1:1" x14ac:dyDescent="0.25">
      <c r="A1289" t="s">
        <v>1353</v>
      </c>
    </row>
    <row r="1290" spans="1:1" x14ac:dyDescent="0.25">
      <c r="A1290" t="s">
        <v>1354</v>
      </c>
    </row>
    <row r="1291" spans="1:1" x14ac:dyDescent="0.25">
      <c r="A1291" t="s">
        <v>1355</v>
      </c>
    </row>
    <row r="1292" spans="1:1" x14ac:dyDescent="0.25">
      <c r="A1292" t="s">
        <v>1356</v>
      </c>
    </row>
    <row r="1293" spans="1:1" x14ac:dyDescent="0.25">
      <c r="A1293" t="s">
        <v>1357</v>
      </c>
    </row>
    <row r="1294" spans="1:1" x14ac:dyDescent="0.25">
      <c r="A1294" t="s">
        <v>1358</v>
      </c>
    </row>
    <row r="1295" spans="1:1" x14ac:dyDescent="0.25">
      <c r="A1295" t="s">
        <v>1359</v>
      </c>
    </row>
    <row r="1296" spans="1:1" x14ac:dyDescent="0.25">
      <c r="A1296" t="s">
        <v>1360</v>
      </c>
    </row>
    <row r="1297" spans="1:1" x14ac:dyDescent="0.25">
      <c r="A1297" t="s">
        <v>1361</v>
      </c>
    </row>
    <row r="1298" spans="1:1" x14ac:dyDescent="0.25">
      <c r="A1298" t="s">
        <v>1362</v>
      </c>
    </row>
    <row r="1299" spans="1:1" x14ac:dyDescent="0.25">
      <c r="A1299" t="s">
        <v>1363</v>
      </c>
    </row>
    <row r="1300" spans="1:1" x14ac:dyDescent="0.25">
      <c r="A1300" t="s">
        <v>1364</v>
      </c>
    </row>
    <row r="1301" spans="1:1" x14ac:dyDescent="0.25">
      <c r="A1301" t="s">
        <v>1365</v>
      </c>
    </row>
    <row r="1302" spans="1:1" x14ac:dyDescent="0.25">
      <c r="A1302" t="s">
        <v>1366</v>
      </c>
    </row>
    <row r="1303" spans="1:1" x14ac:dyDescent="0.25">
      <c r="A1303" t="s">
        <v>1367</v>
      </c>
    </row>
    <row r="1304" spans="1:1" x14ac:dyDescent="0.25">
      <c r="A1304" t="s">
        <v>1368</v>
      </c>
    </row>
    <row r="1305" spans="1:1" x14ac:dyDescent="0.25">
      <c r="A1305" t="s">
        <v>1369</v>
      </c>
    </row>
    <row r="1306" spans="1:1" x14ac:dyDescent="0.25">
      <c r="A1306" t="s">
        <v>1370</v>
      </c>
    </row>
    <row r="1307" spans="1:1" x14ac:dyDescent="0.25">
      <c r="A1307" t="s">
        <v>1371</v>
      </c>
    </row>
    <row r="1308" spans="1:1" x14ac:dyDescent="0.25">
      <c r="A1308" t="s">
        <v>1372</v>
      </c>
    </row>
    <row r="1309" spans="1:1" x14ac:dyDescent="0.25">
      <c r="A1309" t="s">
        <v>1373</v>
      </c>
    </row>
    <row r="1310" spans="1:1" x14ac:dyDescent="0.25">
      <c r="A1310" t="s">
        <v>1374</v>
      </c>
    </row>
    <row r="1311" spans="1:1" x14ac:dyDescent="0.25">
      <c r="A1311" t="s">
        <v>1375</v>
      </c>
    </row>
    <row r="1312" spans="1:1" x14ac:dyDescent="0.25">
      <c r="A1312" t="s">
        <v>1376</v>
      </c>
    </row>
    <row r="1313" spans="1:1" x14ac:dyDescent="0.25">
      <c r="A1313" t="s">
        <v>1377</v>
      </c>
    </row>
    <row r="1314" spans="1:1" x14ac:dyDescent="0.25">
      <c r="A1314" t="s">
        <v>1378</v>
      </c>
    </row>
    <row r="1315" spans="1:1" x14ac:dyDescent="0.25">
      <c r="A1315" t="s">
        <v>1379</v>
      </c>
    </row>
    <row r="1316" spans="1:1" x14ac:dyDescent="0.25">
      <c r="A1316" t="s">
        <v>1380</v>
      </c>
    </row>
    <row r="1317" spans="1:1" x14ac:dyDescent="0.25">
      <c r="A1317" t="s">
        <v>1381</v>
      </c>
    </row>
    <row r="1318" spans="1:1" x14ac:dyDescent="0.25">
      <c r="A1318" t="s">
        <v>1382</v>
      </c>
    </row>
    <row r="1319" spans="1:1" x14ac:dyDescent="0.25">
      <c r="A1319" t="s">
        <v>1383</v>
      </c>
    </row>
    <row r="1320" spans="1:1" x14ac:dyDescent="0.25">
      <c r="A1320" t="s">
        <v>1384</v>
      </c>
    </row>
    <row r="1321" spans="1:1" x14ac:dyDescent="0.25">
      <c r="A1321" t="s">
        <v>1385</v>
      </c>
    </row>
    <row r="1322" spans="1:1" x14ac:dyDescent="0.25">
      <c r="A1322" t="s">
        <v>1386</v>
      </c>
    </row>
    <row r="1323" spans="1:1" x14ac:dyDescent="0.25">
      <c r="A1323" t="s">
        <v>1387</v>
      </c>
    </row>
    <row r="1324" spans="1:1" x14ac:dyDescent="0.25">
      <c r="A1324" t="s">
        <v>1388</v>
      </c>
    </row>
    <row r="1325" spans="1:1" x14ac:dyDescent="0.25">
      <c r="A1325" t="s">
        <v>1389</v>
      </c>
    </row>
    <row r="1326" spans="1:1" x14ac:dyDescent="0.25">
      <c r="A1326" t="s">
        <v>1390</v>
      </c>
    </row>
    <row r="1327" spans="1:1" x14ac:dyDescent="0.25">
      <c r="A1327" t="s">
        <v>1391</v>
      </c>
    </row>
    <row r="1328" spans="1:1" x14ac:dyDescent="0.25">
      <c r="A1328" t="s">
        <v>1392</v>
      </c>
    </row>
    <row r="1329" spans="1:1" x14ac:dyDescent="0.25">
      <c r="A1329" t="s">
        <v>1393</v>
      </c>
    </row>
    <row r="1330" spans="1:1" x14ac:dyDescent="0.25">
      <c r="A1330" t="s">
        <v>1394</v>
      </c>
    </row>
    <row r="1331" spans="1:1" x14ac:dyDescent="0.25">
      <c r="A1331" t="s">
        <v>1395</v>
      </c>
    </row>
    <row r="1332" spans="1:1" x14ac:dyDescent="0.25">
      <c r="A1332" t="s">
        <v>1396</v>
      </c>
    </row>
    <row r="1333" spans="1:1" x14ac:dyDescent="0.25">
      <c r="A1333" t="s">
        <v>1397</v>
      </c>
    </row>
    <row r="1334" spans="1:1" x14ac:dyDescent="0.25">
      <c r="A1334" t="s">
        <v>1398</v>
      </c>
    </row>
    <row r="1335" spans="1:1" x14ac:dyDescent="0.25">
      <c r="A1335" t="s">
        <v>1399</v>
      </c>
    </row>
    <row r="1336" spans="1:1" x14ac:dyDescent="0.25">
      <c r="A1336" t="s">
        <v>1400</v>
      </c>
    </row>
    <row r="1337" spans="1:1" x14ac:dyDescent="0.25">
      <c r="A1337" t="s">
        <v>1401</v>
      </c>
    </row>
    <row r="1338" spans="1:1" x14ac:dyDescent="0.25">
      <c r="A1338" t="s">
        <v>1402</v>
      </c>
    </row>
    <row r="1339" spans="1:1" x14ac:dyDescent="0.25">
      <c r="A1339" t="s">
        <v>1403</v>
      </c>
    </row>
    <row r="1340" spans="1:1" x14ac:dyDescent="0.25">
      <c r="A1340" t="s">
        <v>1404</v>
      </c>
    </row>
    <row r="1341" spans="1:1" x14ac:dyDescent="0.25">
      <c r="A1341" t="s">
        <v>1405</v>
      </c>
    </row>
    <row r="1342" spans="1:1" x14ac:dyDescent="0.25">
      <c r="A1342" t="s">
        <v>1406</v>
      </c>
    </row>
    <row r="1343" spans="1:1" x14ac:dyDescent="0.25">
      <c r="A1343" t="s">
        <v>1407</v>
      </c>
    </row>
    <row r="1344" spans="1:1" x14ac:dyDescent="0.25">
      <c r="A1344" t="s">
        <v>1408</v>
      </c>
    </row>
    <row r="1345" spans="1:1" x14ac:dyDescent="0.25">
      <c r="A1345" t="s">
        <v>1409</v>
      </c>
    </row>
    <row r="1346" spans="1:1" x14ac:dyDescent="0.25">
      <c r="A1346" t="s">
        <v>1410</v>
      </c>
    </row>
    <row r="1347" spans="1:1" x14ac:dyDescent="0.25">
      <c r="A1347" t="s">
        <v>1411</v>
      </c>
    </row>
    <row r="1348" spans="1:1" x14ac:dyDescent="0.25">
      <c r="A1348" t="s">
        <v>1412</v>
      </c>
    </row>
    <row r="1349" spans="1:1" x14ac:dyDescent="0.25">
      <c r="A1349" t="s">
        <v>1413</v>
      </c>
    </row>
    <row r="1350" spans="1:1" x14ac:dyDescent="0.25">
      <c r="A1350" t="s">
        <v>1414</v>
      </c>
    </row>
    <row r="1351" spans="1:1" x14ac:dyDescent="0.25">
      <c r="A1351" t="s">
        <v>1415</v>
      </c>
    </row>
    <row r="1352" spans="1:1" x14ac:dyDescent="0.25">
      <c r="A1352" t="s">
        <v>1416</v>
      </c>
    </row>
    <row r="1353" spans="1:1" x14ac:dyDescent="0.25">
      <c r="A1353" t="s">
        <v>1417</v>
      </c>
    </row>
    <row r="1354" spans="1:1" x14ac:dyDescent="0.25">
      <c r="A1354" t="s">
        <v>1418</v>
      </c>
    </row>
    <row r="1355" spans="1:1" x14ac:dyDescent="0.25">
      <c r="A1355" t="s">
        <v>1419</v>
      </c>
    </row>
    <row r="1356" spans="1:1" x14ac:dyDescent="0.25">
      <c r="A1356" t="s">
        <v>1420</v>
      </c>
    </row>
    <row r="1357" spans="1:1" x14ac:dyDescent="0.25">
      <c r="A1357" t="s">
        <v>1421</v>
      </c>
    </row>
    <row r="1358" spans="1:1" x14ac:dyDescent="0.25">
      <c r="A1358" t="s">
        <v>1422</v>
      </c>
    </row>
    <row r="1359" spans="1:1" x14ac:dyDescent="0.25">
      <c r="A1359" t="s">
        <v>1423</v>
      </c>
    </row>
    <row r="1360" spans="1:1" x14ac:dyDescent="0.25">
      <c r="A1360" t="s">
        <v>1424</v>
      </c>
    </row>
    <row r="1361" spans="1:1" x14ac:dyDescent="0.25">
      <c r="A1361" t="s">
        <v>1425</v>
      </c>
    </row>
    <row r="1362" spans="1:1" x14ac:dyDescent="0.25">
      <c r="A1362" t="s">
        <v>1426</v>
      </c>
    </row>
    <row r="1363" spans="1:1" x14ac:dyDescent="0.25">
      <c r="A1363" t="s">
        <v>1427</v>
      </c>
    </row>
    <row r="1364" spans="1:1" x14ac:dyDescent="0.25">
      <c r="A1364" t="s">
        <v>1428</v>
      </c>
    </row>
    <row r="1365" spans="1:1" x14ac:dyDescent="0.25">
      <c r="A1365" t="s">
        <v>1429</v>
      </c>
    </row>
    <row r="1366" spans="1:1" x14ac:dyDescent="0.25">
      <c r="A1366" t="s">
        <v>1430</v>
      </c>
    </row>
    <row r="1367" spans="1:1" x14ac:dyDescent="0.25">
      <c r="A1367" t="s">
        <v>1431</v>
      </c>
    </row>
    <row r="1368" spans="1:1" x14ac:dyDescent="0.25">
      <c r="A1368" t="s">
        <v>1432</v>
      </c>
    </row>
    <row r="1369" spans="1:1" x14ac:dyDescent="0.25">
      <c r="A1369" t="s">
        <v>1433</v>
      </c>
    </row>
    <row r="1370" spans="1:1" x14ac:dyDescent="0.25">
      <c r="A1370" t="s">
        <v>1434</v>
      </c>
    </row>
    <row r="1371" spans="1:1" x14ac:dyDescent="0.25">
      <c r="A1371" t="s">
        <v>1435</v>
      </c>
    </row>
    <row r="1372" spans="1:1" x14ac:dyDescent="0.25">
      <c r="A1372" t="s">
        <v>1436</v>
      </c>
    </row>
    <row r="1373" spans="1:1" x14ac:dyDescent="0.25">
      <c r="A1373" t="s">
        <v>1437</v>
      </c>
    </row>
    <row r="1374" spans="1:1" x14ac:dyDescent="0.25">
      <c r="A1374" t="s">
        <v>1438</v>
      </c>
    </row>
    <row r="1375" spans="1:1" x14ac:dyDescent="0.25">
      <c r="A1375" t="s">
        <v>1439</v>
      </c>
    </row>
    <row r="1376" spans="1:1" x14ac:dyDescent="0.25">
      <c r="A1376" t="s">
        <v>1440</v>
      </c>
    </row>
    <row r="1377" spans="1:1" x14ac:dyDescent="0.25">
      <c r="A1377" t="s">
        <v>1441</v>
      </c>
    </row>
    <row r="1378" spans="1:1" x14ac:dyDescent="0.25">
      <c r="A1378" t="s">
        <v>1442</v>
      </c>
    </row>
    <row r="1379" spans="1:1" x14ac:dyDescent="0.25">
      <c r="A1379" t="s">
        <v>1443</v>
      </c>
    </row>
    <row r="1380" spans="1:1" x14ac:dyDescent="0.25">
      <c r="A1380" t="s">
        <v>1444</v>
      </c>
    </row>
    <row r="1381" spans="1:1" x14ac:dyDescent="0.25">
      <c r="A1381" t="s">
        <v>1445</v>
      </c>
    </row>
    <row r="1382" spans="1:1" x14ac:dyDescent="0.25">
      <c r="A1382" t="s">
        <v>1446</v>
      </c>
    </row>
    <row r="1383" spans="1:1" x14ac:dyDescent="0.25">
      <c r="A1383" t="s">
        <v>1447</v>
      </c>
    </row>
    <row r="1384" spans="1:1" x14ac:dyDescent="0.25">
      <c r="A1384" t="s">
        <v>1448</v>
      </c>
    </row>
    <row r="1385" spans="1:1" x14ac:dyDescent="0.25">
      <c r="A1385" t="s">
        <v>1449</v>
      </c>
    </row>
    <row r="1386" spans="1:1" x14ac:dyDescent="0.25">
      <c r="A1386" t="s">
        <v>1450</v>
      </c>
    </row>
    <row r="1387" spans="1:1" x14ac:dyDescent="0.25">
      <c r="A1387" t="s">
        <v>1451</v>
      </c>
    </row>
    <row r="1388" spans="1:1" x14ac:dyDescent="0.25">
      <c r="A1388" t="s">
        <v>1452</v>
      </c>
    </row>
    <row r="1389" spans="1:1" x14ac:dyDescent="0.25">
      <c r="A1389" t="s">
        <v>1453</v>
      </c>
    </row>
    <row r="1390" spans="1:1" x14ac:dyDescent="0.25">
      <c r="A1390" t="s">
        <v>1454</v>
      </c>
    </row>
    <row r="1391" spans="1:1" x14ac:dyDescent="0.25">
      <c r="A1391" t="s">
        <v>1455</v>
      </c>
    </row>
    <row r="1392" spans="1:1" x14ac:dyDescent="0.25">
      <c r="A1392" t="s">
        <v>1456</v>
      </c>
    </row>
    <row r="1393" spans="1:1" x14ac:dyDescent="0.25">
      <c r="A1393" t="s">
        <v>1457</v>
      </c>
    </row>
    <row r="1394" spans="1:1" x14ac:dyDescent="0.25">
      <c r="A1394" t="s">
        <v>1458</v>
      </c>
    </row>
    <row r="1395" spans="1:1" x14ac:dyDescent="0.25">
      <c r="A1395" t="s">
        <v>1459</v>
      </c>
    </row>
    <row r="1396" spans="1:1" x14ac:dyDescent="0.25">
      <c r="A1396" t="s">
        <v>1460</v>
      </c>
    </row>
    <row r="1397" spans="1:1" x14ac:dyDescent="0.25">
      <c r="A1397" t="s">
        <v>1461</v>
      </c>
    </row>
    <row r="1398" spans="1:1" x14ac:dyDescent="0.25">
      <c r="A1398" t="s">
        <v>1462</v>
      </c>
    </row>
    <row r="1399" spans="1:1" x14ac:dyDescent="0.25">
      <c r="A1399" t="s">
        <v>1463</v>
      </c>
    </row>
    <row r="1400" spans="1:1" x14ac:dyDescent="0.25">
      <c r="A1400" t="s">
        <v>1464</v>
      </c>
    </row>
    <row r="1401" spans="1:1" x14ac:dyDescent="0.25">
      <c r="A1401" t="s">
        <v>1465</v>
      </c>
    </row>
    <row r="1402" spans="1:1" x14ac:dyDescent="0.25">
      <c r="A1402" t="s">
        <v>1466</v>
      </c>
    </row>
    <row r="1403" spans="1:1" x14ac:dyDescent="0.25">
      <c r="A1403" t="s">
        <v>1467</v>
      </c>
    </row>
    <row r="1404" spans="1:1" x14ac:dyDescent="0.25">
      <c r="A1404" t="s">
        <v>1468</v>
      </c>
    </row>
    <row r="1405" spans="1:1" x14ac:dyDescent="0.25">
      <c r="A1405" t="s">
        <v>1469</v>
      </c>
    </row>
    <row r="1406" spans="1:1" x14ac:dyDescent="0.25">
      <c r="A1406" t="s">
        <v>1470</v>
      </c>
    </row>
    <row r="1407" spans="1:1" x14ac:dyDescent="0.25">
      <c r="A1407" t="s">
        <v>1471</v>
      </c>
    </row>
    <row r="1408" spans="1:1" x14ac:dyDescent="0.25">
      <c r="A1408" t="s">
        <v>1472</v>
      </c>
    </row>
    <row r="1409" spans="1:1" x14ac:dyDescent="0.25">
      <c r="A1409" t="s">
        <v>1473</v>
      </c>
    </row>
    <row r="1410" spans="1:1" x14ac:dyDescent="0.25">
      <c r="A1410" t="s">
        <v>1474</v>
      </c>
    </row>
    <row r="1411" spans="1:1" x14ac:dyDescent="0.25">
      <c r="A1411" t="s">
        <v>1475</v>
      </c>
    </row>
    <row r="1412" spans="1:1" x14ac:dyDescent="0.25">
      <c r="A1412" t="s">
        <v>1476</v>
      </c>
    </row>
    <row r="1413" spans="1:1" x14ac:dyDescent="0.25">
      <c r="A1413" t="s">
        <v>1477</v>
      </c>
    </row>
    <row r="1414" spans="1:1" x14ac:dyDescent="0.25">
      <c r="A1414" t="s">
        <v>1478</v>
      </c>
    </row>
    <row r="1415" spans="1:1" x14ac:dyDescent="0.25">
      <c r="A1415" t="s">
        <v>1479</v>
      </c>
    </row>
    <row r="1416" spans="1:1" x14ac:dyDescent="0.25">
      <c r="A1416" t="s">
        <v>1480</v>
      </c>
    </row>
    <row r="1417" spans="1:1" x14ac:dyDescent="0.25">
      <c r="A1417" t="s">
        <v>1481</v>
      </c>
    </row>
    <row r="1418" spans="1:1" x14ac:dyDescent="0.25">
      <c r="A1418" t="s">
        <v>1482</v>
      </c>
    </row>
    <row r="1419" spans="1:1" x14ac:dyDescent="0.25">
      <c r="A1419" t="s">
        <v>1483</v>
      </c>
    </row>
    <row r="1420" spans="1:1" x14ac:dyDescent="0.25">
      <c r="A1420" t="s">
        <v>1484</v>
      </c>
    </row>
    <row r="1421" spans="1:1" x14ac:dyDescent="0.25">
      <c r="A1421" t="s">
        <v>1485</v>
      </c>
    </row>
    <row r="1422" spans="1:1" x14ac:dyDescent="0.25">
      <c r="A1422" t="s">
        <v>1486</v>
      </c>
    </row>
    <row r="1423" spans="1:1" x14ac:dyDescent="0.25">
      <c r="A1423" t="s">
        <v>1487</v>
      </c>
    </row>
    <row r="1424" spans="1:1" x14ac:dyDescent="0.25">
      <c r="A1424" t="s">
        <v>1488</v>
      </c>
    </row>
    <row r="1425" spans="1:1" x14ac:dyDescent="0.25">
      <c r="A1425" t="s">
        <v>1489</v>
      </c>
    </row>
    <row r="1426" spans="1:1" x14ac:dyDescent="0.25">
      <c r="A1426" t="s">
        <v>1490</v>
      </c>
    </row>
    <row r="1427" spans="1:1" x14ac:dyDescent="0.25">
      <c r="A1427" t="s">
        <v>1491</v>
      </c>
    </row>
    <row r="1428" spans="1:1" x14ac:dyDescent="0.25">
      <c r="A1428" t="s">
        <v>1492</v>
      </c>
    </row>
    <row r="1429" spans="1:1" x14ac:dyDescent="0.25">
      <c r="A1429" t="s">
        <v>1493</v>
      </c>
    </row>
    <row r="1430" spans="1:1" x14ac:dyDescent="0.25">
      <c r="A1430" t="s">
        <v>1494</v>
      </c>
    </row>
    <row r="1431" spans="1:1" x14ac:dyDescent="0.25">
      <c r="A1431" t="s">
        <v>1495</v>
      </c>
    </row>
    <row r="1432" spans="1:1" x14ac:dyDescent="0.25">
      <c r="A1432" t="s">
        <v>1496</v>
      </c>
    </row>
    <row r="1433" spans="1:1" x14ac:dyDescent="0.25">
      <c r="A1433" t="s">
        <v>1497</v>
      </c>
    </row>
    <row r="1434" spans="1:1" x14ac:dyDescent="0.25">
      <c r="A1434" t="s">
        <v>1498</v>
      </c>
    </row>
    <row r="1435" spans="1:1" x14ac:dyDescent="0.25">
      <c r="A1435" t="s">
        <v>1499</v>
      </c>
    </row>
    <row r="1436" spans="1:1" x14ac:dyDescent="0.25">
      <c r="A1436" t="s">
        <v>1500</v>
      </c>
    </row>
    <row r="1437" spans="1:1" x14ac:dyDescent="0.25">
      <c r="A1437" t="s">
        <v>1501</v>
      </c>
    </row>
    <row r="1438" spans="1:1" x14ac:dyDescent="0.25">
      <c r="A1438" t="s">
        <v>1502</v>
      </c>
    </row>
    <row r="1439" spans="1:1" x14ac:dyDescent="0.25">
      <c r="A1439" t="s">
        <v>1503</v>
      </c>
    </row>
    <row r="1440" spans="1:1" x14ac:dyDescent="0.25">
      <c r="A1440" t="s">
        <v>1504</v>
      </c>
    </row>
    <row r="1441" spans="1:1" x14ac:dyDescent="0.25">
      <c r="A1441" t="s">
        <v>1505</v>
      </c>
    </row>
    <row r="1442" spans="1:1" x14ac:dyDescent="0.25">
      <c r="A1442" t="s">
        <v>1506</v>
      </c>
    </row>
    <row r="1443" spans="1:1" x14ac:dyDescent="0.25">
      <c r="A1443" t="s">
        <v>1507</v>
      </c>
    </row>
    <row r="1444" spans="1:1" x14ac:dyDescent="0.25">
      <c r="A1444" t="s">
        <v>1508</v>
      </c>
    </row>
    <row r="1445" spans="1:1" x14ac:dyDescent="0.25">
      <c r="A1445" t="s">
        <v>1509</v>
      </c>
    </row>
    <row r="1446" spans="1:1" x14ac:dyDescent="0.25">
      <c r="A1446" t="s">
        <v>1510</v>
      </c>
    </row>
    <row r="1447" spans="1:1" x14ac:dyDescent="0.25">
      <c r="A1447" t="s">
        <v>1511</v>
      </c>
    </row>
    <row r="1448" spans="1:1" x14ac:dyDescent="0.25">
      <c r="A1448" t="s">
        <v>1512</v>
      </c>
    </row>
    <row r="1449" spans="1:1" x14ac:dyDescent="0.25">
      <c r="A1449" t="s">
        <v>1513</v>
      </c>
    </row>
    <row r="1450" spans="1:1" x14ac:dyDescent="0.25">
      <c r="A1450" t="s">
        <v>1514</v>
      </c>
    </row>
    <row r="1451" spans="1:1" x14ac:dyDescent="0.25">
      <c r="A1451" t="s">
        <v>1515</v>
      </c>
    </row>
    <row r="1452" spans="1:1" x14ac:dyDescent="0.25">
      <c r="A1452" t="s">
        <v>1516</v>
      </c>
    </row>
    <row r="1453" spans="1:1" x14ac:dyDescent="0.25">
      <c r="A1453" t="s">
        <v>1517</v>
      </c>
    </row>
    <row r="1454" spans="1:1" x14ac:dyDescent="0.25">
      <c r="A1454" t="s">
        <v>1518</v>
      </c>
    </row>
    <row r="1455" spans="1:1" x14ac:dyDescent="0.25">
      <c r="A1455" t="s">
        <v>1519</v>
      </c>
    </row>
    <row r="1456" spans="1:1" x14ac:dyDescent="0.25">
      <c r="A1456" t="s">
        <v>1520</v>
      </c>
    </row>
    <row r="1457" spans="1:1" x14ac:dyDescent="0.25">
      <c r="A1457" t="s">
        <v>1521</v>
      </c>
    </row>
    <row r="1458" spans="1:1" x14ac:dyDescent="0.25">
      <c r="A1458" t="s">
        <v>1522</v>
      </c>
    </row>
    <row r="1459" spans="1:1" x14ac:dyDescent="0.25">
      <c r="A1459" t="s">
        <v>1523</v>
      </c>
    </row>
    <row r="1460" spans="1:1" x14ac:dyDescent="0.25">
      <c r="A1460" t="s">
        <v>1524</v>
      </c>
    </row>
    <row r="1461" spans="1:1" x14ac:dyDescent="0.25">
      <c r="A1461" t="s">
        <v>1525</v>
      </c>
    </row>
    <row r="1462" spans="1:1" x14ac:dyDescent="0.25">
      <c r="A1462" t="s">
        <v>1526</v>
      </c>
    </row>
    <row r="1463" spans="1:1" x14ac:dyDescent="0.25">
      <c r="A1463" t="s">
        <v>1527</v>
      </c>
    </row>
    <row r="1464" spans="1:1" x14ac:dyDescent="0.25">
      <c r="A1464" t="s">
        <v>1528</v>
      </c>
    </row>
    <row r="1465" spans="1:1" x14ac:dyDescent="0.25">
      <c r="A1465" t="s">
        <v>1529</v>
      </c>
    </row>
    <row r="1466" spans="1:1" x14ac:dyDescent="0.25">
      <c r="A1466" t="s">
        <v>1530</v>
      </c>
    </row>
    <row r="1467" spans="1:1" x14ac:dyDescent="0.25">
      <c r="A1467" t="s">
        <v>1531</v>
      </c>
    </row>
    <row r="1468" spans="1:1" x14ac:dyDescent="0.25">
      <c r="A1468" t="s">
        <v>1532</v>
      </c>
    </row>
    <row r="1469" spans="1:1" x14ac:dyDescent="0.25">
      <c r="A1469" t="s">
        <v>1533</v>
      </c>
    </row>
    <row r="1470" spans="1:1" x14ac:dyDescent="0.25">
      <c r="A1470" t="s">
        <v>1534</v>
      </c>
    </row>
    <row r="1471" spans="1:1" x14ac:dyDescent="0.25">
      <c r="A1471" t="s">
        <v>1535</v>
      </c>
    </row>
    <row r="1472" spans="1:1" x14ac:dyDescent="0.25">
      <c r="A1472" t="s">
        <v>1536</v>
      </c>
    </row>
    <row r="1473" spans="1:1" x14ac:dyDescent="0.25">
      <c r="A1473" t="s">
        <v>1537</v>
      </c>
    </row>
    <row r="1474" spans="1:1" x14ac:dyDescent="0.25">
      <c r="A1474" t="s">
        <v>1538</v>
      </c>
    </row>
    <row r="1475" spans="1:1" x14ac:dyDescent="0.25">
      <c r="A1475" t="s">
        <v>1539</v>
      </c>
    </row>
    <row r="1476" spans="1:1" x14ac:dyDescent="0.25">
      <c r="A1476" t="s">
        <v>1540</v>
      </c>
    </row>
    <row r="1477" spans="1:1" x14ac:dyDescent="0.25">
      <c r="A1477" t="s">
        <v>1541</v>
      </c>
    </row>
    <row r="1478" spans="1:1" x14ac:dyDescent="0.25">
      <c r="A1478" t="s">
        <v>1542</v>
      </c>
    </row>
    <row r="1479" spans="1:1" x14ac:dyDescent="0.25">
      <c r="A1479" t="s">
        <v>1543</v>
      </c>
    </row>
    <row r="1480" spans="1:1" x14ac:dyDescent="0.25">
      <c r="A1480" t="s">
        <v>1544</v>
      </c>
    </row>
    <row r="1481" spans="1:1" x14ac:dyDescent="0.25">
      <c r="A1481" t="s">
        <v>1545</v>
      </c>
    </row>
    <row r="1482" spans="1:1" x14ac:dyDescent="0.25">
      <c r="A1482" t="s">
        <v>1546</v>
      </c>
    </row>
    <row r="1483" spans="1:1" x14ac:dyDescent="0.25">
      <c r="A1483" t="s">
        <v>1547</v>
      </c>
    </row>
    <row r="1484" spans="1:1" x14ac:dyDescent="0.25">
      <c r="A1484" t="s">
        <v>1548</v>
      </c>
    </row>
    <row r="1485" spans="1:1" x14ac:dyDescent="0.25">
      <c r="A1485" t="s">
        <v>1549</v>
      </c>
    </row>
    <row r="1486" spans="1:1" x14ac:dyDescent="0.25">
      <c r="A1486" t="s">
        <v>1550</v>
      </c>
    </row>
    <row r="1487" spans="1:1" x14ac:dyDescent="0.25">
      <c r="A1487" t="s">
        <v>1551</v>
      </c>
    </row>
    <row r="1488" spans="1:1" x14ac:dyDescent="0.25">
      <c r="A1488" t="s">
        <v>1552</v>
      </c>
    </row>
    <row r="1489" spans="1:1" x14ac:dyDescent="0.25">
      <c r="A1489" t="s">
        <v>1553</v>
      </c>
    </row>
    <row r="1490" spans="1:1" x14ac:dyDescent="0.25">
      <c r="A1490" t="s">
        <v>1554</v>
      </c>
    </row>
    <row r="1491" spans="1:1" x14ac:dyDescent="0.25">
      <c r="A1491" t="s">
        <v>1555</v>
      </c>
    </row>
    <row r="1492" spans="1:1" x14ac:dyDescent="0.25">
      <c r="A1492" t="s">
        <v>1556</v>
      </c>
    </row>
    <row r="1493" spans="1:1" x14ac:dyDescent="0.25">
      <c r="A1493" t="s">
        <v>1557</v>
      </c>
    </row>
    <row r="1494" spans="1:1" x14ac:dyDescent="0.25">
      <c r="A1494" t="s">
        <v>1558</v>
      </c>
    </row>
    <row r="1495" spans="1:1" x14ac:dyDescent="0.25">
      <c r="A1495" t="s">
        <v>1559</v>
      </c>
    </row>
    <row r="1496" spans="1:1" x14ac:dyDescent="0.25">
      <c r="A1496" t="s">
        <v>1560</v>
      </c>
    </row>
    <row r="1497" spans="1:1" x14ac:dyDescent="0.25">
      <c r="A1497" t="s">
        <v>1561</v>
      </c>
    </row>
    <row r="1498" spans="1:1" x14ac:dyDescent="0.25">
      <c r="A1498" t="s">
        <v>1562</v>
      </c>
    </row>
    <row r="1499" spans="1:1" x14ac:dyDescent="0.25">
      <c r="A1499" t="s">
        <v>1563</v>
      </c>
    </row>
    <row r="1500" spans="1:1" x14ac:dyDescent="0.25">
      <c r="A1500" t="s">
        <v>1564</v>
      </c>
    </row>
    <row r="1501" spans="1:1" x14ac:dyDescent="0.25">
      <c r="A1501" t="s">
        <v>1565</v>
      </c>
    </row>
    <row r="1502" spans="1:1" x14ac:dyDescent="0.25">
      <c r="A1502" t="s">
        <v>1566</v>
      </c>
    </row>
    <row r="1503" spans="1:1" x14ac:dyDescent="0.25">
      <c r="A1503" t="s">
        <v>1567</v>
      </c>
    </row>
    <row r="1504" spans="1:1" x14ac:dyDescent="0.25">
      <c r="A1504" t="s">
        <v>1568</v>
      </c>
    </row>
    <row r="1505" spans="1:1" x14ac:dyDescent="0.25">
      <c r="A1505" t="s">
        <v>1569</v>
      </c>
    </row>
    <row r="1506" spans="1:1" x14ac:dyDescent="0.25">
      <c r="A1506" t="s">
        <v>1570</v>
      </c>
    </row>
    <row r="1507" spans="1:1" x14ac:dyDescent="0.25">
      <c r="A1507" t="s">
        <v>1571</v>
      </c>
    </row>
    <row r="1508" spans="1:1" x14ac:dyDescent="0.25">
      <c r="A1508" t="s">
        <v>1572</v>
      </c>
    </row>
    <row r="1509" spans="1:1" x14ac:dyDescent="0.25">
      <c r="A1509" t="s">
        <v>1573</v>
      </c>
    </row>
    <row r="1510" spans="1:1" x14ac:dyDescent="0.25">
      <c r="A1510" t="s">
        <v>1574</v>
      </c>
    </row>
    <row r="1511" spans="1:1" x14ac:dyDescent="0.25">
      <c r="A1511" t="s">
        <v>1575</v>
      </c>
    </row>
    <row r="1512" spans="1:1" x14ac:dyDescent="0.25">
      <c r="A1512" t="s">
        <v>1576</v>
      </c>
    </row>
    <row r="1513" spans="1:1" x14ac:dyDescent="0.25">
      <c r="A1513" t="s">
        <v>1577</v>
      </c>
    </row>
    <row r="1514" spans="1:1" x14ac:dyDescent="0.25">
      <c r="A1514" t="s">
        <v>1578</v>
      </c>
    </row>
    <row r="1515" spans="1:1" x14ac:dyDescent="0.25">
      <c r="A1515" t="s">
        <v>1579</v>
      </c>
    </row>
    <row r="1516" spans="1:1" x14ac:dyDescent="0.25">
      <c r="A1516" t="s">
        <v>1580</v>
      </c>
    </row>
    <row r="1517" spans="1:1" x14ac:dyDescent="0.25">
      <c r="A1517" t="s">
        <v>1581</v>
      </c>
    </row>
    <row r="1518" spans="1:1" x14ac:dyDescent="0.25">
      <c r="A1518" t="s">
        <v>1582</v>
      </c>
    </row>
    <row r="1519" spans="1:1" x14ac:dyDescent="0.25">
      <c r="A1519" t="s">
        <v>1583</v>
      </c>
    </row>
    <row r="1520" spans="1:1" x14ac:dyDescent="0.25">
      <c r="A1520" t="s">
        <v>1584</v>
      </c>
    </row>
    <row r="1521" spans="1:1" x14ac:dyDescent="0.25">
      <c r="A1521" t="s">
        <v>1585</v>
      </c>
    </row>
    <row r="1522" spans="1:1" x14ac:dyDescent="0.25">
      <c r="A1522" t="s">
        <v>1586</v>
      </c>
    </row>
    <row r="1523" spans="1:1" x14ac:dyDescent="0.25">
      <c r="A1523" t="s">
        <v>1587</v>
      </c>
    </row>
    <row r="1524" spans="1:1" x14ac:dyDescent="0.25">
      <c r="A1524" t="s">
        <v>1588</v>
      </c>
    </row>
    <row r="1525" spans="1:1" x14ac:dyDescent="0.25">
      <c r="A1525" t="s">
        <v>1589</v>
      </c>
    </row>
    <row r="1526" spans="1:1" x14ac:dyDescent="0.25">
      <c r="A1526" t="s">
        <v>1590</v>
      </c>
    </row>
    <row r="1527" spans="1:1" x14ac:dyDescent="0.25">
      <c r="A1527" t="s">
        <v>1591</v>
      </c>
    </row>
    <row r="1528" spans="1:1" x14ac:dyDescent="0.25">
      <c r="A1528" t="s">
        <v>1592</v>
      </c>
    </row>
    <row r="1529" spans="1:1" x14ac:dyDescent="0.25">
      <c r="A1529" t="s">
        <v>1593</v>
      </c>
    </row>
    <row r="1530" spans="1:1" x14ac:dyDescent="0.25">
      <c r="A1530" t="s">
        <v>1594</v>
      </c>
    </row>
    <row r="1531" spans="1:1" x14ac:dyDescent="0.25">
      <c r="A1531" t="s">
        <v>1595</v>
      </c>
    </row>
    <row r="1532" spans="1:1" x14ac:dyDescent="0.25">
      <c r="A1532" t="s">
        <v>1596</v>
      </c>
    </row>
    <row r="1533" spans="1:1" x14ac:dyDescent="0.25">
      <c r="A1533" t="s">
        <v>1597</v>
      </c>
    </row>
    <row r="1534" spans="1:1" x14ac:dyDescent="0.25">
      <c r="A1534" t="s">
        <v>1598</v>
      </c>
    </row>
    <row r="1535" spans="1:1" x14ac:dyDescent="0.25">
      <c r="A1535" t="s">
        <v>1599</v>
      </c>
    </row>
    <row r="1536" spans="1:1" x14ac:dyDescent="0.25">
      <c r="A1536" t="s">
        <v>1600</v>
      </c>
    </row>
    <row r="1537" spans="1:1" x14ac:dyDescent="0.25">
      <c r="A1537" t="s">
        <v>1601</v>
      </c>
    </row>
    <row r="1538" spans="1:1" x14ac:dyDescent="0.25">
      <c r="A1538" t="s">
        <v>1602</v>
      </c>
    </row>
    <row r="1539" spans="1:1" x14ac:dyDescent="0.25">
      <c r="A1539" t="s">
        <v>1603</v>
      </c>
    </row>
    <row r="1540" spans="1:1" x14ac:dyDescent="0.25">
      <c r="A1540" t="s">
        <v>1604</v>
      </c>
    </row>
    <row r="1541" spans="1:1" x14ac:dyDescent="0.25">
      <c r="A1541" t="s">
        <v>1605</v>
      </c>
    </row>
    <row r="1542" spans="1:1" x14ac:dyDescent="0.25">
      <c r="A1542" t="s">
        <v>1606</v>
      </c>
    </row>
    <row r="1543" spans="1:1" x14ac:dyDescent="0.25">
      <c r="A1543" t="s">
        <v>1607</v>
      </c>
    </row>
    <row r="1544" spans="1:1" x14ac:dyDescent="0.25">
      <c r="A1544" t="s">
        <v>1608</v>
      </c>
    </row>
    <row r="1545" spans="1:1" x14ac:dyDescent="0.25">
      <c r="A1545" t="s">
        <v>1609</v>
      </c>
    </row>
    <row r="1546" spans="1:1" x14ac:dyDescent="0.25">
      <c r="A1546" t="s">
        <v>1610</v>
      </c>
    </row>
    <row r="1547" spans="1:1" x14ac:dyDescent="0.25">
      <c r="A1547" t="s">
        <v>1611</v>
      </c>
    </row>
    <row r="1548" spans="1:1" x14ac:dyDescent="0.25">
      <c r="A1548" t="s">
        <v>1612</v>
      </c>
    </row>
    <row r="1549" spans="1:1" x14ac:dyDescent="0.25">
      <c r="A1549" t="s">
        <v>1613</v>
      </c>
    </row>
    <row r="1550" spans="1:1" x14ac:dyDescent="0.25">
      <c r="A1550" t="s">
        <v>1614</v>
      </c>
    </row>
    <row r="1551" spans="1:1" x14ac:dyDescent="0.25">
      <c r="A1551" t="s">
        <v>1615</v>
      </c>
    </row>
    <row r="1552" spans="1:1" x14ac:dyDescent="0.25">
      <c r="A1552" t="s">
        <v>1616</v>
      </c>
    </row>
    <row r="1553" spans="1:1" x14ac:dyDescent="0.25">
      <c r="A1553" t="s">
        <v>1617</v>
      </c>
    </row>
    <row r="1554" spans="1:1" x14ac:dyDescent="0.25">
      <c r="A1554" t="s">
        <v>1618</v>
      </c>
    </row>
    <row r="1555" spans="1:1" x14ac:dyDescent="0.25">
      <c r="A1555" t="s">
        <v>1619</v>
      </c>
    </row>
    <row r="1556" spans="1:1" x14ac:dyDescent="0.25">
      <c r="A1556" t="s">
        <v>1620</v>
      </c>
    </row>
    <row r="1557" spans="1:1" x14ac:dyDescent="0.25">
      <c r="A1557" t="s">
        <v>1621</v>
      </c>
    </row>
    <row r="1558" spans="1:1" x14ac:dyDescent="0.25">
      <c r="A1558" t="s">
        <v>1622</v>
      </c>
    </row>
    <row r="1559" spans="1:1" x14ac:dyDescent="0.25">
      <c r="A1559" t="s">
        <v>1623</v>
      </c>
    </row>
    <row r="1560" spans="1:1" x14ac:dyDescent="0.25">
      <c r="A1560" t="s">
        <v>1624</v>
      </c>
    </row>
    <row r="1561" spans="1:1" x14ac:dyDescent="0.25">
      <c r="A1561" t="s">
        <v>1625</v>
      </c>
    </row>
    <row r="1562" spans="1:1" x14ac:dyDescent="0.25">
      <c r="A1562" t="s">
        <v>1626</v>
      </c>
    </row>
    <row r="1563" spans="1:1" x14ac:dyDescent="0.25">
      <c r="A1563" t="s">
        <v>1627</v>
      </c>
    </row>
    <row r="1564" spans="1:1" x14ac:dyDescent="0.25">
      <c r="A1564" t="s">
        <v>1628</v>
      </c>
    </row>
    <row r="1565" spans="1:1" x14ac:dyDescent="0.25">
      <c r="A1565" t="s">
        <v>1629</v>
      </c>
    </row>
    <row r="1566" spans="1:1" x14ac:dyDescent="0.25">
      <c r="A1566" t="s">
        <v>1630</v>
      </c>
    </row>
    <row r="1567" spans="1:1" x14ac:dyDescent="0.25">
      <c r="A1567" t="s">
        <v>1631</v>
      </c>
    </row>
    <row r="1568" spans="1:1" x14ac:dyDescent="0.25">
      <c r="A1568" t="s">
        <v>1632</v>
      </c>
    </row>
    <row r="1569" spans="1:1" x14ac:dyDescent="0.25">
      <c r="A1569" t="s">
        <v>1633</v>
      </c>
    </row>
    <row r="1570" spans="1:1" x14ac:dyDescent="0.25">
      <c r="A1570" t="s">
        <v>1634</v>
      </c>
    </row>
    <row r="1571" spans="1:1" x14ac:dyDescent="0.25">
      <c r="A1571" t="s">
        <v>1635</v>
      </c>
    </row>
    <row r="1572" spans="1:1" x14ac:dyDescent="0.25">
      <c r="A1572" t="s">
        <v>1636</v>
      </c>
    </row>
    <row r="1573" spans="1:1" x14ac:dyDescent="0.25">
      <c r="A1573" t="s">
        <v>1637</v>
      </c>
    </row>
    <row r="1574" spans="1:1" x14ac:dyDescent="0.25">
      <c r="A1574" t="s">
        <v>1638</v>
      </c>
    </row>
    <row r="1575" spans="1:1" x14ac:dyDescent="0.25">
      <c r="A1575" t="s">
        <v>1639</v>
      </c>
    </row>
    <row r="1576" spans="1:1" x14ac:dyDescent="0.25">
      <c r="A1576" t="s">
        <v>1640</v>
      </c>
    </row>
    <row r="1577" spans="1:1" x14ac:dyDescent="0.25">
      <c r="A1577" t="s">
        <v>1641</v>
      </c>
    </row>
    <row r="1578" spans="1:1" x14ac:dyDescent="0.25">
      <c r="A1578" t="s">
        <v>1642</v>
      </c>
    </row>
    <row r="1579" spans="1:1" x14ac:dyDescent="0.25">
      <c r="A1579" t="s">
        <v>1643</v>
      </c>
    </row>
    <row r="1580" spans="1:1" x14ac:dyDescent="0.25">
      <c r="A1580" t="s">
        <v>1644</v>
      </c>
    </row>
    <row r="1581" spans="1:1" x14ac:dyDescent="0.25">
      <c r="A1581" t="s">
        <v>1645</v>
      </c>
    </row>
    <row r="1582" spans="1:1" x14ac:dyDescent="0.25">
      <c r="A1582" t="s">
        <v>1646</v>
      </c>
    </row>
    <row r="1583" spans="1:1" x14ac:dyDescent="0.25">
      <c r="A1583" t="s">
        <v>1647</v>
      </c>
    </row>
    <row r="1584" spans="1:1" x14ac:dyDescent="0.25">
      <c r="A1584" t="s">
        <v>1648</v>
      </c>
    </row>
    <row r="1585" spans="1:1" x14ac:dyDescent="0.25">
      <c r="A1585" t="s">
        <v>1649</v>
      </c>
    </row>
    <row r="1586" spans="1:1" x14ac:dyDescent="0.25">
      <c r="A1586" t="s">
        <v>1650</v>
      </c>
    </row>
    <row r="1587" spans="1:1" x14ac:dyDescent="0.25">
      <c r="A1587" t="s">
        <v>1651</v>
      </c>
    </row>
    <row r="1588" spans="1:1" x14ac:dyDescent="0.25">
      <c r="A1588" t="s">
        <v>1652</v>
      </c>
    </row>
    <row r="1589" spans="1:1" x14ac:dyDescent="0.25">
      <c r="A1589" t="s">
        <v>1653</v>
      </c>
    </row>
    <row r="1590" spans="1:1" x14ac:dyDescent="0.25">
      <c r="A1590" t="s">
        <v>1654</v>
      </c>
    </row>
    <row r="1591" spans="1:1" x14ac:dyDescent="0.25">
      <c r="A1591" t="s">
        <v>1655</v>
      </c>
    </row>
    <row r="1592" spans="1:1" x14ac:dyDescent="0.25">
      <c r="A1592" t="s">
        <v>1656</v>
      </c>
    </row>
    <row r="1593" spans="1:1" x14ac:dyDescent="0.25">
      <c r="A1593" t="s">
        <v>1657</v>
      </c>
    </row>
    <row r="1594" spans="1:1" x14ac:dyDescent="0.25">
      <c r="A1594" t="s">
        <v>1658</v>
      </c>
    </row>
    <row r="1595" spans="1:1" x14ac:dyDescent="0.25">
      <c r="A1595" t="s">
        <v>1659</v>
      </c>
    </row>
    <row r="1596" spans="1:1" x14ac:dyDescent="0.25">
      <c r="A1596" t="s">
        <v>1660</v>
      </c>
    </row>
    <row r="1597" spans="1:1" x14ac:dyDescent="0.25">
      <c r="A1597" t="s">
        <v>1661</v>
      </c>
    </row>
    <row r="1598" spans="1:1" x14ac:dyDescent="0.25">
      <c r="A1598" t="s">
        <v>1662</v>
      </c>
    </row>
    <row r="1599" spans="1:1" x14ac:dyDescent="0.25">
      <c r="A1599" t="s">
        <v>1663</v>
      </c>
    </row>
    <row r="1600" spans="1:1" x14ac:dyDescent="0.25">
      <c r="A1600" t="s">
        <v>1664</v>
      </c>
    </row>
    <row r="1601" spans="1:1" x14ac:dyDescent="0.25">
      <c r="A1601" t="s">
        <v>1665</v>
      </c>
    </row>
    <row r="1602" spans="1:1" x14ac:dyDescent="0.25">
      <c r="A1602" t="s">
        <v>1666</v>
      </c>
    </row>
    <row r="1603" spans="1:1" x14ac:dyDescent="0.25">
      <c r="A1603" t="s">
        <v>1667</v>
      </c>
    </row>
    <row r="1604" spans="1:1" x14ac:dyDescent="0.25">
      <c r="A1604" t="s">
        <v>1668</v>
      </c>
    </row>
    <row r="1605" spans="1:1" x14ac:dyDescent="0.25">
      <c r="A1605" t="s">
        <v>1669</v>
      </c>
    </row>
    <row r="1606" spans="1:1" x14ac:dyDescent="0.25">
      <c r="A1606" t="s">
        <v>1670</v>
      </c>
    </row>
    <row r="1607" spans="1:1" x14ac:dyDescent="0.25">
      <c r="A1607" t="s">
        <v>1671</v>
      </c>
    </row>
    <row r="1608" spans="1:1" x14ac:dyDescent="0.25">
      <c r="A1608" t="s">
        <v>1672</v>
      </c>
    </row>
    <row r="1609" spans="1:1" x14ac:dyDescent="0.25">
      <c r="A1609" t="s">
        <v>1673</v>
      </c>
    </row>
    <row r="1610" spans="1:1" x14ac:dyDescent="0.25">
      <c r="A1610" t="s">
        <v>1674</v>
      </c>
    </row>
    <row r="1611" spans="1:1" x14ac:dyDescent="0.25">
      <c r="A1611" t="s">
        <v>1675</v>
      </c>
    </row>
    <row r="1612" spans="1:1" x14ac:dyDescent="0.25">
      <c r="A1612" t="s">
        <v>1676</v>
      </c>
    </row>
    <row r="1613" spans="1:1" x14ac:dyDescent="0.25">
      <c r="A1613" t="s">
        <v>1677</v>
      </c>
    </row>
    <row r="1614" spans="1:1" x14ac:dyDescent="0.25">
      <c r="A1614" t="s">
        <v>1678</v>
      </c>
    </row>
    <row r="1615" spans="1:1" x14ac:dyDescent="0.25">
      <c r="A1615" t="s">
        <v>1679</v>
      </c>
    </row>
    <row r="1616" spans="1:1" x14ac:dyDescent="0.25">
      <c r="A1616" t="s">
        <v>1680</v>
      </c>
    </row>
    <row r="1617" spans="1:1" x14ac:dyDescent="0.25">
      <c r="A1617" t="s">
        <v>1681</v>
      </c>
    </row>
    <row r="1618" spans="1:1" x14ac:dyDescent="0.25">
      <c r="A1618" t="s">
        <v>1682</v>
      </c>
    </row>
    <row r="1619" spans="1:1" x14ac:dyDescent="0.25">
      <c r="A1619" t="s">
        <v>1683</v>
      </c>
    </row>
    <row r="1620" spans="1:1" x14ac:dyDescent="0.25">
      <c r="A1620" t="s">
        <v>1684</v>
      </c>
    </row>
    <row r="1621" spans="1:1" x14ac:dyDescent="0.25">
      <c r="A1621" t="s">
        <v>1685</v>
      </c>
    </row>
    <row r="1622" spans="1:1" x14ac:dyDescent="0.25">
      <c r="A1622" t="s">
        <v>1686</v>
      </c>
    </row>
    <row r="1623" spans="1:1" x14ac:dyDescent="0.25">
      <c r="A1623" t="s">
        <v>1687</v>
      </c>
    </row>
    <row r="1624" spans="1:1" x14ac:dyDescent="0.25">
      <c r="A1624" t="s">
        <v>1688</v>
      </c>
    </row>
    <row r="1625" spans="1:1" x14ac:dyDescent="0.25">
      <c r="A1625" t="s">
        <v>1689</v>
      </c>
    </row>
    <row r="1626" spans="1:1" x14ac:dyDescent="0.25">
      <c r="A1626" t="s">
        <v>1690</v>
      </c>
    </row>
    <row r="1627" spans="1:1" x14ac:dyDescent="0.25">
      <c r="A1627" t="s">
        <v>1691</v>
      </c>
    </row>
    <row r="1628" spans="1:1" x14ac:dyDescent="0.25">
      <c r="A1628" t="s">
        <v>1692</v>
      </c>
    </row>
    <row r="1629" spans="1:1" x14ac:dyDescent="0.25">
      <c r="A1629" t="s">
        <v>1693</v>
      </c>
    </row>
    <row r="1630" spans="1:1" x14ac:dyDescent="0.25">
      <c r="A1630" t="s">
        <v>1694</v>
      </c>
    </row>
    <row r="1631" spans="1:1" x14ac:dyDescent="0.25">
      <c r="A1631" t="s">
        <v>1695</v>
      </c>
    </row>
    <row r="1632" spans="1:1" x14ac:dyDescent="0.25">
      <c r="A1632" t="s">
        <v>1696</v>
      </c>
    </row>
    <row r="1633" spans="1:1" x14ac:dyDescent="0.25">
      <c r="A1633" t="s">
        <v>1697</v>
      </c>
    </row>
    <row r="1634" spans="1:1" x14ac:dyDescent="0.25">
      <c r="A1634" t="s">
        <v>1698</v>
      </c>
    </row>
    <row r="1635" spans="1:1" x14ac:dyDescent="0.25">
      <c r="A1635" t="s">
        <v>1699</v>
      </c>
    </row>
    <row r="1636" spans="1:1" x14ac:dyDescent="0.25">
      <c r="A1636" t="s">
        <v>1700</v>
      </c>
    </row>
    <row r="1637" spans="1:1" x14ac:dyDescent="0.25">
      <c r="A1637" t="s">
        <v>1701</v>
      </c>
    </row>
    <row r="1638" spans="1:1" x14ac:dyDescent="0.25">
      <c r="A1638" t="s">
        <v>1702</v>
      </c>
    </row>
    <row r="1639" spans="1:1" x14ac:dyDescent="0.25">
      <c r="A1639" t="s">
        <v>1703</v>
      </c>
    </row>
    <row r="1640" spans="1:1" x14ac:dyDescent="0.25">
      <c r="A1640" t="s">
        <v>1704</v>
      </c>
    </row>
    <row r="1641" spans="1:1" x14ac:dyDescent="0.25">
      <c r="A1641" t="s">
        <v>1705</v>
      </c>
    </row>
    <row r="1642" spans="1:1" x14ac:dyDescent="0.25">
      <c r="A1642" t="s">
        <v>1706</v>
      </c>
    </row>
    <row r="1643" spans="1:1" x14ac:dyDescent="0.25">
      <c r="A1643" t="s">
        <v>1707</v>
      </c>
    </row>
    <row r="1644" spans="1:1" x14ac:dyDescent="0.25">
      <c r="A1644" t="s">
        <v>1708</v>
      </c>
    </row>
    <row r="1645" spans="1:1" x14ac:dyDescent="0.25">
      <c r="A1645" t="s">
        <v>1709</v>
      </c>
    </row>
    <row r="1646" spans="1:1" x14ac:dyDescent="0.25">
      <c r="A1646" t="s">
        <v>1710</v>
      </c>
    </row>
    <row r="1647" spans="1:1" x14ac:dyDescent="0.25">
      <c r="A1647" t="s">
        <v>1711</v>
      </c>
    </row>
    <row r="1648" spans="1:1" x14ac:dyDescent="0.25">
      <c r="A1648" t="s">
        <v>1712</v>
      </c>
    </row>
    <row r="1649" spans="1:1" x14ac:dyDescent="0.25">
      <c r="A1649" t="s">
        <v>1713</v>
      </c>
    </row>
    <row r="1650" spans="1:1" x14ac:dyDescent="0.25">
      <c r="A1650" t="s">
        <v>1714</v>
      </c>
    </row>
    <row r="1651" spans="1:1" x14ac:dyDescent="0.25">
      <c r="A1651" t="s">
        <v>1715</v>
      </c>
    </row>
    <row r="1652" spans="1:1" x14ac:dyDescent="0.25">
      <c r="A1652" t="s">
        <v>1716</v>
      </c>
    </row>
    <row r="1653" spans="1:1" x14ac:dyDescent="0.25">
      <c r="A1653" t="s">
        <v>1717</v>
      </c>
    </row>
    <row r="1654" spans="1:1" x14ac:dyDescent="0.25">
      <c r="A1654" t="s">
        <v>1718</v>
      </c>
    </row>
    <row r="1655" spans="1:1" x14ac:dyDescent="0.25">
      <c r="A1655" t="s">
        <v>1719</v>
      </c>
    </row>
    <row r="1656" spans="1:1" x14ac:dyDescent="0.25">
      <c r="A1656" t="s">
        <v>1720</v>
      </c>
    </row>
    <row r="1657" spans="1:1" x14ac:dyDescent="0.25">
      <c r="A1657" t="s">
        <v>1721</v>
      </c>
    </row>
    <row r="1658" spans="1:1" x14ac:dyDescent="0.25">
      <c r="A1658" t="s">
        <v>1722</v>
      </c>
    </row>
    <row r="1659" spans="1:1" x14ac:dyDescent="0.25">
      <c r="A1659" t="s">
        <v>1723</v>
      </c>
    </row>
    <row r="1660" spans="1:1" x14ac:dyDescent="0.25">
      <c r="A1660" t="s">
        <v>1724</v>
      </c>
    </row>
    <row r="1661" spans="1:1" x14ac:dyDescent="0.25">
      <c r="A1661" t="s">
        <v>1725</v>
      </c>
    </row>
    <row r="1662" spans="1:1" x14ac:dyDescent="0.25">
      <c r="A1662" t="s">
        <v>1726</v>
      </c>
    </row>
    <row r="1663" spans="1:1" x14ac:dyDescent="0.25">
      <c r="A1663" t="s">
        <v>1727</v>
      </c>
    </row>
    <row r="1664" spans="1:1" x14ac:dyDescent="0.25">
      <c r="A1664" t="s">
        <v>1728</v>
      </c>
    </row>
    <row r="1665" spans="1:1" x14ac:dyDescent="0.25">
      <c r="A1665" t="s">
        <v>1729</v>
      </c>
    </row>
    <row r="1666" spans="1:1" x14ac:dyDescent="0.25">
      <c r="A1666" t="s">
        <v>1730</v>
      </c>
    </row>
    <row r="1667" spans="1:1" x14ac:dyDescent="0.25">
      <c r="A1667" t="s">
        <v>1731</v>
      </c>
    </row>
    <row r="1668" spans="1:1" x14ac:dyDescent="0.25">
      <c r="A1668" t="s">
        <v>1732</v>
      </c>
    </row>
    <row r="1669" spans="1:1" x14ac:dyDescent="0.25">
      <c r="A1669" t="s">
        <v>1733</v>
      </c>
    </row>
    <row r="1670" spans="1:1" x14ac:dyDescent="0.25">
      <c r="A1670" t="s">
        <v>1734</v>
      </c>
    </row>
    <row r="1671" spans="1:1" x14ac:dyDescent="0.25">
      <c r="A1671" t="s">
        <v>1735</v>
      </c>
    </row>
    <row r="1672" spans="1:1" x14ac:dyDescent="0.25">
      <c r="A1672" t="s">
        <v>1736</v>
      </c>
    </row>
    <row r="1673" spans="1:1" x14ac:dyDescent="0.25">
      <c r="A1673" t="s">
        <v>1737</v>
      </c>
    </row>
    <row r="1674" spans="1:1" x14ac:dyDescent="0.25">
      <c r="A1674" t="s">
        <v>1738</v>
      </c>
    </row>
    <row r="1675" spans="1:1" x14ac:dyDescent="0.25">
      <c r="A1675" t="s">
        <v>1739</v>
      </c>
    </row>
    <row r="1676" spans="1:1" x14ac:dyDescent="0.25">
      <c r="A1676" t="s">
        <v>1740</v>
      </c>
    </row>
    <row r="1677" spans="1:1" x14ac:dyDescent="0.25">
      <c r="A1677" t="s">
        <v>1741</v>
      </c>
    </row>
    <row r="1678" spans="1:1" x14ac:dyDescent="0.25">
      <c r="A1678" t="s">
        <v>1742</v>
      </c>
    </row>
    <row r="1679" spans="1:1" x14ac:dyDescent="0.25">
      <c r="A1679" t="s">
        <v>1743</v>
      </c>
    </row>
    <row r="1680" spans="1:1" x14ac:dyDescent="0.25">
      <c r="A1680" t="s">
        <v>1744</v>
      </c>
    </row>
    <row r="1681" spans="1:1" x14ac:dyDescent="0.25">
      <c r="A1681" t="s">
        <v>1745</v>
      </c>
    </row>
    <row r="1682" spans="1:1" x14ac:dyDescent="0.25">
      <c r="A1682" t="s">
        <v>1746</v>
      </c>
    </row>
    <row r="1683" spans="1:1" x14ac:dyDescent="0.25">
      <c r="A1683" t="s">
        <v>1747</v>
      </c>
    </row>
    <row r="1684" spans="1:1" x14ac:dyDescent="0.25">
      <c r="A1684" t="s">
        <v>1748</v>
      </c>
    </row>
    <row r="1685" spans="1:1" x14ac:dyDescent="0.25">
      <c r="A1685" t="s">
        <v>1749</v>
      </c>
    </row>
    <row r="1686" spans="1:1" x14ac:dyDescent="0.25">
      <c r="A1686" t="s">
        <v>1750</v>
      </c>
    </row>
    <row r="1687" spans="1:1" x14ac:dyDescent="0.25">
      <c r="A1687" t="s">
        <v>1751</v>
      </c>
    </row>
    <row r="1688" spans="1:1" x14ac:dyDescent="0.25">
      <c r="A1688" t="s">
        <v>1752</v>
      </c>
    </row>
    <row r="1689" spans="1:1" x14ac:dyDescent="0.25">
      <c r="A1689" t="s">
        <v>1753</v>
      </c>
    </row>
    <row r="1690" spans="1:1" x14ac:dyDescent="0.25">
      <c r="A1690" t="s">
        <v>1754</v>
      </c>
    </row>
    <row r="1691" spans="1:1" x14ac:dyDescent="0.25">
      <c r="A1691" t="s">
        <v>1755</v>
      </c>
    </row>
    <row r="1692" spans="1:1" x14ac:dyDescent="0.25">
      <c r="A1692" t="s">
        <v>1756</v>
      </c>
    </row>
    <row r="1693" spans="1:1" x14ac:dyDescent="0.25">
      <c r="A1693" t="s">
        <v>1757</v>
      </c>
    </row>
    <row r="1694" spans="1:1" x14ac:dyDescent="0.25">
      <c r="A1694" t="s">
        <v>1758</v>
      </c>
    </row>
    <row r="1695" spans="1:1" x14ac:dyDescent="0.25">
      <c r="A1695" t="s">
        <v>1759</v>
      </c>
    </row>
    <row r="1696" spans="1:1" x14ac:dyDescent="0.25">
      <c r="A1696" t="s">
        <v>1760</v>
      </c>
    </row>
    <row r="1697" spans="1:1" x14ac:dyDescent="0.25">
      <c r="A1697" t="s">
        <v>1761</v>
      </c>
    </row>
    <row r="1698" spans="1:1" x14ac:dyDescent="0.25">
      <c r="A1698" t="s">
        <v>1762</v>
      </c>
    </row>
    <row r="1699" spans="1:1" x14ac:dyDescent="0.25">
      <c r="A1699" t="s">
        <v>1763</v>
      </c>
    </row>
    <row r="1700" spans="1:1" x14ac:dyDescent="0.25">
      <c r="A1700" t="s">
        <v>1764</v>
      </c>
    </row>
    <row r="1701" spans="1:1" x14ac:dyDescent="0.25">
      <c r="A1701" t="s">
        <v>1765</v>
      </c>
    </row>
    <row r="1702" spans="1:1" x14ac:dyDescent="0.25">
      <c r="A1702" t="s">
        <v>1766</v>
      </c>
    </row>
    <row r="1703" spans="1:1" x14ac:dyDescent="0.25">
      <c r="A1703" t="s">
        <v>1767</v>
      </c>
    </row>
    <row r="1704" spans="1:1" x14ac:dyDescent="0.25">
      <c r="A1704" t="s">
        <v>1768</v>
      </c>
    </row>
    <row r="1705" spans="1:1" x14ac:dyDescent="0.25">
      <c r="A1705" t="s">
        <v>1769</v>
      </c>
    </row>
    <row r="1706" spans="1:1" x14ac:dyDescent="0.25">
      <c r="A1706" t="s">
        <v>1770</v>
      </c>
    </row>
    <row r="1707" spans="1:1" x14ac:dyDescent="0.25">
      <c r="A1707" t="s">
        <v>1771</v>
      </c>
    </row>
    <row r="1708" spans="1:1" x14ac:dyDescent="0.25">
      <c r="A1708" t="s">
        <v>1772</v>
      </c>
    </row>
    <row r="1709" spans="1:1" x14ac:dyDescent="0.25">
      <c r="A1709" t="s">
        <v>1773</v>
      </c>
    </row>
    <row r="1710" spans="1:1" x14ac:dyDescent="0.25">
      <c r="A1710" t="s">
        <v>1774</v>
      </c>
    </row>
    <row r="1711" spans="1:1" x14ac:dyDescent="0.25">
      <c r="A1711" t="s">
        <v>1775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A7AA2-A908-4BC4-98E7-AB63C0988D45}">
  <sheetPr codeName="Sheet21"/>
  <dimension ref="A2:A1711"/>
  <sheetViews>
    <sheetView workbookViewId="0"/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92</v>
      </c>
    </row>
    <row r="29" spans="1:1" x14ac:dyDescent="0.25">
      <c r="A29" t="s">
        <v>93</v>
      </c>
    </row>
    <row r="30" spans="1:1" x14ac:dyDescent="0.25">
      <c r="A30" t="s">
        <v>94</v>
      </c>
    </row>
    <row r="31" spans="1:1" x14ac:dyDescent="0.25">
      <c r="A31" t="s">
        <v>95</v>
      </c>
    </row>
    <row r="32" spans="1:1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234</v>
      </c>
    </row>
    <row r="171" spans="1:1" x14ac:dyDescent="0.25">
      <c r="A171" t="s">
        <v>235</v>
      </c>
    </row>
    <row r="172" spans="1:1" x14ac:dyDescent="0.25">
      <c r="A172" t="s">
        <v>236</v>
      </c>
    </row>
    <row r="173" spans="1:1" x14ac:dyDescent="0.25">
      <c r="A173" t="s">
        <v>237</v>
      </c>
    </row>
    <row r="174" spans="1:1" x14ac:dyDescent="0.25">
      <c r="A174" t="s">
        <v>238</v>
      </c>
    </row>
    <row r="175" spans="1:1" x14ac:dyDescent="0.25">
      <c r="A175" t="s">
        <v>239</v>
      </c>
    </row>
    <row r="176" spans="1:1" x14ac:dyDescent="0.25">
      <c r="A176" t="s">
        <v>240</v>
      </c>
    </row>
    <row r="177" spans="1:1" x14ac:dyDescent="0.25">
      <c r="A177" t="s">
        <v>241</v>
      </c>
    </row>
    <row r="178" spans="1:1" x14ac:dyDescent="0.25">
      <c r="A178" t="s">
        <v>242</v>
      </c>
    </row>
    <row r="179" spans="1:1" x14ac:dyDescent="0.25">
      <c r="A179" t="s">
        <v>243</v>
      </c>
    </row>
    <row r="180" spans="1:1" x14ac:dyDescent="0.25">
      <c r="A180" t="s">
        <v>244</v>
      </c>
    </row>
    <row r="181" spans="1:1" x14ac:dyDescent="0.25">
      <c r="A181" t="s">
        <v>245</v>
      </c>
    </row>
    <row r="182" spans="1:1" x14ac:dyDescent="0.25">
      <c r="A182" t="s">
        <v>246</v>
      </c>
    </row>
    <row r="183" spans="1:1" x14ac:dyDescent="0.25">
      <c r="A183" t="s">
        <v>247</v>
      </c>
    </row>
    <row r="184" spans="1:1" x14ac:dyDescent="0.25">
      <c r="A184" t="s">
        <v>248</v>
      </c>
    </row>
    <row r="185" spans="1:1" x14ac:dyDescent="0.25">
      <c r="A185" t="s">
        <v>249</v>
      </c>
    </row>
    <row r="186" spans="1:1" x14ac:dyDescent="0.25">
      <c r="A186" t="s">
        <v>250</v>
      </c>
    </row>
    <row r="187" spans="1:1" x14ac:dyDescent="0.25">
      <c r="A187" t="s">
        <v>251</v>
      </c>
    </row>
    <row r="188" spans="1:1" x14ac:dyDescent="0.25">
      <c r="A188" t="s">
        <v>252</v>
      </c>
    </row>
    <row r="189" spans="1:1" x14ac:dyDescent="0.25">
      <c r="A189" t="s">
        <v>253</v>
      </c>
    </row>
    <row r="190" spans="1:1" x14ac:dyDescent="0.25">
      <c r="A190" t="s">
        <v>254</v>
      </c>
    </row>
    <row r="191" spans="1:1" x14ac:dyDescent="0.25">
      <c r="A191" t="s">
        <v>255</v>
      </c>
    </row>
    <row r="192" spans="1:1" x14ac:dyDescent="0.25">
      <c r="A192" t="s">
        <v>256</v>
      </c>
    </row>
    <row r="193" spans="1:1" x14ac:dyDescent="0.25">
      <c r="A193" t="s">
        <v>257</v>
      </c>
    </row>
    <row r="194" spans="1:1" x14ac:dyDescent="0.25">
      <c r="A194" t="s">
        <v>258</v>
      </c>
    </row>
    <row r="195" spans="1:1" x14ac:dyDescent="0.25">
      <c r="A195" t="s">
        <v>259</v>
      </c>
    </row>
    <row r="196" spans="1:1" x14ac:dyDescent="0.25">
      <c r="A196" t="s">
        <v>260</v>
      </c>
    </row>
    <row r="197" spans="1:1" x14ac:dyDescent="0.25">
      <c r="A197" t="s">
        <v>261</v>
      </c>
    </row>
    <row r="198" spans="1:1" x14ac:dyDescent="0.25">
      <c r="A198" t="s">
        <v>262</v>
      </c>
    </row>
    <row r="199" spans="1:1" x14ac:dyDescent="0.25">
      <c r="A199" t="s">
        <v>263</v>
      </c>
    </row>
    <row r="200" spans="1:1" x14ac:dyDescent="0.25">
      <c r="A200" t="s">
        <v>264</v>
      </c>
    </row>
    <row r="201" spans="1:1" x14ac:dyDescent="0.25">
      <c r="A201" t="s">
        <v>265</v>
      </c>
    </row>
    <row r="202" spans="1:1" x14ac:dyDescent="0.25">
      <c r="A202" t="s">
        <v>266</v>
      </c>
    </row>
    <row r="203" spans="1:1" x14ac:dyDescent="0.25">
      <c r="A203" t="s">
        <v>267</v>
      </c>
    </row>
    <row r="204" spans="1:1" x14ac:dyDescent="0.25">
      <c r="A204" t="s">
        <v>268</v>
      </c>
    </row>
    <row r="205" spans="1:1" x14ac:dyDescent="0.25">
      <c r="A205" t="s">
        <v>269</v>
      </c>
    </row>
    <row r="206" spans="1:1" x14ac:dyDescent="0.25">
      <c r="A206" t="s">
        <v>270</v>
      </c>
    </row>
    <row r="207" spans="1:1" x14ac:dyDescent="0.25">
      <c r="A207" t="s">
        <v>271</v>
      </c>
    </row>
    <row r="208" spans="1:1" x14ac:dyDescent="0.25">
      <c r="A208" t="s">
        <v>272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277</v>
      </c>
    </row>
    <row r="214" spans="1:1" x14ac:dyDescent="0.25">
      <c r="A214" t="s">
        <v>278</v>
      </c>
    </row>
    <row r="215" spans="1:1" x14ac:dyDescent="0.25">
      <c r="A215" t="s">
        <v>279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282</v>
      </c>
    </row>
    <row r="219" spans="1:1" x14ac:dyDescent="0.25">
      <c r="A219" t="s">
        <v>283</v>
      </c>
    </row>
    <row r="220" spans="1:1" x14ac:dyDescent="0.25">
      <c r="A220" t="s">
        <v>284</v>
      </c>
    </row>
    <row r="221" spans="1:1" x14ac:dyDescent="0.25">
      <c r="A221" t="s">
        <v>285</v>
      </c>
    </row>
    <row r="222" spans="1:1" x14ac:dyDescent="0.25">
      <c r="A222" t="s">
        <v>286</v>
      </c>
    </row>
    <row r="223" spans="1:1" x14ac:dyDescent="0.25">
      <c r="A223" t="s">
        <v>287</v>
      </c>
    </row>
    <row r="224" spans="1:1" x14ac:dyDescent="0.25">
      <c r="A224" t="s">
        <v>288</v>
      </c>
    </row>
    <row r="225" spans="1:1" x14ac:dyDescent="0.25">
      <c r="A225" t="s">
        <v>289</v>
      </c>
    </row>
    <row r="226" spans="1:1" x14ac:dyDescent="0.25">
      <c r="A226" t="s">
        <v>290</v>
      </c>
    </row>
    <row r="227" spans="1:1" x14ac:dyDescent="0.25">
      <c r="A227" t="s">
        <v>291</v>
      </c>
    </row>
    <row r="228" spans="1:1" x14ac:dyDescent="0.25">
      <c r="A228" t="s">
        <v>292</v>
      </c>
    </row>
    <row r="229" spans="1:1" x14ac:dyDescent="0.25">
      <c r="A229" t="s">
        <v>293</v>
      </c>
    </row>
    <row r="230" spans="1:1" x14ac:dyDescent="0.25">
      <c r="A230" t="s">
        <v>294</v>
      </c>
    </row>
    <row r="231" spans="1:1" x14ac:dyDescent="0.25">
      <c r="A231" t="s">
        <v>295</v>
      </c>
    </row>
    <row r="232" spans="1:1" x14ac:dyDescent="0.25">
      <c r="A232" t="s">
        <v>296</v>
      </c>
    </row>
    <row r="233" spans="1:1" x14ac:dyDescent="0.25">
      <c r="A233" t="s">
        <v>297</v>
      </c>
    </row>
    <row r="234" spans="1:1" x14ac:dyDescent="0.25">
      <c r="A234" t="s">
        <v>298</v>
      </c>
    </row>
    <row r="235" spans="1:1" x14ac:dyDescent="0.25">
      <c r="A235" t="s">
        <v>299</v>
      </c>
    </row>
    <row r="236" spans="1:1" x14ac:dyDescent="0.25">
      <c r="A236" t="s">
        <v>300</v>
      </c>
    </row>
    <row r="237" spans="1:1" x14ac:dyDescent="0.25">
      <c r="A237" t="s">
        <v>301</v>
      </c>
    </row>
    <row r="238" spans="1:1" x14ac:dyDescent="0.25">
      <c r="A238" t="s">
        <v>302</v>
      </c>
    </row>
    <row r="239" spans="1:1" x14ac:dyDescent="0.25">
      <c r="A239" t="s">
        <v>303</v>
      </c>
    </row>
    <row r="240" spans="1:1" x14ac:dyDescent="0.25">
      <c r="A240" t="s">
        <v>304</v>
      </c>
    </row>
    <row r="241" spans="1:1" x14ac:dyDescent="0.25">
      <c r="A241" t="s">
        <v>305</v>
      </c>
    </row>
    <row r="242" spans="1:1" x14ac:dyDescent="0.25">
      <c r="A242" t="s">
        <v>306</v>
      </c>
    </row>
    <row r="243" spans="1:1" x14ac:dyDescent="0.25">
      <c r="A243" t="s">
        <v>307</v>
      </c>
    </row>
    <row r="244" spans="1:1" x14ac:dyDescent="0.25">
      <c r="A244" t="s">
        <v>308</v>
      </c>
    </row>
    <row r="245" spans="1:1" x14ac:dyDescent="0.25">
      <c r="A245" t="s">
        <v>309</v>
      </c>
    </row>
    <row r="246" spans="1:1" x14ac:dyDescent="0.25">
      <c r="A246" t="s">
        <v>310</v>
      </c>
    </row>
    <row r="247" spans="1:1" x14ac:dyDescent="0.25">
      <c r="A247" t="s">
        <v>311</v>
      </c>
    </row>
    <row r="248" spans="1:1" x14ac:dyDescent="0.25">
      <c r="A248" t="s">
        <v>312</v>
      </c>
    </row>
    <row r="249" spans="1:1" x14ac:dyDescent="0.25">
      <c r="A249" t="s">
        <v>313</v>
      </c>
    </row>
    <row r="250" spans="1:1" x14ac:dyDescent="0.25">
      <c r="A250" t="s">
        <v>314</v>
      </c>
    </row>
    <row r="251" spans="1:1" x14ac:dyDescent="0.25">
      <c r="A251" t="s">
        <v>315</v>
      </c>
    </row>
    <row r="252" spans="1:1" x14ac:dyDescent="0.25">
      <c r="A252" t="s">
        <v>316</v>
      </c>
    </row>
    <row r="253" spans="1:1" x14ac:dyDescent="0.25">
      <c r="A253" t="s">
        <v>317</v>
      </c>
    </row>
    <row r="254" spans="1:1" x14ac:dyDescent="0.25">
      <c r="A254" t="s">
        <v>318</v>
      </c>
    </row>
    <row r="255" spans="1:1" x14ac:dyDescent="0.25">
      <c r="A255" t="s">
        <v>319</v>
      </c>
    </row>
    <row r="256" spans="1:1" x14ac:dyDescent="0.25">
      <c r="A256" t="s">
        <v>320</v>
      </c>
    </row>
    <row r="257" spans="1:1" x14ac:dyDescent="0.25">
      <c r="A257" t="s">
        <v>321</v>
      </c>
    </row>
    <row r="258" spans="1:1" x14ac:dyDescent="0.25">
      <c r="A258" t="s">
        <v>322</v>
      </c>
    </row>
    <row r="259" spans="1:1" x14ac:dyDescent="0.25">
      <c r="A259" t="s">
        <v>323</v>
      </c>
    </row>
    <row r="260" spans="1:1" x14ac:dyDescent="0.25">
      <c r="A260" t="s">
        <v>324</v>
      </c>
    </row>
    <row r="261" spans="1:1" x14ac:dyDescent="0.25">
      <c r="A261" t="s">
        <v>325</v>
      </c>
    </row>
    <row r="262" spans="1:1" x14ac:dyDescent="0.25">
      <c r="A262" t="s">
        <v>326</v>
      </c>
    </row>
    <row r="263" spans="1:1" x14ac:dyDescent="0.25">
      <c r="A263" t="s">
        <v>327</v>
      </c>
    </row>
    <row r="264" spans="1:1" x14ac:dyDescent="0.25">
      <c r="A264" t="s">
        <v>328</v>
      </c>
    </row>
    <row r="265" spans="1:1" x14ac:dyDescent="0.25">
      <c r="A265" t="s">
        <v>329</v>
      </c>
    </row>
    <row r="266" spans="1:1" x14ac:dyDescent="0.25">
      <c r="A266" t="s">
        <v>330</v>
      </c>
    </row>
    <row r="267" spans="1:1" x14ac:dyDescent="0.25">
      <c r="A267" t="s">
        <v>331</v>
      </c>
    </row>
    <row r="268" spans="1:1" x14ac:dyDescent="0.25">
      <c r="A268" t="s">
        <v>332</v>
      </c>
    </row>
    <row r="269" spans="1:1" x14ac:dyDescent="0.25">
      <c r="A269" t="s">
        <v>333</v>
      </c>
    </row>
    <row r="270" spans="1:1" x14ac:dyDescent="0.25">
      <c r="A270" t="s">
        <v>334</v>
      </c>
    </row>
    <row r="271" spans="1:1" x14ac:dyDescent="0.25">
      <c r="A271" t="s">
        <v>335</v>
      </c>
    </row>
    <row r="272" spans="1:1" x14ac:dyDescent="0.25">
      <c r="A272" t="s">
        <v>336</v>
      </c>
    </row>
    <row r="273" spans="1:1" x14ac:dyDescent="0.25">
      <c r="A273" t="s">
        <v>337</v>
      </c>
    </row>
    <row r="274" spans="1:1" x14ac:dyDescent="0.25">
      <c r="A274" t="s">
        <v>338</v>
      </c>
    </row>
    <row r="275" spans="1:1" x14ac:dyDescent="0.25">
      <c r="A275" t="s">
        <v>339</v>
      </c>
    </row>
    <row r="276" spans="1:1" x14ac:dyDescent="0.25">
      <c r="A276" t="s">
        <v>340</v>
      </c>
    </row>
    <row r="277" spans="1:1" x14ac:dyDescent="0.25">
      <c r="A277" t="s">
        <v>341</v>
      </c>
    </row>
    <row r="278" spans="1:1" x14ac:dyDescent="0.25">
      <c r="A278" t="s">
        <v>342</v>
      </c>
    </row>
    <row r="279" spans="1:1" x14ac:dyDescent="0.25">
      <c r="A279" t="s">
        <v>343</v>
      </c>
    </row>
    <row r="280" spans="1:1" x14ac:dyDescent="0.25">
      <c r="A280" t="s">
        <v>344</v>
      </c>
    </row>
    <row r="281" spans="1:1" x14ac:dyDescent="0.25">
      <c r="A281" t="s">
        <v>345</v>
      </c>
    </row>
    <row r="282" spans="1:1" x14ac:dyDescent="0.25">
      <c r="A282" t="s">
        <v>346</v>
      </c>
    </row>
    <row r="283" spans="1:1" x14ac:dyDescent="0.25">
      <c r="A283" t="s">
        <v>347</v>
      </c>
    </row>
    <row r="284" spans="1:1" x14ac:dyDescent="0.25">
      <c r="A284" t="s">
        <v>348</v>
      </c>
    </row>
    <row r="285" spans="1:1" x14ac:dyDescent="0.25">
      <c r="A285" t="s">
        <v>349</v>
      </c>
    </row>
    <row r="286" spans="1:1" x14ac:dyDescent="0.25">
      <c r="A286" t="s">
        <v>350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353</v>
      </c>
    </row>
    <row r="290" spans="1:1" x14ac:dyDescent="0.25">
      <c r="A290" t="s">
        <v>354</v>
      </c>
    </row>
    <row r="291" spans="1:1" x14ac:dyDescent="0.25">
      <c r="A291" t="s">
        <v>355</v>
      </c>
    </row>
    <row r="292" spans="1:1" x14ac:dyDescent="0.25">
      <c r="A292" t="s">
        <v>356</v>
      </c>
    </row>
    <row r="293" spans="1:1" x14ac:dyDescent="0.25">
      <c r="A293" t="s">
        <v>357</v>
      </c>
    </row>
    <row r="294" spans="1:1" x14ac:dyDescent="0.25">
      <c r="A294" t="s">
        <v>358</v>
      </c>
    </row>
    <row r="295" spans="1:1" x14ac:dyDescent="0.25">
      <c r="A295" t="s">
        <v>359</v>
      </c>
    </row>
    <row r="296" spans="1:1" x14ac:dyDescent="0.25">
      <c r="A296" t="s">
        <v>360</v>
      </c>
    </row>
    <row r="297" spans="1:1" x14ac:dyDescent="0.25">
      <c r="A297" t="s">
        <v>361</v>
      </c>
    </row>
    <row r="298" spans="1:1" x14ac:dyDescent="0.25">
      <c r="A298" t="s">
        <v>362</v>
      </c>
    </row>
    <row r="299" spans="1:1" x14ac:dyDescent="0.25">
      <c r="A299" t="s">
        <v>363</v>
      </c>
    </row>
    <row r="300" spans="1:1" x14ac:dyDescent="0.25">
      <c r="A300" t="s">
        <v>364</v>
      </c>
    </row>
    <row r="301" spans="1:1" x14ac:dyDescent="0.25">
      <c r="A301" t="s">
        <v>365</v>
      </c>
    </row>
    <row r="302" spans="1:1" x14ac:dyDescent="0.25">
      <c r="A302" t="s">
        <v>366</v>
      </c>
    </row>
    <row r="303" spans="1:1" x14ac:dyDescent="0.25">
      <c r="A303" t="s">
        <v>367</v>
      </c>
    </row>
    <row r="304" spans="1:1" x14ac:dyDescent="0.25">
      <c r="A304" t="s">
        <v>368</v>
      </c>
    </row>
    <row r="305" spans="1:1" x14ac:dyDescent="0.25">
      <c r="A305" t="s">
        <v>369</v>
      </c>
    </row>
    <row r="306" spans="1:1" x14ac:dyDescent="0.25">
      <c r="A306" t="s">
        <v>370</v>
      </c>
    </row>
    <row r="307" spans="1:1" x14ac:dyDescent="0.25">
      <c r="A307" t="s">
        <v>371</v>
      </c>
    </row>
    <row r="308" spans="1:1" x14ac:dyDescent="0.25">
      <c r="A308" t="s">
        <v>372</v>
      </c>
    </row>
    <row r="309" spans="1:1" x14ac:dyDescent="0.25">
      <c r="A309" t="s">
        <v>373</v>
      </c>
    </row>
    <row r="310" spans="1:1" x14ac:dyDescent="0.25">
      <c r="A310" t="s">
        <v>374</v>
      </c>
    </row>
    <row r="311" spans="1:1" x14ac:dyDescent="0.25">
      <c r="A311" t="s">
        <v>375</v>
      </c>
    </row>
    <row r="312" spans="1:1" x14ac:dyDescent="0.25">
      <c r="A312" t="s">
        <v>376</v>
      </c>
    </row>
    <row r="313" spans="1:1" x14ac:dyDescent="0.25">
      <c r="A313" t="s">
        <v>377</v>
      </c>
    </row>
    <row r="314" spans="1:1" x14ac:dyDescent="0.25">
      <c r="A314" t="s">
        <v>378</v>
      </c>
    </row>
    <row r="315" spans="1:1" x14ac:dyDescent="0.25">
      <c r="A315" t="s">
        <v>379</v>
      </c>
    </row>
    <row r="316" spans="1:1" x14ac:dyDescent="0.25">
      <c r="A316" t="s">
        <v>380</v>
      </c>
    </row>
    <row r="317" spans="1:1" x14ac:dyDescent="0.25">
      <c r="A317" t="s">
        <v>381</v>
      </c>
    </row>
    <row r="318" spans="1:1" x14ac:dyDescent="0.25">
      <c r="A318" t="s">
        <v>382</v>
      </c>
    </row>
    <row r="319" spans="1:1" x14ac:dyDescent="0.25">
      <c r="A319" t="s">
        <v>383</v>
      </c>
    </row>
    <row r="320" spans="1:1" x14ac:dyDescent="0.25">
      <c r="A320" t="s">
        <v>384</v>
      </c>
    </row>
    <row r="321" spans="1:1" x14ac:dyDescent="0.25">
      <c r="A321" t="s">
        <v>385</v>
      </c>
    </row>
    <row r="322" spans="1:1" x14ac:dyDescent="0.25">
      <c r="A322" t="s">
        <v>386</v>
      </c>
    </row>
    <row r="323" spans="1:1" x14ac:dyDescent="0.25">
      <c r="A323" t="s">
        <v>387</v>
      </c>
    </row>
    <row r="324" spans="1:1" x14ac:dyDescent="0.25">
      <c r="A324" t="s">
        <v>388</v>
      </c>
    </row>
    <row r="325" spans="1:1" x14ac:dyDescent="0.25">
      <c r="A325" t="s">
        <v>389</v>
      </c>
    </row>
    <row r="326" spans="1:1" x14ac:dyDescent="0.25">
      <c r="A326" t="s">
        <v>390</v>
      </c>
    </row>
    <row r="327" spans="1:1" x14ac:dyDescent="0.25">
      <c r="A327" t="s">
        <v>391</v>
      </c>
    </row>
    <row r="328" spans="1:1" x14ac:dyDescent="0.25">
      <c r="A328" t="s">
        <v>392</v>
      </c>
    </row>
    <row r="329" spans="1:1" x14ac:dyDescent="0.25">
      <c r="A329" t="s">
        <v>393</v>
      </c>
    </row>
    <row r="330" spans="1:1" x14ac:dyDescent="0.25">
      <c r="A330" t="s">
        <v>394</v>
      </c>
    </row>
    <row r="331" spans="1:1" x14ac:dyDescent="0.25">
      <c r="A331" t="s">
        <v>395</v>
      </c>
    </row>
    <row r="332" spans="1:1" x14ac:dyDescent="0.25">
      <c r="A332" t="s">
        <v>396</v>
      </c>
    </row>
    <row r="333" spans="1:1" x14ac:dyDescent="0.25">
      <c r="A333" t="s">
        <v>397</v>
      </c>
    </row>
    <row r="334" spans="1:1" x14ac:dyDescent="0.25">
      <c r="A334" t="s">
        <v>398</v>
      </c>
    </row>
    <row r="335" spans="1:1" x14ac:dyDescent="0.25">
      <c r="A335" t="s">
        <v>399</v>
      </c>
    </row>
    <row r="336" spans="1:1" x14ac:dyDescent="0.25">
      <c r="A336" t="s">
        <v>400</v>
      </c>
    </row>
    <row r="337" spans="1:1" x14ac:dyDescent="0.25">
      <c r="A337" t="s">
        <v>401</v>
      </c>
    </row>
    <row r="338" spans="1:1" x14ac:dyDescent="0.25">
      <c r="A338" t="s">
        <v>402</v>
      </c>
    </row>
    <row r="339" spans="1:1" x14ac:dyDescent="0.25">
      <c r="A339" t="s">
        <v>403</v>
      </c>
    </row>
    <row r="340" spans="1:1" x14ac:dyDescent="0.25">
      <c r="A340" t="s">
        <v>404</v>
      </c>
    </row>
    <row r="341" spans="1:1" x14ac:dyDescent="0.25">
      <c r="A341" t="s">
        <v>405</v>
      </c>
    </row>
    <row r="342" spans="1:1" x14ac:dyDescent="0.25">
      <c r="A342" t="s">
        <v>406</v>
      </c>
    </row>
    <row r="343" spans="1:1" x14ac:dyDescent="0.25">
      <c r="A343" t="s">
        <v>407</v>
      </c>
    </row>
    <row r="344" spans="1:1" x14ac:dyDescent="0.25">
      <c r="A344" t="s">
        <v>408</v>
      </c>
    </row>
    <row r="345" spans="1:1" x14ac:dyDescent="0.25">
      <c r="A345" t="s">
        <v>409</v>
      </c>
    </row>
    <row r="346" spans="1:1" x14ac:dyDescent="0.25">
      <c r="A346" t="s">
        <v>410</v>
      </c>
    </row>
    <row r="347" spans="1:1" x14ac:dyDescent="0.25">
      <c r="A347" t="s">
        <v>411</v>
      </c>
    </row>
    <row r="348" spans="1:1" x14ac:dyDescent="0.25">
      <c r="A348" t="s">
        <v>412</v>
      </c>
    </row>
    <row r="349" spans="1:1" x14ac:dyDescent="0.25">
      <c r="A349" t="s">
        <v>413</v>
      </c>
    </row>
    <row r="350" spans="1:1" x14ac:dyDescent="0.25">
      <c r="A350" t="s">
        <v>414</v>
      </c>
    </row>
    <row r="351" spans="1:1" x14ac:dyDescent="0.25">
      <c r="A351" t="s">
        <v>415</v>
      </c>
    </row>
    <row r="352" spans="1:1" x14ac:dyDescent="0.25">
      <c r="A352" t="s">
        <v>416</v>
      </c>
    </row>
    <row r="353" spans="1:1" x14ac:dyDescent="0.25">
      <c r="A353" t="s">
        <v>417</v>
      </c>
    </row>
    <row r="354" spans="1:1" x14ac:dyDescent="0.25">
      <c r="A354" t="s">
        <v>418</v>
      </c>
    </row>
    <row r="355" spans="1:1" x14ac:dyDescent="0.25">
      <c r="A355" t="s">
        <v>419</v>
      </c>
    </row>
    <row r="356" spans="1:1" x14ac:dyDescent="0.25">
      <c r="A356" t="s">
        <v>420</v>
      </c>
    </row>
    <row r="357" spans="1:1" x14ac:dyDescent="0.25">
      <c r="A357" t="s">
        <v>421</v>
      </c>
    </row>
    <row r="358" spans="1:1" x14ac:dyDescent="0.25">
      <c r="A358" t="s">
        <v>422</v>
      </c>
    </row>
    <row r="359" spans="1:1" x14ac:dyDescent="0.25">
      <c r="A359" t="s">
        <v>423</v>
      </c>
    </row>
    <row r="360" spans="1:1" x14ac:dyDescent="0.25">
      <c r="A360" t="s">
        <v>424</v>
      </c>
    </row>
    <row r="361" spans="1:1" x14ac:dyDescent="0.25">
      <c r="A361" t="s">
        <v>425</v>
      </c>
    </row>
    <row r="362" spans="1:1" x14ac:dyDescent="0.25">
      <c r="A362" t="s">
        <v>426</v>
      </c>
    </row>
    <row r="363" spans="1:1" x14ac:dyDescent="0.25">
      <c r="A363" t="s">
        <v>427</v>
      </c>
    </row>
    <row r="364" spans="1:1" x14ac:dyDescent="0.25">
      <c r="A364" t="s">
        <v>428</v>
      </c>
    </row>
    <row r="365" spans="1:1" x14ac:dyDescent="0.25">
      <c r="A365" t="s">
        <v>429</v>
      </c>
    </row>
    <row r="366" spans="1:1" x14ac:dyDescent="0.25">
      <c r="A366" t="s">
        <v>430</v>
      </c>
    </row>
    <row r="367" spans="1:1" x14ac:dyDescent="0.25">
      <c r="A367" t="s">
        <v>431</v>
      </c>
    </row>
    <row r="368" spans="1:1" x14ac:dyDescent="0.25">
      <c r="A368" t="s">
        <v>432</v>
      </c>
    </row>
    <row r="369" spans="1:1" x14ac:dyDescent="0.25">
      <c r="A369" t="s">
        <v>433</v>
      </c>
    </row>
    <row r="370" spans="1:1" x14ac:dyDescent="0.25">
      <c r="A370" t="s">
        <v>434</v>
      </c>
    </row>
    <row r="371" spans="1:1" x14ac:dyDescent="0.25">
      <c r="A371" t="s">
        <v>435</v>
      </c>
    </row>
    <row r="372" spans="1:1" x14ac:dyDescent="0.25">
      <c r="A372" t="s">
        <v>436</v>
      </c>
    </row>
    <row r="373" spans="1:1" x14ac:dyDescent="0.25">
      <c r="A373" t="s">
        <v>437</v>
      </c>
    </row>
    <row r="374" spans="1:1" x14ac:dyDescent="0.25">
      <c r="A374" t="s">
        <v>438</v>
      </c>
    </row>
    <row r="375" spans="1:1" x14ac:dyDescent="0.25">
      <c r="A375" t="s">
        <v>439</v>
      </c>
    </row>
    <row r="376" spans="1:1" x14ac:dyDescent="0.25">
      <c r="A376" t="s">
        <v>440</v>
      </c>
    </row>
    <row r="377" spans="1:1" x14ac:dyDescent="0.25">
      <c r="A377" t="s">
        <v>441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450</v>
      </c>
    </row>
    <row r="387" spans="1:1" x14ac:dyDescent="0.25">
      <c r="A387" t="s">
        <v>451</v>
      </c>
    </row>
    <row r="388" spans="1:1" x14ac:dyDescent="0.25">
      <c r="A388" t="s">
        <v>452</v>
      </c>
    </row>
    <row r="389" spans="1:1" x14ac:dyDescent="0.25">
      <c r="A389" t="s">
        <v>453</v>
      </c>
    </row>
    <row r="390" spans="1:1" x14ac:dyDescent="0.25">
      <c r="A390" t="s">
        <v>454</v>
      </c>
    </row>
    <row r="391" spans="1:1" x14ac:dyDescent="0.25">
      <c r="A391" t="s">
        <v>455</v>
      </c>
    </row>
    <row r="392" spans="1:1" x14ac:dyDescent="0.25">
      <c r="A392" t="s">
        <v>456</v>
      </c>
    </row>
    <row r="393" spans="1:1" x14ac:dyDescent="0.25">
      <c r="A393" t="s">
        <v>457</v>
      </c>
    </row>
    <row r="394" spans="1:1" x14ac:dyDescent="0.25">
      <c r="A394" t="s">
        <v>458</v>
      </c>
    </row>
    <row r="395" spans="1:1" x14ac:dyDescent="0.25">
      <c r="A395" t="s">
        <v>459</v>
      </c>
    </row>
    <row r="396" spans="1:1" x14ac:dyDescent="0.25">
      <c r="A396" t="s">
        <v>460</v>
      </c>
    </row>
    <row r="397" spans="1:1" x14ac:dyDescent="0.25">
      <c r="A397" t="s">
        <v>461</v>
      </c>
    </row>
    <row r="398" spans="1:1" x14ac:dyDescent="0.25">
      <c r="A398" t="s">
        <v>462</v>
      </c>
    </row>
    <row r="399" spans="1:1" x14ac:dyDescent="0.25">
      <c r="A399" t="s">
        <v>463</v>
      </c>
    </row>
    <row r="400" spans="1:1" x14ac:dyDescent="0.25">
      <c r="A400" t="s">
        <v>464</v>
      </c>
    </row>
    <row r="401" spans="1:1" x14ac:dyDescent="0.25">
      <c r="A401" t="s">
        <v>465</v>
      </c>
    </row>
    <row r="402" spans="1:1" x14ac:dyDescent="0.25">
      <c r="A402" t="s">
        <v>466</v>
      </c>
    </row>
    <row r="403" spans="1:1" x14ac:dyDescent="0.25">
      <c r="A403" t="s">
        <v>467</v>
      </c>
    </row>
    <row r="404" spans="1:1" x14ac:dyDescent="0.25">
      <c r="A404" t="s">
        <v>468</v>
      </c>
    </row>
    <row r="405" spans="1:1" x14ac:dyDescent="0.25">
      <c r="A405" t="s">
        <v>469</v>
      </c>
    </row>
    <row r="406" spans="1:1" x14ac:dyDescent="0.25">
      <c r="A406" t="s">
        <v>470</v>
      </c>
    </row>
    <row r="407" spans="1:1" x14ac:dyDescent="0.25">
      <c r="A407" t="s">
        <v>471</v>
      </c>
    </row>
    <row r="408" spans="1:1" x14ac:dyDescent="0.25">
      <c r="A408" t="s">
        <v>472</v>
      </c>
    </row>
    <row r="409" spans="1:1" x14ac:dyDescent="0.25">
      <c r="A409" t="s">
        <v>473</v>
      </c>
    </row>
    <row r="410" spans="1:1" x14ac:dyDescent="0.25">
      <c r="A410" t="s">
        <v>474</v>
      </c>
    </row>
    <row r="411" spans="1:1" x14ac:dyDescent="0.25">
      <c r="A411" t="s">
        <v>475</v>
      </c>
    </row>
    <row r="412" spans="1:1" x14ac:dyDescent="0.25">
      <c r="A412" t="s">
        <v>476</v>
      </c>
    </row>
    <row r="413" spans="1:1" x14ac:dyDescent="0.25">
      <c r="A413" t="s">
        <v>477</v>
      </c>
    </row>
    <row r="414" spans="1:1" x14ac:dyDescent="0.25">
      <c r="A414" t="s">
        <v>478</v>
      </c>
    </row>
    <row r="415" spans="1:1" x14ac:dyDescent="0.25">
      <c r="A415" t="s">
        <v>479</v>
      </c>
    </row>
    <row r="416" spans="1:1" x14ac:dyDescent="0.25">
      <c r="A416" t="s">
        <v>480</v>
      </c>
    </row>
    <row r="417" spans="1:1" x14ac:dyDescent="0.25">
      <c r="A417" t="s">
        <v>481</v>
      </c>
    </row>
    <row r="418" spans="1:1" x14ac:dyDescent="0.25">
      <c r="A418" t="s">
        <v>482</v>
      </c>
    </row>
    <row r="419" spans="1:1" x14ac:dyDescent="0.25">
      <c r="A419" t="s">
        <v>483</v>
      </c>
    </row>
    <row r="420" spans="1:1" x14ac:dyDescent="0.25">
      <c r="A420" t="s">
        <v>484</v>
      </c>
    </row>
    <row r="421" spans="1:1" x14ac:dyDescent="0.25">
      <c r="A421" t="s">
        <v>485</v>
      </c>
    </row>
    <row r="422" spans="1:1" x14ac:dyDescent="0.25">
      <c r="A422" t="s">
        <v>486</v>
      </c>
    </row>
    <row r="423" spans="1:1" x14ac:dyDescent="0.25">
      <c r="A423" t="s">
        <v>487</v>
      </c>
    </row>
    <row r="424" spans="1:1" x14ac:dyDescent="0.25">
      <c r="A424" t="s">
        <v>488</v>
      </c>
    </row>
    <row r="425" spans="1:1" x14ac:dyDescent="0.25">
      <c r="A425" t="s">
        <v>489</v>
      </c>
    </row>
    <row r="426" spans="1:1" x14ac:dyDescent="0.25">
      <c r="A426" t="s">
        <v>490</v>
      </c>
    </row>
    <row r="427" spans="1:1" x14ac:dyDescent="0.25">
      <c r="A427" t="s">
        <v>491</v>
      </c>
    </row>
    <row r="428" spans="1:1" x14ac:dyDescent="0.25">
      <c r="A428" t="s">
        <v>492</v>
      </c>
    </row>
    <row r="429" spans="1:1" x14ac:dyDescent="0.25">
      <c r="A429" t="s">
        <v>493</v>
      </c>
    </row>
    <row r="430" spans="1:1" x14ac:dyDescent="0.25">
      <c r="A430" t="s">
        <v>494</v>
      </c>
    </row>
    <row r="431" spans="1:1" x14ac:dyDescent="0.25">
      <c r="A431" t="s">
        <v>495</v>
      </c>
    </row>
    <row r="432" spans="1:1" x14ac:dyDescent="0.25">
      <c r="A432" t="s">
        <v>496</v>
      </c>
    </row>
    <row r="433" spans="1:1" x14ac:dyDescent="0.25">
      <c r="A433" t="s">
        <v>497</v>
      </c>
    </row>
    <row r="434" spans="1:1" x14ac:dyDescent="0.25">
      <c r="A434" t="s">
        <v>498</v>
      </c>
    </row>
    <row r="435" spans="1:1" x14ac:dyDescent="0.25">
      <c r="A435" t="s">
        <v>499</v>
      </c>
    </row>
    <row r="436" spans="1:1" x14ac:dyDescent="0.25">
      <c r="A436" t="s">
        <v>500</v>
      </c>
    </row>
    <row r="437" spans="1:1" x14ac:dyDescent="0.25">
      <c r="A437" t="s">
        <v>501</v>
      </c>
    </row>
    <row r="438" spans="1:1" x14ac:dyDescent="0.25">
      <c r="A438" t="s">
        <v>502</v>
      </c>
    </row>
    <row r="439" spans="1:1" x14ac:dyDescent="0.25">
      <c r="A439" t="s">
        <v>503</v>
      </c>
    </row>
    <row r="440" spans="1:1" x14ac:dyDescent="0.25">
      <c r="A440" t="s">
        <v>504</v>
      </c>
    </row>
    <row r="441" spans="1:1" x14ac:dyDescent="0.25">
      <c r="A441" t="s">
        <v>505</v>
      </c>
    </row>
    <row r="442" spans="1:1" x14ac:dyDescent="0.25">
      <c r="A442" t="s">
        <v>506</v>
      </c>
    </row>
    <row r="443" spans="1:1" x14ac:dyDescent="0.25">
      <c r="A443" t="s">
        <v>507</v>
      </c>
    </row>
    <row r="444" spans="1:1" x14ac:dyDescent="0.25">
      <c r="A444" t="s">
        <v>508</v>
      </c>
    </row>
    <row r="445" spans="1:1" x14ac:dyDescent="0.25">
      <c r="A445" t="s">
        <v>509</v>
      </c>
    </row>
    <row r="446" spans="1:1" x14ac:dyDescent="0.25">
      <c r="A446" t="s">
        <v>510</v>
      </c>
    </row>
    <row r="447" spans="1:1" x14ac:dyDescent="0.25">
      <c r="A447" t="s">
        <v>511</v>
      </c>
    </row>
    <row r="448" spans="1:1" x14ac:dyDescent="0.25">
      <c r="A448" t="s">
        <v>512</v>
      </c>
    </row>
    <row r="449" spans="1:1" x14ac:dyDescent="0.25">
      <c r="A449" t="s">
        <v>513</v>
      </c>
    </row>
    <row r="450" spans="1:1" x14ac:dyDescent="0.25">
      <c r="A450" t="s">
        <v>514</v>
      </c>
    </row>
    <row r="451" spans="1:1" x14ac:dyDescent="0.25">
      <c r="A451" t="s">
        <v>515</v>
      </c>
    </row>
    <row r="452" spans="1:1" x14ac:dyDescent="0.25">
      <c r="A452" t="s">
        <v>516</v>
      </c>
    </row>
    <row r="453" spans="1:1" x14ac:dyDescent="0.25">
      <c r="A453" t="s">
        <v>517</v>
      </c>
    </row>
    <row r="454" spans="1:1" x14ac:dyDescent="0.25">
      <c r="A454" t="s">
        <v>518</v>
      </c>
    </row>
    <row r="455" spans="1:1" x14ac:dyDescent="0.25">
      <c r="A455" t="s">
        <v>519</v>
      </c>
    </row>
    <row r="456" spans="1:1" x14ac:dyDescent="0.25">
      <c r="A456" t="s">
        <v>520</v>
      </c>
    </row>
    <row r="457" spans="1:1" x14ac:dyDescent="0.25">
      <c r="A457" t="s">
        <v>521</v>
      </c>
    </row>
    <row r="458" spans="1:1" x14ac:dyDescent="0.25">
      <c r="A458" t="s">
        <v>522</v>
      </c>
    </row>
    <row r="459" spans="1:1" x14ac:dyDescent="0.25">
      <c r="A459" t="s">
        <v>523</v>
      </c>
    </row>
    <row r="460" spans="1:1" x14ac:dyDescent="0.25">
      <c r="A460" t="s">
        <v>524</v>
      </c>
    </row>
    <row r="461" spans="1:1" x14ac:dyDescent="0.25">
      <c r="A461" t="s">
        <v>525</v>
      </c>
    </row>
    <row r="462" spans="1:1" x14ac:dyDescent="0.25">
      <c r="A462" t="s">
        <v>526</v>
      </c>
    </row>
    <row r="463" spans="1:1" x14ac:dyDescent="0.25">
      <c r="A463" t="s">
        <v>527</v>
      </c>
    </row>
    <row r="464" spans="1:1" x14ac:dyDescent="0.25">
      <c r="A464" t="s">
        <v>528</v>
      </c>
    </row>
    <row r="465" spans="1:1" x14ac:dyDescent="0.25">
      <c r="A465" t="s">
        <v>529</v>
      </c>
    </row>
    <row r="466" spans="1:1" x14ac:dyDescent="0.25">
      <c r="A466" t="s">
        <v>530</v>
      </c>
    </row>
    <row r="467" spans="1:1" x14ac:dyDescent="0.25">
      <c r="A467" t="s">
        <v>531</v>
      </c>
    </row>
    <row r="468" spans="1:1" x14ac:dyDescent="0.25">
      <c r="A468" t="s">
        <v>532</v>
      </c>
    </row>
    <row r="469" spans="1:1" x14ac:dyDescent="0.25">
      <c r="A469" t="s">
        <v>533</v>
      </c>
    </row>
    <row r="470" spans="1:1" x14ac:dyDescent="0.25">
      <c r="A470" t="s">
        <v>534</v>
      </c>
    </row>
    <row r="471" spans="1:1" x14ac:dyDescent="0.25">
      <c r="A471" t="s">
        <v>535</v>
      </c>
    </row>
    <row r="472" spans="1:1" x14ac:dyDescent="0.25">
      <c r="A472" t="s">
        <v>536</v>
      </c>
    </row>
    <row r="473" spans="1:1" x14ac:dyDescent="0.25">
      <c r="A473" t="s">
        <v>537</v>
      </c>
    </row>
    <row r="474" spans="1:1" x14ac:dyDescent="0.25">
      <c r="A474" t="s">
        <v>538</v>
      </c>
    </row>
    <row r="475" spans="1:1" x14ac:dyDescent="0.25">
      <c r="A475" t="s">
        <v>539</v>
      </c>
    </row>
    <row r="476" spans="1:1" x14ac:dyDescent="0.25">
      <c r="A476" t="s">
        <v>540</v>
      </c>
    </row>
    <row r="477" spans="1:1" x14ac:dyDescent="0.25">
      <c r="A477" t="s">
        <v>541</v>
      </c>
    </row>
    <row r="478" spans="1:1" x14ac:dyDescent="0.25">
      <c r="A478" t="s">
        <v>542</v>
      </c>
    </row>
    <row r="479" spans="1:1" x14ac:dyDescent="0.25">
      <c r="A479" t="s">
        <v>543</v>
      </c>
    </row>
    <row r="480" spans="1:1" x14ac:dyDescent="0.25">
      <c r="A480" t="s">
        <v>544</v>
      </c>
    </row>
    <row r="481" spans="1:1" x14ac:dyDescent="0.25">
      <c r="A481" t="s">
        <v>545</v>
      </c>
    </row>
    <row r="482" spans="1:1" x14ac:dyDescent="0.25">
      <c r="A482" t="s">
        <v>546</v>
      </c>
    </row>
    <row r="483" spans="1:1" x14ac:dyDescent="0.25">
      <c r="A483" t="s">
        <v>547</v>
      </c>
    </row>
    <row r="484" spans="1:1" x14ac:dyDescent="0.25">
      <c r="A484" t="s">
        <v>548</v>
      </c>
    </row>
    <row r="485" spans="1:1" x14ac:dyDescent="0.25">
      <c r="A485" t="s">
        <v>549</v>
      </c>
    </row>
    <row r="486" spans="1:1" x14ac:dyDescent="0.25">
      <c r="A486" t="s">
        <v>550</v>
      </c>
    </row>
    <row r="487" spans="1:1" x14ac:dyDescent="0.25">
      <c r="A487" t="s">
        <v>551</v>
      </c>
    </row>
    <row r="488" spans="1:1" x14ac:dyDescent="0.25">
      <c r="A488" t="s">
        <v>552</v>
      </c>
    </row>
    <row r="489" spans="1:1" x14ac:dyDescent="0.25">
      <c r="A489" t="s">
        <v>553</v>
      </c>
    </row>
    <row r="490" spans="1:1" x14ac:dyDescent="0.25">
      <c r="A490" t="s">
        <v>554</v>
      </c>
    </row>
    <row r="491" spans="1:1" x14ac:dyDescent="0.25">
      <c r="A491" t="s">
        <v>555</v>
      </c>
    </row>
    <row r="492" spans="1:1" x14ac:dyDescent="0.25">
      <c r="A492" t="s">
        <v>556</v>
      </c>
    </row>
    <row r="493" spans="1:1" x14ac:dyDescent="0.25">
      <c r="A493" t="s">
        <v>557</v>
      </c>
    </row>
    <row r="494" spans="1:1" x14ac:dyDescent="0.25">
      <c r="A494" t="s">
        <v>558</v>
      </c>
    </row>
    <row r="495" spans="1:1" x14ac:dyDescent="0.25">
      <c r="A495" t="s">
        <v>559</v>
      </c>
    </row>
    <row r="496" spans="1:1" x14ac:dyDescent="0.25">
      <c r="A496" t="s">
        <v>560</v>
      </c>
    </row>
    <row r="497" spans="1:1" x14ac:dyDescent="0.25">
      <c r="A497" t="s">
        <v>561</v>
      </c>
    </row>
    <row r="498" spans="1:1" x14ac:dyDescent="0.25">
      <c r="A498" t="s">
        <v>562</v>
      </c>
    </row>
    <row r="499" spans="1:1" x14ac:dyDescent="0.25">
      <c r="A499" t="s">
        <v>563</v>
      </c>
    </row>
    <row r="500" spans="1:1" x14ac:dyDescent="0.25">
      <c r="A500" t="s">
        <v>564</v>
      </c>
    </row>
    <row r="501" spans="1:1" x14ac:dyDescent="0.25">
      <c r="A501" t="s">
        <v>565</v>
      </c>
    </row>
    <row r="502" spans="1:1" x14ac:dyDescent="0.25">
      <c r="A502" t="s">
        <v>566</v>
      </c>
    </row>
    <row r="503" spans="1:1" x14ac:dyDescent="0.25">
      <c r="A503" t="s">
        <v>567</v>
      </c>
    </row>
    <row r="504" spans="1:1" x14ac:dyDescent="0.25">
      <c r="A504" t="s">
        <v>568</v>
      </c>
    </row>
    <row r="505" spans="1:1" x14ac:dyDescent="0.25">
      <c r="A505" t="s">
        <v>569</v>
      </c>
    </row>
    <row r="506" spans="1:1" x14ac:dyDescent="0.25">
      <c r="A506" t="s">
        <v>570</v>
      </c>
    </row>
    <row r="507" spans="1:1" x14ac:dyDescent="0.25">
      <c r="A507" t="s">
        <v>571</v>
      </c>
    </row>
    <row r="508" spans="1:1" x14ac:dyDescent="0.25">
      <c r="A508" t="s">
        <v>572</v>
      </c>
    </row>
    <row r="509" spans="1:1" x14ac:dyDescent="0.25">
      <c r="A509" t="s">
        <v>573</v>
      </c>
    </row>
    <row r="510" spans="1:1" x14ac:dyDescent="0.25">
      <c r="A510" t="s">
        <v>574</v>
      </c>
    </row>
    <row r="511" spans="1:1" x14ac:dyDescent="0.25">
      <c r="A511" t="s">
        <v>575</v>
      </c>
    </row>
    <row r="512" spans="1:1" x14ac:dyDescent="0.25">
      <c r="A512" t="s">
        <v>576</v>
      </c>
    </row>
    <row r="513" spans="1:1" x14ac:dyDescent="0.25">
      <c r="A513" t="s">
        <v>577</v>
      </c>
    </row>
    <row r="514" spans="1:1" x14ac:dyDescent="0.25">
      <c r="A514" t="s">
        <v>578</v>
      </c>
    </row>
    <row r="515" spans="1:1" x14ac:dyDescent="0.25">
      <c r="A515" t="s">
        <v>579</v>
      </c>
    </row>
    <row r="516" spans="1:1" x14ac:dyDescent="0.25">
      <c r="A516" t="s">
        <v>580</v>
      </c>
    </row>
    <row r="517" spans="1:1" x14ac:dyDescent="0.25">
      <c r="A517" t="s">
        <v>581</v>
      </c>
    </row>
    <row r="518" spans="1:1" x14ac:dyDescent="0.25">
      <c r="A518" t="s">
        <v>582</v>
      </c>
    </row>
    <row r="519" spans="1:1" x14ac:dyDescent="0.25">
      <c r="A519" t="s">
        <v>583</v>
      </c>
    </row>
    <row r="520" spans="1:1" x14ac:dyDescent="0.25">
      <c r="A520" t="s">
        <v>584</v>
      </c>
    </row>
    <row r="521" spans="1:1" x14ac:dyDescent="0.25">
      <c r="A521" t="s">
        <v>585</v>
      </c>
    </row>
    <row r="522" spans="1:1" x14ac:dyDescent="0.25">
      <c r="A522" t="s">
        <v>586</v>
      </c>
    </row>
    <row r="523" spans="1:1" x14ac:dyDescent="0.25">
      <c r="A523" t="s">
        <v>587</v>
      </c>
    </row>
    <row r="524" spans="1:1" x14ac:dyDescent="0.25">
      <c r="A524" t="s">
        <v>588</v>
      </c>
    </row>
    <row r="525" spans="1:1" x14ac:dyDescent="0.25">
      <c r="A525" t="s">
        <v>589</v>
      </c>
    </row>
    <row r="526" spans="1:1" x14ac:dyDescent="0.25">
      <c r="A526" t="s">
        <v>590</v>
      </c>
    </row>
    <row r="527" spans="1:1" x14ac:dyDescent="0.25">
      <c r="A527" t="s">
        <v>591</v>
      </c>
    </row>
    <row r="528" spans="1:1" x14ac:dyDescent="0.25">
      <c r="A528" t="s">
        <v>592</v>
      </c>
    </row>
    <row r="529" spans="1:1" x14ac:dyDescent="0.25">
      <c r="A529" t="s">
        <v>593</v>
      </c>
    </row>
    <row r="530" spans="1:1" x14ac:dyDescent="0.25">
      <c r="A530" t="s">
        <v>594</v>
      </c>
    </row>
    <row r="531" spans="1:1" x14ac:dyDescent="0.25">
      <c r="A531" t="s">
        <v>595</v>
      </c>
    </row>
    <row r="532" spans="1:1" x14ac:dyDescent="0.25">
      <c r="A532" t="s">
        <v>596</v>
      </c>
    </row>
    <row r="533" spans="1:1" x14ac:dyDescent="0.25">
      <c r="A533" t="s">
        <v>597</v>
      </c>
    </row>
    <row r="534" spans="1:1" x14ac:dyDescent="0.25">
      <c r="A534" t="s">
        <v>598</v>
      </c>
    </row>
    <row r="535" spans="1:1" x14ac:dyDescent="0.25">
      <c r="A535" t="s">
        <v>599</v>
      </c>
    </row>
    <row r="536" spans="1:1" x14ac:dyDescent="0.25">
      <c r="A536" t="s">
        <v>600</v>
      </c>
    </row>
    <row r="537" spans="1:1" x14ac:dyDescent="0.25">
      <c r="A537" t="s">
        <v>601</v>
      </c>
    </row>
    <row r="538" spans="1:1" x14ac:dyDescent="0.25">
      <c r="A538" t="s">
        <v>602</v>
      </c>
    </row>
    <row r="539" spans="1:1" x14ac:dyDescent="0.25">
      <c r="A539" t="s">
        <v>603</v>
      </c>
    </row>
    <row r="540" spans="1:1" x14ac:dyDescent="0.25">
      <c r="A540" t="s">
        <v>604</v>
      </c>
    </row>
    <row r="541" spans="1:1" x14ac:dyDescent="0.25">
      <c r="A541" t="s">
        <v>605</v>
      </c>
    </row>
    <row r="542" spans="1:1" x14ac:dyDescent="0.25">
      <c r="A542" t="s">
        <v>606</v>
      </c>
    </row>
    <row r="543" spans="1:1" x14ac:dyDescent="0.25">
      <c r="A543" t="s">
        <v>607</v>
      </c>
    </row>
    <row r="544" spans="1:1" x14ac:dyDescent="0.25">
      <c r="A544" t="s">
        <v>608</v>
      </c>
    </row>
    <row r="545" spans="1:1" x14ac:dyDescent="0.25">
      <c r="A545" t="s">
        <v>609</v>
      </c>
    </row>
    <row r="546" spans="1:1" x14ac:dyDescent="0.25">
      <c r="A546" t="s">
        <v>610</v>
      </c>
    </row>
    <row r="547" spans="1:1" x14ac:dyDescent="0.25">
      <c r="A547" t="s">
        <v>611</v>
      </c>
    </row>
    <row r="548" spans="1:1" x14ac:dyDescent="0.25">
      <c r="A548" t="s">
        <v>612</v>
      </c>
    </row>
    <row r="549" spans="1:1" x14ac:dyDescent="0.25">
      <c r="A549" t="s">
        <v>613</v>
      </c>
    </row>
    <row r="550" spans="1:1" x14ac:dyDescent="0.25">
      <c r="A550" t="s">
        <v>614</v>
      </c>
    </row>
    <row r="551" spans="1:1" x14ac:dyDescent="0.25">
      <c r="A551" t="s">
        <v>615</v>
      </c>
    </row>
    <row r="552" spans="1:1" x14ac:dyDescent="0.25">
      <c r="A552" t="s">
        <v>616</v>
      </c>
    </row>
    <row r="553" spans="1:1" x14ac:dyDescent="0.25">
      <c r="A553" t="s">
        <v>617</v>
      </c>
    </row>
    <row r="554" spans="1:1" x14ac:dyDescent="0.25">
      <c r="A554" t="s">
        <v>618</v>
      </c>
    </row>
    <row r="555" spans="1:1" x14ac:dyDescent="0.25">
      <c r="A555" t="s">
        <v>619</v>
      </c>
    </row>
    <row r="556" spans="1:1" x14ac:dyDescent="0.25">
      <c r="A556" t="s">
        <v>620</v>
      </c>
    </row>
    <row r="557" spans="1:1" x14ac:dyDescent="0.25">
      <c r="A557" t="s">
        <v>621</v>
      </c>
    </row>
    <row r="558" spans="1:1" x14ac:dyDescent="0.25">
      <c r="A558" t="s">
        <v>622</v>
      </c>
    </row>
    <row r="559" spans="1:1" x14ac:dyDescent="0.25">
      <c r="A559" t="s">
        <v>623</v>
      </c>
    </row>
    <row r="560" spans="1:1" x14ac:dyDescent="0.25">
      <c r="A560" t="s">
        <v>624</v>
      </c>
    </row>
    <row r="561" spans="1:1" x14ac:dyDescent="0.25">
      <c r="A561" t="s">
        <v>625</v>
      </c>
    </row>
    <row r="562" spans="1:1" x14ac:dyDescent="0.25">
      <c r="A562" t="s">
        <v>626</v>
      </c>
    </row>
    <row r="563" spans="1:1" x14ac:dyDescent="0.25">
      <c r="A563" t="s">
        <v>627</v>
      </c>
    </row>
    <row r="564" spans="1:1" x14ac:dyDescent="0.25">
      <c r="A564" t="s">
        <v>628</v>
      </c>
    </row>
    <row r="565" spans="1:1" x14ac:dyDescent="0.25">
      <c r="A565" t="s">
        <v>629</v>
      </c>
    </row>
    <row r="566" spans="1:1" x14ac:dyDescent="0.25">
      <c r="A566" t="s">
        <v>630</v>
      </c>
    </row>
    <row r="567" spans="1:1" x14ac:dyDescent="0.25">
      <c r="A567" t="s">
        <v>631</v>
      </c>
    </row>
    <row r="568" spans="1:1" x14ac:dyDescent="0.25">
      <c r="A568" t="s">
        <v>632</v>
      </c>
    </row>
    <row r="569" spans="1:1" x14ac:dyDescent="0.25">
      <c r="A569" t="s">
        <v>633</v>
      </c>
    </row>
    <row r="570" spans="1:1" x14ac:dyDescent="0.25">
      <c r="A570" t="s">
        <v>634</v>
      </c>
    </row>
    <row r="571" spans="1:1" x14ac:dyDescent="0.25">
      <c r="A571" t="s">
        <v>635</v>
      </c>
    </row>
    <row r="572" spans="1:1" x14ac:dyDescent="0.25">
      <c r="A572" t="s">
        <v>636</v>
      </c>
    </row>
    <row r="573" spans="1:1" x14ac:dyDescent="0.25">
      <c r="A573" t="s">
        <v>637</v>
      </c>
    </row>
    <row r="574" spans="1:1" x14ac:dyDescent="0.25">
      <c r="A574" t="s">
        <v>638</v>
      </c>
    </row>
    <row r="575" spans="1:1" x14ac:dyDescent="0.25">
      <c r="A575" t="s">
        <v>639</v>
      </c>
    </row>
    <row r="576" spans="1:1" x14ac:dyDescent="0.25">
      <c r="A576" t="s">
        <v>640</v>
      </c>
    </row>
    <row r="577" spans="1:1" x14ac:dyDescent="0.25">
      <c r="A577" t="s">
        <v>641</v>
      </c>
    </row>
    <row r="578" spans="1:1" x14ac:dyDescent="0.25">
      <c r="A578" t="s">
        <v>642</v>
      </c>
    </row>
    <row r="579" spans="1:1" x14ac:dyDescent="0.25">
      <c r="A579" t="s">
        <v>643</v>
      </c>
    </row>
    <row r="580" spans="1:1" x14ac:dyDescent="0.25">
      <c r="A580" t="s">
        <v>644</v>
      </c>
    </row>
    <row r="581" spans="1:1" x14ac:dyDescent="0.25">
      <c r="A581" t="s">
        <v>645</v>
      </c>
    </row>
    <row r="582" spans="1:1" x14ac:dyDescent="0.25">
      <c r="A582" t="s">
        <v>646</v>
      </c>
    </row>
    <row r="583" spans="1:1" x14ac:dyDescent="0.25">
      <c r="A583" t="s">
        <v>647</v>
      </c>
    </row>
    <row r="584" spans="1:1" x14ac:dyDescent="0.25">
      <c r="A584" t="s">
        <v>648</v>
      </c>
    </row>
    <row r="585" spans="1:1" x14ac:dyDescent="0.25">
      <c r="A585" t="s">
        <v>649</v>
      </c>
    </row>
    <row r="586" spans="1:1" x14ac:dyDescent="0.25">
      <c r="A586" t="s">
        <v>650</v>
      </c>
    </row>
    <row r="587" spans="1:1" x14ac:dyDescent="0.25">
      <c r="A587" t="s">
        <v>651</v>
      </c>
    </row>
    <row r="588" spans="1:1" x14ac:dyDescent="0.25">
      <c r="A588" t="s">
        <v>652</v>
      </c>
    </row>
    <row r="589" spans="1:1" x14ac:dyDescent="0.25">
      <c r="A589" t="s">
        <v>653</v>
      </c>
    </row>
    <row r="590" spans="1:1" x14ac:dyDescent="0.25">
      <c r="A590" t="s">
        <v>654</v>
      </c>
    </row>
    <row r="591" spans="1:1" x14ac:dyDescent="0.25">
      <c r="A591" t="s">
        <v>655</v>
      </c>
    </row>
    <row r="592" spans="1:1" x14ac:dyDescent="0.25">
      <c r="A592" t="s">
        <v>656</v>
      </c>
    </row>
    <row r="593" spans="1:1" x14ac:dyDescent="0.25">
      <c r="A593" t="s">
        <v>657</v>
      </c>
    </row>
    <row r="594" spans="1:1" x14ac:dyDescent="0.25">
      <c r="A594" t="s">
        <v>658</v>
      </c>
    </row>
    <row r="595" spans="1:1" x14ac:dyDescent="0.25">
      <c r="A595" t="s">
        <v>659</v>
      </c>
    </row>
    <row r="596" spans="1:1" x14ac:dyDescent="0.25">
      <c r="A596" t="s">
        <v>660</v>
      </c>
    </row>
    <row r="597" spans="1:1" x14ac:dyDescent="0.25">
      <c r="A597" t="s">
        <v>661</v>
      </c>
    </row>
    <row r="598" spans="1:1" x14ac:dyDescent="0.25">
      <c r="A598" t="s">
        <v>662</v>
      </c>
    </row>
    <row r="599" spans="1:1" x14ac:dyDescent="0.25">
      <c r="A599" t="s">
        <v>663</v>
      </c>
    </row>
    <row r="600" spans="1:1" x14ac:dyDescent="0.25">
      <c r="A600" t="s">
        <v>664</v>
      </c>
    </row>
    <row r="601" spans="1:1" x14ac:dyDescent="0.25">
      <c r="A601" t="s">
        <v>665</v>
      </c>
    </row>
    <row r="602" spans="1:1" x14ac:dyDescent="0.25">
      <c r="A602" t="s">
        <v>666</v>
      </c>
    </row>
    <row r="603" spans="1:1" x14ac:dyDescent="0.25">
      <c r="A603" t="s">
        <v>667</v>
      </c>
    </row>
    <row r="604" spans="1:1" x14ac:dyDescent="0.25">
      <c r="A604" t="s">
        <v>668</v>
      </c>
    </row>
    <row r="605" spans="1:1" x14ac:dyDescent="0.25">
      <c r="A605" t="s">
        <v>669</v>
      </c>
    </row>
    <row r="606" spans="1:1" x14ac:dyDescent="0.25">
      <c r="A606" t="s">
        <v>670</v>
      </c>
    </row>
    <row r="607" spans="1:1" x14ac:dyDescent="0.25">
      <c r="A607" t="s">
        <v>671</v>
      </c>
    </row>
    <row r="608" spans="1:1" x14ac:dyDescent="0.25">
      <c r="A608" t="s">
        <v>672</v>
      </c>
    </row>
    <row r="609" spans="1:1" x14ac:dyDescent="0.25">
      <c r="A609" t="s">
        <v>673</v>
      </c>
    </row>
    <row r="610" spans="1:1" x14ac:dyDescent="0.25">
      <c r="A610" t="s">
        <v>674</v>
      </c>
    </row>
    <row r="611" spans="1:1" x14ac:dyDescent="0.25">
      <c r="A611" t="s">
        <v>675</v>
      </c>
    </row>
    <row r="612" spans="1:1" x14ac:dyDescent="0.25">
      <c r="A612" t="s">
        <v>676</v>
      </c>
    </row>
    <row r="613" spans="1:1" x14ac:dyDescent="0.25">
      <c r="A613" t="s">
        <v>677</v>
      </c>
    </row>
    <row r="614" spans="1:1" x14ac:dyDescent="0.25">
      <c r="A614" t="s">
        <v>678</v>
      </c>
    </row>
    <row r="615" spans="1:1" x14ac:dyDescent="0.25">
      <c r="A615" t="s">
        <v>679</v>
      </c>
    </row>
    <row r="616" spans="1:1" x14ac:dyDescent="0.25">
      <c r="A616" t="s">
        <v>680</v>
      </c>
    </row>
    <row r="617" spans="1:1" x14ac:dyDescent="0.25">
      <c r="A617" t="s">
        <v>681</v>
      </c>
    </row>
    <row r="618" spans="1:1" x14ac:dyDescent="0.25">
      <c r="A618" t="s">
        <v>682</v>
      </c>
    </row>
    <row r="619" spans="1:1" x14ac:dyDescent="0.25">
      <c r="A619" t="s">
        <v>683</v>
      </c>
    </row>
    <row r="620" spans="1:1" x14ac:dyDescent="0.25">
      <c r="A620" t="s">
        <v>684</v>
      </c>
    </row>
    <row r="621" spans="1:1" x14ac:dyDescent="0.25">
      <c r="A621" t="s">
        <v>685</v>
      </c>
    </row>
    <row r="622" spans="1:1" x14ac:dyDescent="0.25">
      <c r="A622" t="s">
        <v>686</v>
      </c>
    </row>
    <row r="623" spans="1:1" x14ac:dyDescent="0.25">
      <c r="A623" t="s">
        <v>687</v>
      </c>
    </row>
    <row r="624" spans="1:1" x14ac:dyDescent="0.25">
      <c r="A624" t="s">
        <v>688</v>
      </c>
    </row>
    <row r="625" spans="1:1" x14ac:dyDescent="0.25">
      <c r="A625" t="s">
        <v>689</v>
      </c>
    </row>
    <row r="626" spans="1:1" x14ac:dyDescent="0.25">
      <c r="A626" t="s">
        <v>690</v>
      </c>
    </row>
    <row r="627" spans="1:1" x14ac:dyDescent="0.25">
      <c r="A627" t="s">
        <v>691</v>
      </c>
    </row>
    <row r="628" spans="1:1" x14ac:dyDescent="0.25">
      <c r="A628" t="s">
        <v>692</v>
      </c>
    </row>
    <row r="629" spans="1:1" x14ac:dyDescent="0.25">
      <c r="A629" t="s">
        <v>693</v>
      </c>
    </row>
    <row r="630" spans="1:1" x14ac:dyDescent="0.25">
      <c r="A630" t="s">
        <v>694</v>
      </c>
    </row>
    <row r="631" spans="1:1" x14ac:dyDescent="0.25">
      <c r="A631" t="s">
        <v>695</v>
      </c>
    </row>
    <row r="632" spans="1:1" x14ac:dyDescent="0.25">
      <c r="A632" t="s">
        <v>696</v>
      </c>
    </row>
    <row r="633" spans="1:1" x14ac:dyDescent="0.25">
      <c r="A633" t="s">
        <v>697</v>
      </c>
    </row>
    <row r="634" spans="1:1" x14ac:dyDescent="0.25">
      <c r="A634" t="s">
        <v>698</v>
      </c>
    </row>
    <row r="635" spans="1:1" x14ac:dyDescent="0.25">
      <c r="A635" t="s">
        <v>699</v>
      </c>
    </row>
    <row r="636" spans="1:1" x14ac:dyDescent="0.25">
      <c r="A636" t="s">
        <v>700</v>
      </c>
    </row>
    <row r="637" spans="1:1" x14ac:dyDescent="0.25">
      <c r="A637" t="s">
        <v>701</v>
      </c>
    </row>
    <row r="638" spans="1:1" x14ac:dyDescent="0.25">
      <c r="A638" t="s">
        <v>702</v>
      </c>
    </row>
    <row r="639" spans="1:1" x14ac:dyDescent="0.25">
      <c r="A639" t="s">
        <v>703</v>
      </c>
    </row>
    <row r="640" spans="1:1" x14ac:dyDescent="0.25">
      <c r="A640" t="s">
        <v>704</v>
      </c>
    </row>
    <row r="641" spans="1:1" x14ac:dyDescent="0.25">
      <c r="A641" t="s">
        <v>705</v>
      </c>
    </row>
    <row r="642" spans="1:1" x14ac:dyDescent="0.25">
      <c r="A642" t="s">
        <v>706</v>
      </c>
    </row>
    <row r="643" spans="1:1" x14ac:dyDescent="0.25">
      <c r="A643" t="s">
        <v>707</v>
      </c>
    </row>
    <row r="644" spans="1:1" x14ac:dyDescent="0.25">
      <c r="A644" t="s">
        <v>708</v>
      </c>
    </row>
    <row r="645" spans="1:1" x14ac:dyDescent="0.25">
      <c r="A645" t="s">
        <v>709</v>
      </c>
    </row>
    <row r="646" spans="1:1" x14ac:dyDescent="0.25">
      <c r="A646" t="s">
        <v>710</v>
      </c>
    </row>
    <row r="647" spans="1:1" x14ac:dyDescent="0.25">
      <c r="A647" t="s">
        <v>711</v>
      </c>
    </row>
    <row r="648" spans="1:1" x14ac:dyDescent="0.25">
      <c r="A648" t="s">
        <v>712</v>
      </c>
    </row>
    <row r="649" spans="1:1" x14ac:dyDescent="0.25">
      <c r="A649" t="s">
        <v>713</v>
      </c>
    </row>
    <row r="650" spans="1:1" x14ac:dyDescent="0.25">
      <c r="A650" t="s">
        <v>714</v>
      </c>
    </row>
    <row r="651" spans="1:1" x14ac:dyDescent="0.25">
      <c r="A651" t="s">
        <v>715</v>
      </c>
    </row>
    <row r="652" spans="1:1" x14ac:dyDescent="0.25">
      <c r="A652" t="s">
        <v>716</v>
      </c>
    </row>
    <row r="653" spans="1:1" x14ac:dyDescent="0.25">
      <c r="A653" t="s">
        <v>717</v>
      </c>
    </row>
    <row r="654" spans="1:1" x14ac:dyDescent="0.25">
      <c r="A654" t="s">
        <v>718</v>
      </c>
    </row>
    <row r="655" spans="1:1" x14ac:dyDescent="0.25">
      <c r="A655" t="s">
        <v>719</v>
      </c>
    </row>
    <row r="656" spans="1:1" x14ac:dyDescent="0.25">
      <c r="A656" t="s">
        <v>720</v>
      </c>
    </row>
    <row r="657" spans="1:1" x14ac:dyDescent="0.25">
      <c r="A657" t="s">
        <v>721</v>
      </c>
    </row>
    <row r="658" spans="1:1" x14ac:dyDescent="0.25">
      <c r="A658" t="s">
        <v>722</v>
      </c>
    </row>
    <row r="659" spans="1:1" x14ac:dyDescent="0.25">
      <c r="A659" t="s">
        <v>723</v>
      </c>
    </row>
    <row r="660" spans="1:1" x14ac:dyDescent="0.25">
      <c r="A660" t="s">
        <v>724</v>
      </c>
    </row>
    <row r="661" spans="1:1" x14ac:dyDescent="0.25">
      <c r="A661" t="s">
        <v>725</v>
      </c>
    </row>
    <row r="662" spans="1:1" x14ac:dyDescent="0.25">
      <c r="A662" t="s">
        <v>726</v>
      </c>
    </row>
    <row r="663" spans="1:1" x14ac:dyDescent="0.25">
      <c r="A663" t="s">
        <v>727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733</v>
      </c>
    </row>
    <row r="670" spans="1:1" x14ac:dyDescent="0.25">
      <c r="A670" t="s">
        <v>734</v>
      </c>
    </row>
    <row r="671" spans="1:1" x14ac:dyDescent="0.25">
      <c r="A671" t="s">
        <v>735</v>
      </c>
    </row>
    <row r="672" spans="1:1" x14ac:dyDescent="0.25">
      <c r="A672" t="s">
        <v>736</v>
      </c>
    </row>
    <row r="673" spans="1:1" x14ac:dyDescent="0.25">
      <c r="A673" t="s">
        <v>737</v>
      </c>
    </row>
    <row r="674" spans="1:1" x14ac:dyDescent="0.25">
      <c r="A674" t="s">
        <v>738</v>
      </c>
    </row>
    <row r="675" spans="1:1" x14ac:dyDescent="0.25">
      <c r="A675" t="s">
        <v>739</v>
      </c>
    </row>
    <row r="676" spans="1:1" x14ac:dyDescent="0.25">
      <c r="A676" t="s">
        <v>740</v>
      </c>
    </row>
    <row r="677" spans="1:1" x14ac:dyDescent="0.25">
      <c r="A677" t="s">
        <v>741</v>
      </c>
    </row>
    <row r="678" spans="1:1" x14ac:dyDescent="0.25">
      <c r="A678" t="s">
        <v>742</v>
      </c>
    </row>
    <row r="679" spans="1:1" x14ac:dyDescent="0.25">
      <c r="A679" t="s">
        <v>743</v>
      </c>
    </row>
    <row r="680" spans="1:1" x14ac:dyDescent="0.25">
      <c r="A680" t="s">
        <v>744</v>
      </c>
    </row>
    <row r="681" spans="1:1" x14ac:dyDescent="0.25">
      <c r="A681" t="s">
        <v>745</v>
      </c>
    </row>
    <row r="682" spans="1:1" x14ac:dyDescent="0.25">
      <c r="A682" t="s">
        <v>746</v>
      </c>
    </row>
    <row r="683" spans="1:1" x14ac:dyDescent="0.25">
      <c r="A683" t="s">
        <v>747</v>
      </c>
    </row>
    <row r="684" spans="1:1" x14ac:dyDescent="0.25">
      <c r="A684" t="s">
        <v>748</v>
      </c>
    </row>
    <row r="685" spans="1:1" x14ac:dyDescent="0.25">
      <c r="A685" t="s">
        <v>749</v>
      </c>
    </row>
    <row r="686" spans="1:1" x14ac:dyDescent="0.25">
      <c r="A686" t="s">
        <v>750</v>
      </c>
    </row>
    <row r="687" spans="1:1" x14ac:dyDescent="0.25">
      <c r="A687" t="s">
        <v>751</v>
      </c>
    </row>
    <row r="688" spans="1:1" x14ac:dyDescent="0.25">
      <c r="A688" t="s">
        <v>752</v>
      </c>
    </row>
    <row r="689" spans="1:1" x14ac:dyDescent="0.25">
      <c r="A689" t="s">
        <v>753</v>
      </c>
    </row>
    <row r="690" spans="1:1" x14ac:dyDescent="0.25">
      <c r="A690" t="s">
        <v>754</v>
      </c>
    </row>
    <row r="691" spans="1:1" x14ac:dyDescent="0.25">
      <c r="A691" t="s">
        <v>755</v>
      </c>
    </row>
    <row r="692" spans="1:1" x14ac:dyDescent="0.25">
      <c r="A692" t="s">
        <v>756</v>
      </c>
    </row>
    <row r="693" spans="1:1" x14ac:dyDescent="0.25">
      <c r="A693" t="s">
        <v>757</v>
      </c>
    </row>
    <row r="694" spans="1:1" x14ac:dyDescent="0.25">
      <c r="A694" t="s">
        <v>758</v>
      </c>
    </row>
    <row r="695" spans="1:1" x14ac:dyDescent="0.25">
      <c r="A695" t="s">
        <v>759</v>
      </c>
    </row>
    <row r="696" spans="1:1" x14ac:dyDescent="0.25">
      <c r="A696" t="s">
        <v>760</v>
      </c>
    </row>
    <row r="697" spans="1:1" x14ac:dyDescent="0.25">
      <c r="A697" t="s">
        <v>761</v>
      </c>
    </row>
    <row r="698" spans="1:1" x14ac:dyDescent="0.25">
      <c r="A698" t="s">
        <v>762</v>
      </c>
    </row>
    <row r="699" spans="1:1" x14ac:dyDescent="0.25">
      <c r="A699" t="s">
        <v>763</v>
      </c>
    </row>
    <row r="700" spans="1:1" x14ac:dyDescent="0.25">
      <c r="A700" t="s">
        <v>764</v>
      </c>
    </row>
    <row r="701" spans="1:1" x14ac:dyDescent="0.25">
      <c r="A701" t="s">
        <v>765</v>
      </c>
    </row>
    <row r="702" spans="1:1" x14ac:dyDescent="0.25">
      <c r="A702" t="s">
        <v>766</v>
      </c>
    </row>
    <row r="703" spans="1:1" x14ac:dyDescent="0.25">
      <c r="A703" t="s">
        <v>767</v>
      </c>
    </row>
    <row r="704" spans="1:1" x14ac:dyDescent="0.25">
      <c r="A704" t="s">
        <v>768</v>
      </c>
    </row>
    <row r="705" spans="1:1" x14ac:dyDescent="0.25">
      <c r="A705" t="s">
        <v>769</v>
      </c>
    </row>
    <row r="706" spans="1:1" x14ac:dyDescent="0.25">
      <c r="A706" t="s">
        <v>770</v>
      </c>
    </row>
    <row r="707" spans="1:1" x14ac:dyDescent="0.25">
      <c r="A707" t="s">
        <v>771</v>
      </c>
    </row>
    <row r="708" spans="1:1" x14ac:dyDescent="0.25">
      <c r="A708" t="s">
        <v>772</v>
      </c>
    </row>
    <row r="709" spans="1:1" x14ac:dyDescent="0.25">
      <c r="A709" t="s">
        <v>773</v>
      </c>
    </row>
    <row r="710" spans="1:1" x14ac:dyDescent="0.25">
      <c r="A710" t="s">
        <v>774</v>
      </c>
    </row>
    <row r="711" spans="1:1" x14ac:dyDescent="0.25">
      <c r="A711" t="s">
        <v>775</v>
      </c>
    </row>
    <row r="712" spans="1:1" x14ac:dyDescent="0.25">
      <c r="A712" t="s">
        <v>776</v>
      </c>
    </row>
    <row r="713" spans="1:1" x14ac:dyDescent="0.25">
      <c r="A713" t="s">
        <v>777</v>
      </c>
    </row>
    <row r="714" spans="1:1" x14ac:dyDescent="0.25">
      <c r="A714" t="s">
        <v>778</v>
      </c>
    </row>
    <row r="715" spans="1:1" x14ac:dyDescent="0.25">
      <c r="A715" t="s">
        <v>779</v>
      </c>
    </row>
    <row r="716" spans="1:1" x14ac:dyDescent="0.25">
      <c r="A716" t="s">
        <v>780</v>
      </c>
    </row>
    <row r="717" spans="1:1" x14ac:dyDescent="0.25">
      <c r="A717" t="s">
        <v>781</v>
      </c>
    </row>
    <row r="718" spans="1:1" x14ac:dyDescent="0.25">
      <c r="A718" t="s">
        <v>782</v>
      </c>
    </row>
    <row r="719" spans="1:1" x14ac:dyDescent="0.25">
      <c r="A719" t="s">
        <v>783</v>
      </c>
    </row>
    <row r="720" spans="1:1" x14ac:dyDescent="0.25">
      <c r="A720" t="s">
        <v>784</v>
      </c>
    </row>
    <row r="721" spans="1:1" x14ac:dyDescent="0.25">
      <c r="A721" t="s">
        <v>785</v>
      </c>
    </row>
    <row r="722" spans="1:1" x14ac:dyDescent="0.25">
      <c r="A722" t="s">
        <v>786</v>
      </c>
    </row>
    <row r="723" spans="1:1" x14ac:dyDescent="0.25">
      <c r="A723" t="s">
        <v>787</v>
      </c>
    </row>
    <row r="724" spans="1:1" x14ac:dyDescent="0.25">
      <c r="A724" t="s">
        <v>788</v>
      </c>
    </row>
    <row r="725" spans="1:1" x14ac:dyDescent="0.25">
      <c r="A725" t="s">
        <v>789</v>
      </c>
    </row>
    <row r="726" spans="1:1" x14ac:dyDescent="0.25">
      <c r="A726" t="s">
        <v>790</v>
      </c>
    </row>
    <row r="727" spans="1:1" x14ac:dyDescent="0.25">
      <c r="A727" t="s">
        <v>791</v>
      </c>
    </row>
    <row r="728" spans="1:1" x14ac:dyDescent="0.25">
      <c r="A728" t="s">
        <v>792</v>
      </c>
    </row>
    <row r="729" spans="1:1" x14ac:dyDescent="0.25">
      <c r="A729" t="s">
        <v>793</v>
      </c>
    </row>
    <row r="730" spans="1:1" x14ac:dyDescent="0.25">
      <c r="A730" t="s">
        <v>794</v>
      </c>
    </row>
    <row r="731" spans="1:1" x14ac:dyDescent="0.25">
      <c r="A731" t="s">
        <v>795</v>
      </c>
    </row>
    <row r="732" spans="1:1" x14ac:dyDescent="0.25">
      <c r="A732" t="s">
        <v>796</v>
      </c>
    </row>
    <row r="733" spans="1:1" x14ac:dyDescent="0.25">
      <c r="A733" t="s">
        <v>797</v>
      </c>
    </row>
    <row r="734" spans="1:1" x14ac:dyDescent="0.25">
      <c r="A734" t="s">
        <v>798</v>
      </c>
    </row>
    <row r="735" spans="1:1" x14ac:dyDescent="0.25">
      <c r="A735" t="s">
        <v>799</v>
      </c>
    </row>
    <row r="736" spans="1:1" x14ac:dyDescent="0.25">
      <c r="A736" t="s">
        <v>800</v>
      </c>
    </row>
    <row r="737" spans="1:1" x14ac:dyDescent="0.25">
      <c r="A737" t="s">
        <v>801</v>
      </c>
    </row>
    <row r="738" spans="1:1" x14ac:dyDescent="0.25">
      <c r="A738" t="s">
        <v>802</v>
      </c>
    </row>
    <row r="739" spans="1:1" x14ac:dyDescent="0.25">
      <c r="A739" t="s">
        <v>803</v>
      </c>
    </row>
    <row r="740" spans="1:1" x14ac:dyDescent="0.25">
      <c r="A740" t="s">
        <v>804</v>
      </c>
    </row>
    <row r="741" spans="1:1" x14ac:dyDescent="0.25">
      <c r="A741" t="s">
        <v>805</v>
      </c>
    </row>
    <row r="742" spans="1:1" x14ac:dyDescent="0.25">
      <c r="A742" t="s">
        <v>806</v>
      </c>
    </row>
    <row r="743" spans="1:1" x14ac:dyDescent="0.25">
      <c r="A743" t="s">
        <v>807</v>
      </c>
    </row>
    <row r="744" spans="1:1" x14ac:dyDescent="0.25">
      <c r="A744" t="s">
        <v>808</v>
      </c>
    </row>
    <row r="745" spans="1:1" x14ac:dyDescent="0.25">
      <c r="A745" t="s">
        <v>809</v>
      </c>
    </row>
    <row r="746" spans="1:1" x14ac:dyDescent="0.25">
      <c r="A746" t="s">
        <v>810</v>
      </c>
    </row>
    <row r="747" spans="1:1" x14ac:dyDescent="0.25">
      <c r="A747" t="s">
        <v>811</v>
      </c>
    </row>
    <row r="748" spans="1:1" x14ac:dyDescent="0.25">
      <c r="A748" t="s">
        <v>812</v>
      </c>
    </row>
    <row r="749" spans="1:1" x14ac:dyDescent="0.25">
      <c r="A749" t="s">
        <v>813</v>
      </c>
    </row>
    <row r="750" spans="1:1" x14ac:dyDescent="0.25">
      <c r="A750" t="s">
        <v>814</v>
      </c>
    </row>
    <row r="751" spans="1:1" x14ac:dyDescent="0.25">
      <c r="A751" t="s">
        <v>815</v>
      </c>
    </row>
    <row r="752" spans="1:1" x14ac:dyDescent="0.25">
      <c r="A752" t="s">
        <v>816</v>
      </c>
    </row>
    <row r="753" spans="1:1" x14ac:dyDescent="0.25">
      <c r="A753" t="s">
        <v>817</v>
      </c>
    </row>
    <row r="754" spans="1:1" x14ac:dyDescent="0.25">
      <c r="A754" t="s">
        <v>818</v>
      </c>
    </row>
    <row r="755" spans="1:1" x14ac:dyDescent="0.25">
      <c r="A755" t="s">
        <v>819</v>
      </c>
    </row>
    <row r="756" spans="1:1" x14ac:dyDescent="0.25">
      <c r="A756" t="s">
        <v>820</v>
      </c>
    </row>
    <row r="757" spans="1:1" x14ac:dyDescent="0.25">
      <c r="A757" t="s">
        <v>821</v>
      </c>
    </row>
    <row r="758" spans="1:1" x14ac:dyDescent="0.25">
      <c r="A758" t="s">
        <v>822</v>
      </c>
    </row>
    <row r="759" spans="1:1" x14ac:dyDescent="0.25">
      <c r="A759" t="s">
        <v>823</v>
      </c>
    </row>
    <row r="760" spans="1:1" x14ac:dyDescent="0.25">
      <c r="A760" t="s">
        <v>824</v>
      </c>
    </row>
    <row r="761" spans="1:1" x14ac:dyDescent="0.25">
      <c r="A761" t="s">
        <v>825</v>
      </c>
    </row>
    <row r="762" spans="1:1" x14ac:dyDescent="0.25">
      <c r="A762" t="s">
        <v>826</v>
      </c>
    </row>
    <row r="763" spans="1:1" x14ac:dyDescent="0.25">
      <c r="A763" t="s">
        <v>827</v>
      </c>
    </row>
    <row r="764" spans="1:1" x14ac:dyDescent="0.25">
      <c r="A764" t="s">
        <v>828</v>
      </c>
    </row>
    <row r="765" spans="1:1" x14ac:dyDescent="0.25">
      <c r="A765" t="s">
        <v>829</v>
      </c>
    </row>
    <row r="766" spans="1:1" x14ac:dyDescent="0.25">
      <c r="A766" t="s">
        <v>830</v>
      </c>
    </row>
    <row r="767" spans="1:1" x14ac:dyDescent="0.25">
      <c r="A767" t="s">
        <v>831</v>
      </c>
    </row>
    <row r="768" spans="1:1" x14ac:dyDescent="0.25">
      <c r="A768" t="s">
        <v>832</v>
      </c>
    </row>
    <row r="769" spans="1:1" x14ac:dyDescent="0.25">
      <c r="A769" t="s">
        <v>833</v>
      </c>
    </row>
    <row r="770" spans="1:1" x14ac:dyDescent="0.25">
      <c r="A770" t="s">
        <v>834</v>
      </c>
    </row>
    <row r="771" spans="1:1" x14ac:dyDescent="0.25">
      <c r="A771" t="s">
        <v>835</v>
      </c>
    </row>
    <row r="772" spans="1:1" x14ac:dyDescent="0.25">
      <c r="A772" t="s">
        <v>836</v>
      </c>
    </row>
    <row r="773" spans="1:1" x14ac:dyDescent="0.25">
      <c r="A773" t="s">
        <v>837</v>
      </c>
    </row>
    <row r="774" spans="1:1" x14ac:dyDescent="0.25">
      <c r="A774" t="s">
        <v>838</v>
      </c>
    </row>
    <row r="775" spans="1:1" x14ac:dyDescent="0.25">
      <c r="A775" t="s">
        <v>839</v>
      </c>
    </row>
    <row r="776" spans="1:1" x14ac:dyDescent="0.25">
      <c r="A776" t="s">
        <v>840</v>
      </c>
    </row>
    <row r="777" spans="1:1" x14ac:dyDescent="0.25">
      <c r="A777" t="s">
        <v>841</v>
      </c>
    </row>
    <row r="778" spans="1:1" x14ac:dyDescent="0.25">
      <c r="A778" t="s">
        <v>842</v>
      </c>
    </row>
    <row r="779" spans="1:1" x14ac:dyDescent="0.25">
      <c r="A779" t="s">
        <v>843</v>
      </c>
    </row>
    <row r="780" spans="1:1" x14ac:dyDescent="0.25">
      <c r="A780" t="s">
        <v>844</v>
      </c>
    </row>
    <row r="781" spans="1:1" x14ac:dyDescent="0.25">
      <c r="A781" t="s">
        <v>845</v>
      </c>
    </row>
    <row r="782" spans="1:1" x14ac:dyDescent="0.25">
      <c r="A782" t="s">
        <v>846</v>
      </c>
    </row>
    <row r="783" spans="1:1" x14ac:dyDescent="0.25">
      <c r="A783" t="s">
        <v>847</v>
      </c>
    </row>
    <row r="784" spans="1:1" x14ac:dyDescent="0.25">
      <c r="A784" t="s">
        <v>848</v>
      </c>
    </row>
    <row r="785" spans="1:1" x14ac:dyDescent="0.25">
      <c r="A785" t="s">
        <v>849</v>
      </c>
    </row>
    <row r="786" spans="1:1" x14ac:dyDescent="0.25">
      <c r="A786" t="s">
        <v>850</v>
      </c>
    </row>
    <row r="787" spans="1:1" x14ac:dyDescent="0.25">
      <c r="A787" t="s">
        <v>851</v>
      </c>
    </row>
    <row r="788" spans="1:1" x14ac:dyDescent="0.25">
      <c r="A788" t="s">
        <v>852</v>
      </c>
    </row>
    <row r="789" spans="1:1" x14ac:dyDescent="0.25">
      <c r="A789" t="s">
        <v>853</v>
      </c>
    </row>
    <row r="790" spans="1:1" x14ac:dyDescent="0.25">
      <c r="A790" t="s">
        <v>854</v>
      </c>
    </row>
    <row r="791" spans="1:1" x14ac:dyDescent="0.25">
      <c r="A791" t="s">
        <v>855</v>
      </c>
    </row>
    <row r="792" spans="1:1" x14ac:dyDescent="0.25">
      <c r="A792" t="s">
        <v>856</v>
      </c>
    </row>
    <row r="793" spans="1:1" x14ac:dyDescent="0.25">
      <c r="A793" t="s">
        <v>857</v>
      </c>
    </row>
    <row r="794" spans="1:1" x14ac:dyDescent="0.25">
      <c r="A794" t="s">
        <v>858</v>
      </c>
    </row>
    <row r="795" spans="1:1" x14ac:dyDescent="0.25">
      <c r="A795" t="s">
        <v>859</v>
      </c>
    </row>
    <row r="796" spans="1:1" x14ac:dyDescent="0.25">
      <c r="A796" t="s">
        <v>860</v>
      </c>
    </row>
    <row r="797" spans="1:1" x14ac:dyDescent="0.25">
      <c r="A797" t="s">
        <v>861</v>
      </c>
    </row>
    <row r="798" spans="1:1" x14ac:dyDescent="0.25">
      <c r="A798" t="s">
        <v>862</v>
      </c>
    </row>
    <row r="799" spans="1:1" x14ac:dyDescent="0.25">
      <c r="A799" t="s">
        <v>863</v>
      </c>
    </row>
    <row r="800" spans="1:1" x14ac:dyDescent="0.25">
      <c r="A800" t="s">
        <v>864</v>
      </c>
    </row>
    <row r="801" spans="1:1" x14ac:dyDescent="0.25">
      <c r="A801" t="s">
        <v>865</v>
      </c>
    </row>
    <row r="802" spans="1:1" x14ac:dyDescent="0.25">
      <c r="A802" t="s">
        <v>866</v>
      </c>
    </row>
    <row r="803" spans="1:1" x14ac:dyDescent="0.25">
      <c r="A803" t="s">
        <v>867</v>
      </c>
    </row>
    <row r="804" spans="1:1" x14ac:dyDescent="0.25">
      <c r="A804" t="s">
        <v>868</v>
      </c>
    </row>
    <row r="805" spans="1:1" x14ac:dyDescent="0.25">
      <c r="A805" t="s">
        <v>869</v>
      </c>
    </row>
    <row r="806" spans="1:1" x14ac:dyDescent="0.25">
      <c r="A806" t="s">
        <v>870</v>
      </c>
    </row>
    <row r="807" spans="1:1" x14ac:dyDescent="0.25">
      <c r="A807" t="s">
        <v>871</v>
      </c>
    </row>
    <row r="808" spans="1:1" x14ac:dyDescent="0.25">
      <c r="A808" t="s">
        <v>872</v>
      </c>
    </row>
    <row r="809" spans="1:1" x14ac:dyDescent="0.25">
      <c r="A809" t="s">
        <v>873</v>
      </c>
    </row>
    <row r="810" spans="1:1" x14ac:dyDescent="0.25">
      <c r="A810" t="s">
        <v>874</v>
      </c>
    </row>
    <row r="811" spans="1:1" x14ac:dyDescent="0.25">
      <c r="A811" t="s">
        <v>875</v>
      </c>
    </row>
    <row r="812" spans="1:1" x14ac:dyDescent="0.25">
      <c r="A812" t="s">
        <v>876</v>
      </c>
    </row>
    <row r="813" spans="1:1" x14ac:dyDescent="0.25">
      <c r="A813" t="s">
        <v>877</v>
      </c>
    </row>
    <row r="814" spans="1:1" x14ac:dyDescent="0.25">
      <c r="A814" t="s">
        <v>878</v>
      </c>
    </row>
    <row r="815" spans="1:1" x14ac:dyDescent="0.25">
      <c r="A815" t="s">
        <v>879</v>
      </c>
    </row>
    <row r="816" spans="1:1" x14ac:dyDescent="0.25">
      <c r="A816" t="s">
        <v>880</v>
      </c>
    </row>
    <row r="817" spans="1:1" x14ac:dyDescent="0.25">
      <c r="A817" t="s">
        <v>881</v>
      </c>
    </row>
    <row r="818" spans="1:1" x14ac:dyDescent="0.25">
      <c r="A818" t="s">
        <v>882</v>
      </c>
    </row>
    <row r="819" spans="1:1" x14ac:dyDescent="0.25">
      <c r="A819" t="s">
        <v>883</v>
      </c>
    </row>
    <row r="820" spans="1:1" x14ac:dyDescent="0.25">
      <c r="A820" t="s">
        <v>884</v>
      </c>
    </row>
    <row r="821" spans="1:1" x14ac:dyDescent="0.25">
      <c r="A821" t="s">
        <v>885</v>
      </c>
    </row>
    <row r="822" spans="1:1" x14ac:dyDescent="0.25">
      <c r="A822" t="s">
        <v>886</v>
      </c>
    </row>
    <row r="823" spans="1:1" x14ac:dyDescent="0.25">
      <c r="A823" t="s">
        <v>887</v>
      </c>
    </row>
    <row r="824" spans="1:1" x14ac:dyDescent="0.25">
      <c r="A824" t="s">
        <v>888</v>
      </c>
    </row>
    <row r="825" spans="1:1" x14ac:dyDescent="0.25">
      <c r="A825" t="s">
        <v>889</v>
      </c>
    </row>
    <row r="826" spans="1:1" x14ac:dyDescent="0.25">
      <c r="A826" t="s">
        <v>890</v>
      </c>
    </row>
    <row r="827" spans="1:1" x14ac:dyDescent="0.25">
      <c r="A827" t="s">
        <v>891</v>
      </c>
    </row>
    <row r="828" spans="1:1" x14ac:dyDescent="0.25">
      <c r="A828" t="s">
        <v>892</v>
      </c>
    </row>
    <row r="829" spans="1:1" x14ac:dyDescent="0.25">
      <c r="A829" t="s">
        <v>893</v>
      </c>
    </row>
    <row r="830" spans="1:1" x14ac:dyDescent="0.25">
      <c r="A830" t="s">
        <v>894</v>
      </c>
    </row>
    <row r="831" spans="1:1" x14ac:dyDescent="0.25">
      <c r="A831" t="s">
        <v>895</v>
      </c>
    </row>
    <row r="832" spans="1:1" x14ac:dyDescent="0.25">
      <c r="A832" t="s">
        <v>896</v>
      </c>
    </row>
    <row r="833" spans="1:1" x14ac:dyDescent="0.25">
      <c r="A833" t="s">
        <v>897</v>
      </c>
    </row>
    <row r="834" spans="1:1" x14ac:dyDescent="0.25">
      <c r="A834" t="s">
        <v>898</v>
      </c>
    </row>
    <row r="835" spans="1:1" x14ac:dyDescent="0.25">
      <c r="A835" t="s">
        <v>899</v>
      </c>
    </row>
    <row r="836" spans="1:1" x14ac:dyDescent="0.25">
      <c r="A836" t="s">
        <v>900</v>
      </c>
    </row>
    <row r="837" spans="1:1" x14ac:dyDescent="0.25">
      <c r="A837" t="s">
        <v>901</v>
      </c>
    </row>
    <row r="838" spans="1:1" x14ac:dyDescent="0.25">
      <c r="A838" t="s">
        <v>902</v>
      </c>
    </row>
    <row r="839" spans="1:1" x14ac:dyDescent="0.25">
      <c r="A839" t="s">
        <v>903</v>
      </c>
    </row>
    <row r="840" spans="1:1" x14ac:dyDescent="0.25">
      <c r="A840" t="s">
        <v>904</v>
      </c>
    </row>
    <row r="841" spans="1:1" x14ac:dyDescent="0.25">
      <c r="A841" t="s">
        <v>905</v>
      </c>
    </row>
    <row r="842" spans="1:1" x14ac:dyDescent="0.25">
      <c r="A842" t="s">
        <v>906</v>
      </c>
    </row>
    <row r="843" spans="1:1" x14ac:dyDescent="0.25">
      <c r="A843" t="s">
        <v>907</v>
      </c>
    </row>
    <row r="844" spans="1:1" x14ac:dyDescent="0.25">
      <c r="A844" t="s">
        <v>908</v>
      </c>
    </row>
    <row r="845" spans="1:1" x14ac:dyDescent="0.25">
      <c r="A845" t="s">
        <v>909</v>
      </c>
    </row>
    <row r="846" spans="1:1" x14ac:dyDescent="0.25">
      <c r="A846" t="s">
        <v>910</v>
      </c>
    </row>
    <row r="847" spans="1:1" x14ac:dyDescent="0.25">
      <c r="A847" t="s">
        <v>911</v>
      </c>
    </row>
    <row r="848" spans="1:1" x14ac:dyDescent="0.25">
      <c r="A848" t="s">
        <v>912</v>
      </c>
    </row>
    <row r="849" spans="1:1" x14ac:dyDescent="0.25">
      <c r="A849" t="s">
        <v>913</v>
      </c>
    </row>
    <row r="850" spans="1:1" x14ac:dyDescent="0.25">
      <c r="A850" t="s">
        <v>914</v>
      </c>
    </row>
    <row r="851" spans="1:1" x14ac:dyDescent="0.25">
      <c r="A851" t="s">
        <v>915</v>
      </c>
    </row>
    <row r="852" spans="1:1" x14ac:dyDescent="0.25">
      <c r="A852" t="s">
        <v>916</v>
      </c>
    </row>
    <row r="853" spans="1:1" x14ac:dyDescent="0.25">
      <c r="A853" t="s">
        <v>917</v>
      </c>
    </row>
    <row r="854" spans="1:1" x14ac:dyDescent="0.25">
      <c r="A854" t="s">
        <v>918</v>
      </c>
    </row>
    <row r="855" spans="1:1" x14ac:dyDescent="0.25">
      <c r="A855" t="s">
        <v>919</v>
      </c>
    </row>
    <row r="856" spans="1:1" x14ac:dyDescent="0.25">
      <c r="A856" t="s">
        <v>920</v>
      </c>
    </row>
    <row r="857" spans="1:1" x14ac:dyDescent="0.25">
      <c r="A857" t="s">
        <v>921</v>
      </c>
    </row>
    <row r="858" spans="1:1" x14ac:dyDescent="0.25">
      <c r="A858" t="s">
        <v>922</v>
      </c>
    </row>
    <row r="859" spans="1:1" x14ac:dyDescent="0.25">
      <c r="A859" t="s">
        <v>923</v>
      </c>
    </row>
    <row r="860" spans="1:1" x14ac:dyDescent="0.25">
      <c r="A860" t="s">
        <v>924</v>
      </c>
    </row>
    <row r="861" spans="1:1" x14ac:dyDescent="0.25">
      <c r="A861" t="s">
        <v>925</v>
      </c>
    </row>
    <row r="862" spans="1:1" x14ac:dyDescent="0.25">
      <c r="A862" t="s">
        <v>926</v>
      </c>
    </row>
    <row r="863" spans="1:1" x14ac:dyDescent="0.25">
      <c r="A863" t="s">
        <v>927</v>
      </c>
    </row>
    <row r="864" spans="1:1" x14ac:dyDescent="0.25">
      <c r="A864" t="s">
        <v>928</v>
      </c>
    </row>
    <row r="865" spans="1:1" x14ac:dyDescent="0.25">
      <c r="A865" t="s">
        <v>929</v>
      </c>
    </row>
    <row r="866" spans="1:1" x14ac:dyDescent="0.25">
      <c r="A866" t="s">
        <v>930</v>
      </c>
    </row>
    <row r="867" spans="1:1" x14ac:dyDescent="0.25">
      <c r="A867" t="s">
        <v>931</v>
      </c>
    </row>
    <row r="868" spans="1:1" x14ac:dyDescent="0.25">
      <c r="A868" t="s">
        <v>932</v>
      </c>
    </row>
    <row r="869" spans="1:1" x14ac:dyDescent="0.25">
      <c r="A869" t="s">
        <v>933</v>
      </c>
    </row>
    <row r="870" spans="1:1" x14ac:dyDescent="0.25">
      <c r="A870" t="s">
        <v>934</v>
      </c>
    </row>
    <row r="871" spans="1:1" x14ac:dyDescent="0.25">
      <c r="A871" t="s">
        <v>935</v>
      </c>
    </row>
    <row r="872" spans="1:1" x14ac:dyDescent="0.25">
      <c r="A872" t="s">
        <v>936</v>
      </c>
    </row>
    <row r="873" spans="1:1" x14ac:dyDescent="0.25">
      <c r="A873" t="s">
        <v>937</v>
      </c>
    </row>
    <row r="874" spans="1:1" x14ac:dyDescent="0.25">
      <c r="A874" t="s">
        <v>938</v>
      </c>
    </row>
    <row r="875" spans="1:1" x14ac:dyDescent="0.25">
      <c r="A875" t="s">
        <v>939</v>
      </c>
    </row>
    <row r="876" spans="1:1" x14ac:dyDescent="0.25">
      <c r="A876" t="s">
        <v>940</v>
      </c>
    </row>
    <row r="877" spans="1:1" x14ac:dyDescent="0.25">
      <c r="A877" t="s">
        <v>941</v>
      </c>
    </row>
    <row r="878" spans="1:1" x14ac:dyDescent="0.25">
      <c r="A878" t="s">
        <v>942</v>
      </c>
    </row>
    <row r="879" spans="1:1" x14ac:dyDescent="0.25">
      <c r="A879" t="s">
        <v>943</v>
      </c>
    </row>
    <row r="880" spans="1:1" x14ac:dyDescent="0.25">
      <c r="A880" t="s">
        <v>944</v>
      </c>
    </row>
    <row r="881" spans="1:1" x14ac:dyDescent="0.25">
      <c r="A881" t="s">
        <v>945</v>
      </c>
    </row>
    <row r="882" spans="1:1" x14ac:dyDescent="0.25">
      <c r="A882" t="s">
        <v>946</v>
      </c>
    </row>
    <row r="883" spans="1:1" x14ac:dyDescent="0.25">
      <c r="A883" t="s">
        <v>947</v>
      </c>
    </row>
    <row r="884" spans="1:1" x14ac:dyDescent="0.25">
      <c r="A884" t="s">
        <v>948</v>
      </c>
    </row>
    <row r="885" spans="1:1" x14ac:dyDescent="0.25">
      <c r="A885" t="s">
        <v>949</v>
      </c>
    </row>
    <row r="886" spans="1:1" x14ac:dyDescent="0.25">
      <c r="A886" t="s">
        <v>950</v>
      </c>
    </row>
    <row r="887" spans="1:1" x14ac:dyDescent="0.25">
      <c r="A887" t="s">
        <v>951</v>
      </c>
    </row>
    <row r="888" spans="1:1" x14ac:dyDescent="0.25">
      <c r="A888" t="s">
        <v>952</v>
      </c>
    </row>
    <row r="889" spans="1:1" x14ac:dyDescent="0.25">
      <c r="A889" t="s">
        <v>953</v>
      </c>
    </row>
    <row r="890" spans="1:1" x14ac:dyDescent="0.25">
      <c r="A890" t="s">
        <v>954</v>
      </c>
    </row>
    <row r="891" spans="1:1" x14ac:dyDescent="0.25">
      <c r="A891" t="s">
        <v>955</v>
      </c>
    </row>
    <row r="892" spans="1:1" x14ac:dyDescent="0.25">
      <c r="A892" t="s">
        <v>956</v>
      </c>
    </row>
    <row r="893" spans="1:1" x14ac:dyDescent="0.25">
      <c r="A893" t="s">
        <v>957</v>
      </c>
    </row>
    <row r="894" spans="1:1" x14ac:dyDescent="0.25">
      <c r="A894" t="s">
        <v>958</v>
      </c>
    </row>
    <row r="895" spans="1:1" x14ac:dyDescent="0.25">
      <c r="A895" t="s">
        <v>959</v>
      </c>
    </row>
    <row r="896" spans="1:1" x14ac:dyDescent="0.25">
      <c r="A896" t="s">
        <v>960</v>
      </c>
    </row>
    <row r="897" spans="1:1" x14ac:dyDescent="0.25">
      <c r="A897" t="s">
        <v>961</v>
      </c>
    </row>
    <row r="898" spans="1:1" x14ac:dyDescent="0.25">
      <c r="A898" t="s">
        <v>962</v>
      </c>
    </row>
    <row r="899" spans="1:1" x14ac:dyDescent="0.25">
      <c r="A899" t="s">
        <v>963</v>
      </c>
    </row>
    <row r="900" spans="1:1" x14ac:dyDescent="0.25">
      <c r="A900" t="s">
        <v>964</v>
      </c>
    </row>
    <row r="901" spans="1:1" x14ac:dyDescent="0.25">
      <c r="A901" t="s">
        <v>965</v>
      </c>
    </row>
    <row r="902" spans="1:1" x14ac:dyDescent="0.25">
      <c r="A902" t="s">
        <v>966</v>
      </c>
    </row>
    <row r="903" spans="1:1" x14ac:dyDescent="0.25">
      <c r="A903" t="s">
        <v>967</v>
      </c>
    </row>
    <row r="904" spans="1:1" x14ac:dyDescent="0.25">
      <c r="A904" t="s">
        <v>968</v>
      </c>
    </row>
    <row r="905" spans="1:1" x14ac:dyDescent="0.25">
      <c r="A905" t="s">
        <v>969</v>
      </c>
    </row>
    <row r="906" spans="1:1" x14ac:dyDescent="0.25">
      <c r="A906" t="s">
        <v>970</v>
      </c>
    </row>
    <row r="907" spans="1:1" x14ac:dyDescent="0.25">
      <c r="A907" t="s">
        <v>971</v>
      </c>
    </row>
    <row r="908" spans="1:1" x14ac:dyDescent="0.25">
      <c r="A908" t="s">
        <v>972</v>
      </c>
    </row>
    <row r="909" spans="1:1" x14ac:dyDescent="0.25">
      <c r="A909" t="s">
        <v>973</v>
      </c>
    </row>
    <row r="910" spans="1:1" x14ac:dyDescent="0.25">
      <c r="A910" t="s">
        <v>974</v>
      </c>
    </row>
    <row r="911" spans="1:1" x14ac:dyDescent="0.25">
      <c r="A911" t="s">
        <v>975</v>
      </c>
    </row>
    <row r="912" spans="1:1" x14ac:dyDescent="0.25">
      <c r="A912" t="s">
        <v>976</v>
      </c>
    </row>
    <row r="913" spans="1:1" x14ac:dyDescent="0.25">
      <c r="A913" t="s">
        <v>977</v>
      </c>
    </row>
    <row r="914" spans="1:1" x14ac:dyDescent="0.25">
      <c r="A914" t="s">
        <v>978</v>
      </c>
    </row>
    <row r="915" spans="1:1" x14ac:dyDescent="0.25">
      <c r="A915" t="s">
        <v>979</v>
      </c>
    </row>
    <row r="916" spans="1:1" x14ac:dyDescent="0.25">
      <c r="A916" t="s">
        <v>980</v>
      </c>
    </row>
    <row r="917" spans="1:1" x14ac:dyDescent="0.25">
      <c r="A917" t="s">
        <v>981</v>
      </c>
    </row>
    <row r="918" spans="1:1" x14ac:dyDescent="0.25">
      <c r="A918" t="s">
        <v>982</v>
      </c>
    </row>
    <row r="919" spans="1:1" x14ac:dyDescent="0.25">
      <c r="A919" t="s">
        <v>983</v>
      </c>
    </row>
    <row r="920" spans="1:1" x14ac:dyDescent="0.25">
      <c r="A920" t="s">
        <v>984</v>
      </c>
    </row>
    <row r="921" spans="1:1" x14ac:dyDescent="0.25">
      <c r="A921" t="s">
        <v>985</v>
      </c>
    </row>
    <row r="922" spans="1:1" x14ac:dyDescent="0.25">
      <c r="A922" t="s">
        <v>986</v>
      </c>
    </row>
    <row r="923" spans="1:1" x14ac:dyDescent="0.25">
      <c r="A923" t="s">
        <v>987</v>
      </c>
    </row>
    <row r="924" spans="1:1" x14ac:dyDescent="0.25">
      <c r="A924" t="s">
        <v>988</v>
      </c>
    </row>
    <row r="925" spans="1:1" x14ac:dyDescent="0.25">
      <c r="A925" t="s">
        <v>989</v>
      </c>
    </row>
    <row r="926" spans="1:1" x14ac:dyDescent="0.25">
      <c r="A926" t="s">
        <v>990</v>
      </c>
    </row>
    <row r="927" spans="1:1" x14ac:dyDescent="0.25">
      <c r="A927" t="s">
        <v>991</v>
      </c>
    </row>
    <row r="928" spans="1:1" x14ac:dyDescent="0.25">
      <c r="A928" t="s">
        <v>992</v>
      </c>
    </row>
    <row r="929" spans="1:1" x14ac:dyDescent="0.25">
      <c r="A929" t="s">
        <v>993</v>
      </c>
    </row>
    <row r="930" spans="1:1" x14ac:dyDescent="0.25">
      <c r="A930" t="s">
        <v>994</v>
      </c>
    </row>
    <row r="931" spans="1:1" x14ac:dyDescent="0.25">
      <c r="A931" t="s">
        <v>995</v>
      </c>
    </row>
    <row r="932" spans="1:1" x14ac:dyDescent="0.25">
      <c r="A932" t="s">
        <v>996</v>
      </c>
    </row>
    <row r="933" spans="1:1" x14ac:dyDescent="0.25">
      <c r="A933" t="s">
        <v>997</v>
      </c>
    </row>
    <row r="934" spans="1:1" x14ac:dyDescent="0.25">
      <c r="A934" t="s">
        <v>998</v>
      </c>
    </row>
    <row r="935" spans="1:1" x14ac:dyDescent="0.25">
      <c r="A935" t="s">
        <v>999</v>
      </c>
    </row>
    <row r="936" spans="1:1" x14ac:dyDescent="0.25">
      <c r="A936" t="s">
        <v>1000</v>
      </c>
    </row>
    <row r="937" spans="1:1" x14ac:dyDescent="0.25">
      <c r="A937" t="s">
        <v>1001</v>
      </c>
    </row>
    <row r="938" spans="1:1" x14ac:dyDescent="0.25">
      <c r="A938" t="s">
        <v>1002</v>
      </c>
    </row>
    <row r="939" spans="1:1" x14ac:dyDescent="0.25">
      <c r="A939" t="s">
        <v>1003</v>
      </c>
    </row>
    <row r="940" spans="1:1" x14ac:dyDescent="0.25">
      <c r="A940" t="s">
        <v>1004</v>
      </c>
    </row>
    <row r="941" spans="1:1" x14ac:dyDescent="0.25">
      <c r="A941" t="s">
        <v>1005</v>
      </c>
    </row>
    <row r="942" spans="1:1" x14ac:dyDescent="0.25">
      <c r="A942" t="s">
        <v>1006</v>
      </c>
    </row>
    <row r="943" spans="1:1" x14ac:dyDescent="0.25">
      <c r="A943" t="s">
        <v>1007</v>
      </c>
    </row>
    <row r="944" spans="1:1" x14ac:dyDescent="0.25">
      <c r="A944" t="s">
        <v>1008</v>
      </c>
    </row>
    <row r="945" spans="1:1" x14ac:dyDescent="0.25">
      <c r="A945" t="s">
        <v>1009</v>
      </c>
    </row>
    <row r="946" spans="1:1" x14ac:dyDescent="0.25">
      <c r="A946" t="s">
        <v>1010</v>
      </c>
    </row>
    <row r="947" spans="1:1" x14ac:dyDescent="0.25">
      <c r="A947" t="s">
        <v>1011</v>
      </c>
    </row>
    <row r="948" spans="1:1" x14ac:dyDescent="0.25">
      <c r="A948" t="s">
        <v>1012</v>
      </c>
    </row>
    <row r="949" spans="1:1" x14ac:dyDescent="0.25">
      <c r="A949" t="s">
        <v>1013</v>
      </c>
    </row>
    <row r="950" spans="1:1" x14ac:dyDescent="0.25">
      <c r="A950" t="s">
        <v>1014</v>
      </c>
    </row>
    <row r="951" spans="1:1" x14ac:dyDescent="0.25">
      <c r="A951" t="s">
        <v>1015</v>
      </c>
    </row>
    <row r="952" spans="1:1" x14ac:dyDescent="0.25">
      <c r="A952" t="s">
        <v>1016</v>
      </c>
    </row>
    <row r="953" spans="1:1" x14ac:dyDescent="0.25">
      <c r="A953" t="s">
        <v>1017</v>
      </c>
    </row>
    <row r="954" spans="1:1" x14ac:dyDescent="0.25">
      <c r="A954" t="s">
        <v>1018</v>
      </c>
    </row>
    <row r="955" spans="1:1" x14ac:dyDescent="0.25">
      <c r="A955" t="s">
        <v>1019</v>
      </c>
    </row>
    <row r="956" spans="1:1" x14ac:dyDescent="0.25">
      <c r="A956" t="s">
        <v>1020</v>
      </c>
    </row>
    <row r="957" spans="1:1" x14ac:dyDescent="0.25">
      <c r="A957" t="s">
        <v>1021</v>
      </c>
    </row>
    <row r="958" spans="1:1" x14ac:dyDescent="0.25">
      <c r="A958" t="s">
        <v>1022</v>
      </c>
    </row>
    <row r="959" spans="1:1" x14ac:dyDescent="0.25">
      <c r="A959" t="s">
        <v>1023</v>
      </c>
    </row>
    <row r="960" spans="1:1" x14ac:dyDescent="0.25">
      <c r="A960" t="s">
        <v>1024</v>
      </c>
    </row>
    <row r="961" spans="1:1" x14ac:dyDescent="0.25">
      <c r="A961" t="s">
        <v>1025</v>
      </c>
    </row>
    <row r="962" spans="1:1" x14ac:dyDescent="0.25">
      <c r="A962" t="s">
        <v>1026</v>
      </c>
    </row>
    <row r="963" spans="1:1" x14ac:dyDescent="0.25">
      <c r="A963" t="s">
        <v>1027</v>
      </c>
    </row>
    <row r="964" spans="1:1" x14ac:dyDescent="0.25">
      <c r="A964" t="s">
        <v>1028</v>
      </c>
    </row>
    <row r="965" spans="1:1" x14ac:dyDescent="0.25">
      <c r="A965" t="s">
        <v>1029</v>
      </c>
    </row>
    <row r="966" spans="1:1" x14ac:dyDescent="0.25">
      <c r="A966" t="s">
        <v>1030</v>
      </c>
    </row>
    <row r="967" spans="1:1" x14ac:dyDescent="0.25">
      <c r="A967" t="s">
        <v>1031</v>
      </c>
    </row>
    <row r="968" spans="1:1" x14ac:dyDescent="0.25">
      <c r="A968" t="s">
        <v>1032</v>
      </c>
    </row>
    <row r="969" spans="1:1" x14ac:dyDescent="0.25">
      <c r="A969" t="s">
        <v>1033</v>
      </c>
    </row>
    <row r="970" spans="1:1" x14ac:dyDescent="0.25">
      <c r="A970" t="s">
        <v>1034</v>
      </c>
    </row>
    <row r="971" spans="1:1" x14ac:dyDescent="0.25">
      <c r="A971" t="s">
        <v>1035</v>
      </c>
    </row>
    <row r="972" spans="1:1" x14ac:dyDescent="0.25">
      <c r="A972" t="s">
        <v>1036</v>
      </c>
    </row>
    <row r="973" spans="1:1" x14ac:dyDescent="0.25">
      <c r="A973" t="s">
        <v>1037</v>
      </c>
    </row>
    <row r="974" spans="1:1" x14ac:dyDescent="0.25">
      <c r="A974" t="s">
        <v>1038</v>
      </c>
    </row>
    <row r="975" spans="1:1" x14ac:dyDescent="0.25">
      <c r="A975" t="s">
        <v>1039</v>
      </c>
    </row>
    <row r="976" spans="1:1" x14ac:dyDescent="0.25">
      <c r="A976" t="s">
        <v>1040</v>
      </c>
    </row>
    <row r="977" spans="1:1" x14ac:dyDescent="0.25">
      <c r="A977" t="s">
        <v>1041</v>
      </c>
    </row>
    <row r="978" spans="1:1" x14ac:dyDescent="0.25">
      <c r="A978" t="s">
        <v>1042</v>
      </c>
    </row>
    <row r="979" spans="1:1" x14ac:dyDescent="0.25">
      <c r="A979" t="s">
        <v>1043</v>
      </c>
    </row>
    <row r="980" spans="1:1" x14ac:dyDescent="0.25">
      <c r="A980" t="s">
        <v>1044</v>
      </c>
    </row>
    <row r="981" spans="1:1" x14ac:dyDescent="0.25">
      <c r="A981" t="s">
        <v>1045</v>
      </c>
    </row>
    <row r="982" spans="1:1" x14ac:dyDescent="0.25">
      <c r="A982" t="s">
        <v>1046</v>
      </c>
    </row>
    <row r="983" spans="1:1" x14ac:dyDescent="0.25">
      <c r="A983" t="s">
        <v>1047</v>
      </c>
    </row>
    <row r="984" spans="1:1" x14ac:dyDescent="0.25">
      <c r="A984" t="s">
        <v>1048</v>
      </c>
    </row>
    <row r="985" spans="1:1" x14ac:dyDescent="0.25">
      <c r="A985" t="s">
        <v>1049</v>
      </c>
    </row>
    <row r="986" spans="1:1" x14ac:dyDescent="0.25">
      <c r="A986" t="s">
        <v>1050</v>
      </c>
    </row>
    <row r="987" spans="1:1" x14ac:dyDescent="0.25">
      <c r="A987" t="s">
        <v>1051</v>
      </c>
    </row>
    <row r="988" spans="1:1" x14ac:dyDescent="0.25">
      <c r="A988" t="s">
        <v>1052</v>
      </c>
    </row>
    <row r="989" spans="1:1" x14ac:dyDescent="0.25">
      <c r="A989" t="s">
        <v>1053</v>
      </c>
    </row>
    <row r="990" spans="1:1" x14ac:dyDescent="0.25">
      <c r="A990" t="s">
        <v>1054</v>
      </c>
    </row>
    <row r="991" spans="1:1" x14ac:dyDescent="0.25">
      <c r="A991" t="s">
        <v>1055</v>
      </c>
    </row>
    <row r="992" spans="1:1" x14ac:dyDescent="0.25">
      <c r="A992" t="s">
        <v>1056</v>
      </c>
    </row>
    <row r="993" spans="1:1" x14ac:dyDescent="0.25">
      <c r="A993" t="s">
        <v>1057</v>
      </c>
    </row>
    <row r="994" spans="1:1" x14ac:dyDescent="0.25">
      <c r="A994" t="s">
        <v>1058</v>
      </c>
    </row>
    <row r="995" spans="1:1" x14ac:dyDescent="0.25">
      <c r="A995" t="s">
        <v>1059</v>
      </c>
    </row>
    <row r="996" spans="1:1" x14ac:dyDescent="0.25">
      <c r="A996" t="s">
        <v>1060</v>
      </c>
    </row>
    <row r="997" spans="1:1" x14ac:dyDescent="0.25">
      <c r="A997" t="s">
        <v>1061</v>
      </c>
    </row>
    <row r="998" spans="1:1" x14ac:dyDescent="0.25">
      <c r="A998" t="s">
        <v>1062</v>
      </c>
    </row>
    <row r="999" spans="1:1" x14ac:dyDescent="0.25">
      <c r="A999" t="s">
        <v>1063</v>
      </c>
    </row>
    <row r="1000" spans="1:1" x14ac:dyDescent="0.25">
      <c r="A1000" t="s">
        <v>1064</v>
      </c>
    </row>
    <row r="1001" spans="1:1" x14ac:dyDescent="0.25">
      <c r="A1001" t="s">
        <v>1065</v>
      </c>
    </row>
    <row r="1002" spans="1:1" x14ac:dyDescent="0.25">
      <c r="A1002" t="s">
        <v>1066</v>
      </c>
    </row>
    <row r="1003" spans="1:1" x14ac:dyDescent="0.25">
      <c r="A1003" t="s">
        <v>1067</v>
      </c>
    </row>
    <row r="1004" spans="1:1" x14ac:dyDescent="0.25">
      <c r="A1004" t="s">
        <v>1068</v>
      </c>
    </row>
    <row r="1005" spans="1:1" x14ac:dyDescent="0.25">
      <c r="A1005" t="s">
        <v>1069</v>
      </c>
    </row>
    <row r="1006" spans="1:1" x14ac:dyDescent="0.25">
      <c r="A1006" t="s">
        <v>1070</v>
      </c>
    </row>
    <row r="1007" spans="1:1" x14ac:dyDescent="0.25">
      <c r="A1007" t="s">
        <v>1071</v>
      </c>
    </row>
    <row r="1008" spans="1:1" x14ac:dyDescent="0.25">
      <c r="A1008" t="s">
        <v>1072</v>
      </c>
    </row>
    <row r="1009" spans="1:1" x14ac:dyDescent="0.25">
      <c r="A1009" t="s">
        <v>1073</v>
      </c>
    </row>
    <row r="1010" spans="1:1" x14ac:dyDescent="0.25">
      <c r="A1010" t="s">
        <v>1074</v>
      </c>
    </row>
    <row r="1011" spans="1:1" x14ac:dyDescent="0.25">
      <c r="A1011" t="s">
        <v>1075</v>
      </c>
    </row>
    <row r="1012" spans="1:1" x14ac:dyDescent="0.25">
      <c r="A1012" t="s">
        <v>1076</v>
      </c>
    </row>
    <row r="1013" spans="1:1" x14ac:dyDescent="0.25">
      <c r="A1013" t="s">
        <v>1077</v>
      </c>
    </row>
    <row r="1014" spans="1:1" x14ac:dyDescent="0.25">
      <c r="A1014" t="s">
        <v>1078</v>
      </c>
    </row>
    <row r="1015" spans="1:1" x14ac:dyDescent="0.25">
      <c r="A1015" t="s">
        <v>1079</v>
      </c>
    </row>
    <row r="1016" spans="1:1" x14ac:dyDescent="0.25">
      <c r="A1016" t="s">
        <v>1080</v>
      </c>
    </row>
    <row r="1017" spans="1:1" x14ac:dyDescent="0.25">
      <c r="A1017" t="s">
        <v>1081</v>
      </c>
    </row>
    <row r="1018" spans="1:1" x14ac:dyDescent="0.25">
      <c r="A1018" t="s">
        <v>1082</v>
      </c>
    </row>
    <row r="1019" spans="1:1" x14ac:dyDescent="0.25">
      <c r="A1019" t="s">
        <v>1083</v>
      </c>
    </row>
    <row r="1020" spans="1:1" x14ac:dyDescent="0.25">
      <c r="A1020" t="s">
        <v>1084</v>
      </c>
    </row>
    <row r="1021" spans="1:1" x14ac:dyDescent="0.25">
      <c r="A1021" t="s">
        <v>1085</v>
      </c>
    </row>
    <row r="1022" spans="1:1" x14ac:dyDescent="0.25">
      <c r="A1022" t="s">
        <v>1086</v>
      </c>
    </row>
    <row r="1023" spans="1:1" x14ac:dyDescent="0.25">
      <c r="A1023" t="s">
        <v>1087</v>
      </c>
    </row>
    <row r="1024" spans="1:1" x14ac:dyDescent="0.25">
      <c r="A1024" t="s">
        <v>1088</v>
      </c>
    </row>
    <row r="1025" spans="1:1" x14ac:dyDescent="0.25">
      <c r="A1025" t="s">
        <v>1089</v>
      </c>
    </row>
    <row r="1026" spans="1:1" x14ac:dyDescent="0.25">
      <c r="A1026" t="s">
        <v>1090</v>
      </c>
    </row>
    <row r="1027" spans="1:1" x14ac:dyDescent="0.25">
      <c r="A1027" t="s">
        <v>1091</v>
      </c>
    </row>
    <row r="1028" spans="1:1" x14ac:dyDescent="0.25">
      <c r="A1028" t="s">
        <v>1092</v>
      </c>
    </row>
    <row r="1029" spans="1:1" x14ac:dyDescent="0.25">
      <c r="A1029" t="s">
        <v>1093</v>
      </c>
    </row>
    <row r="1030" spans="1:1" x14ac:dyDescent="0.25">
      <c r="A1030" t="s">
        <v>1094</v>
      </c>
    </row>
    <row r="1031" spans="1:1" x14ac:dyDescent="0.25">
      <c r="A1031" t="s">
        <v>1095</v>
      </c>
    </row>
    <row r="1032" spans="1:1" x14ac:dyDescent="0.25">
      <c r="A1032" t="s">
        <v>1096</v>
      </c>
    </row>
    <row r="1033" spans="1:1" x14ac:dyDescent="0.25">
      <c r="A1033" t="s">
        <v>1097</v>
      </c>
    </row>
    <row r="1034" spans="1:1" x14ac:dyDescent="0.25">
      <c r="A1034" t="s">
        <v>1098</v>
      </c>
    </row>
    <row r="1035" spans="1:1" x14ac:dyDescent="0.25">
      <c r="A1035" t="s">
        <v>1099</v>
      </c>
    </row>
    <row r="1036" spans="1:1" x14ac:dyDescent="0.25">
      <c r="A1036" t="s">
        <v>1100</v>
      </c>
    </row>
    <row r="1037" spans="1:1" x14ac:dyDescent="0.25">
      <c r="A1037" t="s">
        <v>1101</v>
      </c>
    </row>
    <row r="1038" spans="1:1" x14ac:dyDescent="0.25">
      <c r="A1038" t="s">
        <v>1102</v>
      </c>
    </row>
    <row r="1039" spans="1:1" x14ac:dyDescent="0.25">
      <c r="A1039" t="s">
        <v>1103</v>
      </c>
    </row>
    <row r="1040" spans="1:1" x14ac:dyDescent="0.25">
      <c r="A1040" t="s">
        <v>1104</v>
      </c>
    </row>
    <row r="1041" spans="1:1" x14ac:dyDescent="0.25">
      <c r="A1041" t="s">
        <v>1105</v>
      </c>
    </row>
    <row r="1042" spans="1:1" x14ac:dyDescent="0.25">
      <c r="A1042" t="s">
        <v>1106</v>
      </c>
    </row>
    <row r="1043" spans="1:1" x14ac:dyDescent="0.25">
      <c r="A1043" t="s">
        <v>1107</v>
      </c>
    </row>
    <row r="1044" spans="1:1" x14ac:dyDescent="0.25">
      <c r="A1044" t="s">
        <v>1108</v>
      </c>
    </row>
    <row r="1045" spans="1:1" x14ac:dyDescent="0.25">
      <c r="A1045" t="s">
        <v>1109</v>
      </c>
    </row>
    <row r="1046" spans="1:1" x14ac:dyDescent="0.25">
      <c r="A1046" t="s">
        <v>1110</v>
      </c>
    </row>
    <row r="1047" spans="1:1" x14ac:dyDescent="0.25">
      <c r="A1047" t="s">
        <v>1111</v>
      </c>
    </row>
    <row r="1048" spans="1:1" x14ac:dyDescent="0.25">
      <c r="A1048" t="s">
        <v>1112</v>
      </c>
    </row>
    <row r="1049" spans="1:1" x14ac:dyDescent="0.25">
      <c r="A1049" t="s">
        <v>1113</v>
      </c>
    </row>
    <row r="1050" spans="1:1" x14ac:dyDescent="0.25">
      <c r="A1050" t="s">
        <v>1114</v>
      </c>
    </row>
    <row r="1051" spans="1:1" x14ac:dyDescent="0.25">
      <c r="A1051" t="s">
        <v>1115</v>
      </c>
    </row>
    <row r="1052" spans="1:1" x14ac:dyDescent="0.25">
      <c r="A1052" t="s">
        <v>1116</v>
      </c>
    </row>
    <row r="1053" spans="1:1" x14ac:dyDescent="0.25">
      <c r="A1053" t="s">
        <v>1117</v>
      </c>
    </row>
    <row r="1054" spans="1:1" x14ac:dyDescent="0.25">
      <c r="A1054" t="s">
        <v>1118</v>
      </c>
    </row>
    <row r="1055" spans="1:1" x14ac:dyDescent="0.25">
      <c r="A1055" t="s">
        <v>1119</v>
      </c>
    </row>
    <row r="1056" spans="1:1" x14ac:dyDescent="0.25">
      <c r="A1056" t="s">
        <v>1120</v>
      </c>
    </row>
    <row r="1057" spans="1:1" x14ac:dyDescent="0.25">
      <c r="A1057" t="s">
        <v>1121</v>
      </c>
    </row>
    <row r="1058" spans="1:1" x14ac:dyDescent="0.25">
      <c r="A1058" t="s">
        <v>1122</v>
      </c>
    </row>
    <row r="1059" spans="1:1" x14ac:dyDescent="0.25">
      <c r="A1059" t="s">
        <v>1123</v>
      </c>
    </row>
    <row r="1060" spans="1:1" x14ac:dyDescent="0.25">
      <c r="A1060" t="s">
        <v>1124</v>
      </c>
    </row>
    <row r="1061" spans="1:1" x14ac:dyDescent="0.25">
      <c r="A1061" t="s">
        <v>1125</v>
      </c>
    </row>
    <row r="1062" spans="1:1" x14ac:dyDescent="0.25">
      <c r="A1062" t="s">
        <v>1126</v>
      </c>
    </row>
    <row r="1063" spans="1:1" x14ac:dyDescent="0.25">
      <c r="A1063" t="s">
        <v>1127</v>
      </c>
    </row>
    <row r="1064" spans="1:1" x14ac:dyDescent="0.25">
      <c r="A1064" t="s">
        <v>1128</v>
      </c>
    </row>
    <row r="1065" spans="1:1" x14ac:dyDescent="0.25">
      <c r="A1065" t="s">
        <v>1129</v>
      </c>
    </row>
    <row r="1066" spans="1:1" x14ac:dyDescent="0.25">
      <c r="A1066" t="s">
        <v>1130</v>
      </c>
    </row>
    <row r="1067" spans="1:1" x14ac:dyDescent="0.25">
      <c r="A1067" t="s">
        <v>1131</v>
      </c>
    </row>
    <row r="1068" spans="1:1" x14ac:dyDescent="0.25">
      <c r="A1068" t="s">
        <v>1132</v>
      </c>
    </row>
    <row r="1069" spans="1:1" x14ac:dyDescent="0.25">
      <c r="A1069" t="s">
        <v>1133</v>
      </c>
    </row>
    <row r="1070" spans="1:1" x14ac:dyDescent="0.25">
      <c r="A1070" t="s">
        <v>1134</v>
      </c>
    </row>
    <row r="1071" spans="1:1" x14ac:dyDescent="0.25">
      <c r="A1071" t="s">
        <v>1135</v>
      </c>
    </row>
    <row r="1072" spans="1:1" x14ac:dyDescent="0.25">
      <c r="A1072" t="s">
        <v>1136</v>
      </c>
    </row>
    <row r="1073" spans="1:1" x14ac:dyDescent="0.25">
      <c r="A1073" t="s">
        <v>1137</v>
      </c>
    </row>
    <row r="1074" spans="1:1" x14ac:dyDescent="0.25">
      <c r="A1074" t="s">
        <v>1138</v>
      </c>
    </row>
    <row r="1075" spans="1:1" x14ac:dyDescent="0.25">
      <c r="A1075" t="s">
        <v>1139</v>
      </c>
    </row>
    <row r="1076" spans="1:1" x14ac:dyDescent="0.25">
      <c r="A1076" t="s">
        <v>1140</v>
      </c>
    </row>
    <row r="1077" spans="1:1" x14ac:dyDescent="0.25">
      <c r="A1077" t="s">
        <v>1141</v>
      </c>
    </row>
    <row r="1078" spans="1:1" x14ac:dyDescent="0.25">
      <c r="A1078" t="s">
        <v>1142</v>
      </c>
    </row>
    <row r="1079" spans="1:1" x14ac:dyDescent="0.25">
      <c r="A1079" t="s">
        <v>1143</v>
      </c>
    </row>
    <row r="1080" spans="1:1" x14ac:dyDescent="0.25">
      <c r="A1080" t="s">
        <v>1144</v>
      </c>
    </row>
    <row r="1081" spans="1:1" x14ac:dyDescent="0.25">
      <c r="A1081" t="s">
        <v>1145</v>
      </c>
    </row>
    <row r="1082" spans="1:1" x14ac:dyDescent="0.25">
      <c r="A1082" t="s">
        <v>1146</v>
      </c>
    </row>
    <row r="1083" spans="1:1" x14ac:dyDescent="0.25">
      <c r="A1083" t="s">
        <v>1147</v>
      </c>
    </row>
    <row r="1084" spans="1:1" x14ac:dyDescent="0.25">
      <c r="A1084" t="s">
        <v>1148</v>
      </c>
    </row>
    <row r="1085" spans="1:1" x14ac:dyDescent="0.25">
      <c r="A1085" t="s">
        <v>1149</v>
      </c>
    </row>
    <row r="1086" spans="1:1" x14ac:dyDescent="0.25">
      <c r="A1086" t="s">
        <v>1150</v>
      </c>
    </row>
    <row r="1087" spans="1:1" x14ac:dyDescent="0.25">
      <c r="A1087" t="s">
        <v>1151</v>
      </c>
    </row>
    <row r="1088" spans="1:1" x14ac:dyDescent="0.25">
      <c r="A1088" t="s">
        <v>1152</v>
      </c>
    </row>
    <row r="1089" spans="1:1" x14ac:dyDescent="0.25">
      <c r="A1089" t="s">
        <v>1153</v>
      </c>
    </row>
    <row r="1090" spans="1:1" x14ac:dyDescent="0.25">
      <c r="A1090" t="s">
        <v>1154</v>
      </c>
    </row>
    <row r="1091" spans="1:1" x14ac:dyDescent="0.25">
      <c r="A1091" t="s">
        <v>1155</v>
      </c>
    </row>
    <row r="1092" spans="1:1" x14ac:dyDescent="0.25">
      <c r="A1092" t="s">
        <v>1156</v>
      </c>
    </row>
    <row r="1093" spans="1:1" x14ac:dyDescent="0.25">
      <c r="A1093" t="s">
        <v>1157</v>
      </c>
    </row>
    <row r="1094" spans="1:1" x14ac:dyDescent="0.25">
      <c r="A1094" t="s">
        <v>1158</v>
      </c>
    </row>
    <row r="1095" spans="1:1" x14ac:dyDescent="0.25">
      <c r="A1095" t="s">
        <v>1159</v>
      </c>
    </row>
    <row r="1096" spans="1:1" x14ac:dyDescent="0.25">
      <c r="A1096" t="s">
        <v>1160</v>
      </c>
    </row>
    <row r="1097" spans="1:1" x14ac:dyDescent="0.25">
      <c r="A1097" t="s">
        <v>1161</v>
      </c>
    </row>
    <row r="1098" spans="1:1" x14ac:dyDescent="0.25">
      <c r="A1098" t="s">
        <v>1162</v>
      </c>
    </row>
    <row r="1099" spans="1:1" x14ac:dyDescent="0.25">
      <c r="A1099" t="s">
        <v>1163</v>
      </c>
    </row>
    <row r="1100" spans="1:1" x14ac:dyDescent="0.25">
      <c r="A1100" t="s">
        <v>1164</v>
      </c>
    </row>
    <row r="1101" spans="1:1" x14ac:dyDescent="0.25">
      <c r="A1101" t="s">
        <v>1165</v>
      </c>
    </row>
    <row r="1102" spans="1:1" x14ac:dyDescent="0.25">
      <c r="A1102" t="s">
        <v>1166</v>
      </c>
    </row>
    <row r="1103" spans="1:1" x14ac:dyDescent="0.25">
      <c r="A1103" t="s">
        <v>1167</v>
      </c>
    </row>
    <row r="1104" spans="1:1" x14ac:dyDescent="0.25">
      <c r="A1104" t="s">
        <v>1168</v>
      </c>
    </row>
    <row r="1105" spans="1:1" x14ac:dyDescent="0.25">
      <c r="A1105" t="s">
        <v>1169</v>
      </c>
    </row>
    <row r="1106" spans="1:1" x14ac:dyDescent="0.25">
      <c r="A1106" t="s">
        <v>1170</v>
      </c>
    </row>
    <row r="1107" spans="1:1" x14ac:dyDescent="0.25">
      <c r="A1107" t="s">
        <v>1171</v>
      </c>
    </row>
    <row r="1108" spans="1:1" x14ac:dyDescent="0.25">
      <c r="A1108" t="s">
        <v>1172</v>
      </c>
    </row>
    <row r="1109" spans="1:1" x14ac:dyDescent="0.25">
      <c r="A1109" t="s">
        <v>1173</v>
      </c>
    </row>
    <row r="1110" spans="1:1" x14ac:dyDescent="0.25">
      <c r="A1110" t="s">
        <v>1174</v>
      </c>
    </row>
    <row r="1111" spans="1:1" x14ac:dyDescent="0.25">
      <c r="A1111" t="s">
        <v>1175</v>
      </c>
    </row>
    <row r="1112" spans="1:1" x14ac:dyDescent="0.25">
      <c r="A1112" t="s">
        <v>1176</v>
      </c>
    </row>
    <row r="1113" spans="1:1" x14ac:dyDescent="0.25">
      <c r="A1113" t="s">
        <v>1177</v>
      </c>
    </row>
    <row r="1114" spans="1:1" x14ac:dyDescent="0.25">
      <c r="A1114" t="s">
        <v>1178</v>
      </c>
    </row>
    <row r="1115" spans="1:1" x14ac:dyDescent="0.25">
      <c r="A1115" t="s">
        <v>1179</v>
      </c>
    </row>
    <row r="1116" spans="1:1" x14ac:dyDescent="0.25">
      <c r="A1116" t="s">
        <v>1180</v>
      </c>
    </row>
    <row r="1117" spans="1:1" x14ac:dyDescent="0.25">
      <c r="A1117" t="s">
        <v>1181</v>
      </c>
    </row>
    <row r="1118" spans="1:1" x14ac:dyDescent="0.25">
      <c r="A1118" t="s">
        <v>1182</v>
      </c>
    </row>
    <row r="1119" spans="1:1" x14ac:dyDescent="0.25">
      <c r="A1119" t="s">
        <v>1183</v>
      </c>
    </row>
    <row r="1120" spans="1:1" x14ac:dyDescent="0.25">
      <c r="A1120" t="s">
        <v>1184</v>
      </c>
    </row>
    <row r="1121" spans="1:1" x14ac:dyDescent="0.25">
      <c r="A1121" t="s">
        <v>1185</v>
      </c>
    </row>
    <row r="1122" spans="1:1" x14ac:dyDescent="0.25">
      <c r="A1122" t="s">
        <v>1186</v>
      </c>
    </row>
    <row r="1123" spans="1:1" x14ac:dyDescent="0.25">
      <c r="A1123" t="s">
        <v>1187</v>
      </c>
    </row>
    <row r="1124" spans="1:1" x14ac:dyDescent="0.25">
      <c r="A1124" t="s">
        <v>1188</v>
      </c>
    </row>
    <row r="1125" spans="1:1" x14ac:dyDescent="0.25">
      <c r="A1125" t="s">
        <v>1189</v>
      </c>
    </row>
    <row r="1126" spans="1:1" x14ac:dyDescent="0.25">
      <c r="A1126" t="s">
        <v>1190</v>
      </c>
    </row>
    <row r="1127" spans="1:1" x14ac:dyDescent="0.25">
      <c r="A1127" t="s">
        <v>1191</v>
      </c>
    </row>
    <row r="1128" spans="1:1" x14ac:dyDescent="0.25">
      <c r="A1128" t="s">
        <v>1192</v>
      </c>
    </row>
    <row r="1129" spans="1:1" x14ac:dyDescent="0.25">
      <c r="A1129" t="s">
        <v>1193</v>
      </c>
    </row>
    <row r="1130" spans="1:1" x14ac:dyDescent="0.25">
      <c r="A1130" t="s">
        <v>1194</v>
      </c>
    </row>
    <row r="1131" spans="1:1" x14ac:dyDescent="0.25">
      <c r="A1131" t="s">
        <v>1195</v>
      </c>
    </row>
    <row r="1132" spans="1:1" x14ac:dyDescent="0.25">
      <c r="A1132" t="s">
        <v>1196</v>
      </c>
    </row>
    <row r="1133" spans="1:1" x14ac:dyDescent="0.25">
      <c r="A1133" t="s">
        <v>1197</v>
      </c>
    </row>
    <row r="1134" spans="1:1" x14ac:dyDescent="0.25">
      <c r="A1134" t="s">
        <v>1198</v>
      </c>
    </row>
    <row r="1135" spans="1:1" x14ac:dyDescent="0.25">
      <c r="A1135" t="s">
        <v>1199</v>
      </c>
    </row>
    <row r="1136" spans="1:1" x14ac:dyDescent="0.25">
      <c r="A1136" t="s">
        <v>1200</v>
      </c>
    </row>
    <row r="1137" spans="1:1" x14ac:dyDescent="0.25">
      <c r="A1137" t="s">
        <v>1201</v>
      </c>
    </row>
    <row r="1138" spans="1:1" x14ac:dyDescent="0.25">
      <c r="A1138" t="s">
        <v>1202</v>
      </c>
    </row>
    <row r="1139" spans="1:1" x14ac:dyDescent="0.25">
      <c r="A1139" t="s">
        <v>1203</v>
      </c>
    </row>
    <row r="1140" spans="1:1" x14ac:dyDescent="0.25">
      <c r="A1140" t="s">
        <v>1204</v>
      </c>
    </row>
    <row r="1141" spans="1:1" x14ac:dyDescent="0.25">
      <c r="A1141" t="s">
        <v>1205</v>
      </c>
    </row>
    <row r="1142" spans="1:1" x14ac:dyDescent="0.25">
      <c r="A1142" t="s">
        <v>1206</v>
      </c>
    </row>
    <row r="1143" spans="1:1" x14ac:dyDescent="0.25">
      <c r="A1143" t="s">
        <v>1207</v>
      </c>
    </row>
    <row r="1144" spans="1:1" x14ac:dyDescent="0.25">
      <c r="A1144" t="s">
        <v>1208</v>
      </c>
    </row>
    <row r="1145" spans="1:1" x14ac:dyDescent="0.25">
      <c r="A1145" t="s">
        <v>1209</v>
      </c>
    </row>
    <row r="1146" spans="1:1" x14ac:dyDescent="0.25">
      <c r="A1146" t="s">
        <v>1210</v>
      </c>
    </row>
    <row r="1147" spans="1:1" x14ac:dyDescent="0.25">
      <c r="A1147" t="s">
        <v>1211</v>
      </c>
    </row>
    <row r="1148" spans="1:1" x14ac:dyDescent="0.25">
      <c r="A1148" t="s">
        <v>1212</v>
      </c>
    </row>
    <row r="1149" spans="1:1" x14ac:dyDescent="0.25">
      <c r="A1149" t="s">
        <v>1213</v>
      </c>
    </row>
    <row r="1150" spans="1:1" x14ac:dyDescent="0.25">
      <c r="A1150" t="s">
        <v>1214</v>
      </c>
    </row>
    <row r="1151" spans="1:1" x14ac:dyDescent="0.25">
      <c r="A1151" t="s">
        <v>1215</v>
      </c>
    </row>
    <row r="1152" spans="1:1" x14ac:dyDescent="0.25">
      <c r="A1152" t="s">
        <v>1216</v>
      </c>
    </row>
    <row r="1153" spans="1:1" x14ac:dyDescent="0.25">
      <c r="A1153" t="s">
        <v>1217</v>
      </c>
    </row>
    <row r="1154" spans="1:1" x14ac:dyDescent="0.25">
      <c r="A1154" t="s">
        <v>1218</v>
      </c>
    </row>
    <row r="1155" spans="1:1" x14ac:dyDescent="0.25">
      <c r="A1155" t="s">
        <v>1219</v>
      </c>
    </row>
    <row r="1156" spans="1:1" x14ac:dyDescent="0.25">
      <c r="A1156" t="s">
        <v>1220</v>
      </c>
    </row>
    <row r="1157" spans="1:1" x14ac:dyDescent="0.25">
      <c r="A1157" t="s">
        <v>1221</v>
      </c>
    </row>
    <row r="1158" spans="1:1" x14ac:dyDescent="0.25">
      <c r="A1158" t="s">
        <v>1222</v>
      </c>
    </row>
    <row r="1159" spans="1:1" x14ac:dyDescent="0.25">
      <c r="A1159" t="s">
        <v>1223</v>
      </c>
    </row>
    <row r="1160" spans="1:1" x14ac:dyDescent="0.25">
      <c r="A1160" t="s">
        <v>1224</v>
      </c>
    </row>
    <row r="1161" spans="1:1" x14ac:dyDescent="0.25">
      <c r="A1161" t="s">
        <v>1225</v>
      </c>
    </row>
    <row r="1162" spans="1:1" x14ac:dyDescent="0.25">
      <c r="A1162" t="s">
        <v>1226</v>
      </c>
    </row>
    <row r="1163" spans="1:1" x14ac:dyDescent="0.25">
      <c r="A1163" t="s">
        <v>1227</v>
      </c>
    </row>
    <row r="1164" spans="1:1" x14ac:dyDescent="0.25">
      <c r="A1164" t="s">
        <v>1228</v>
      </c>
    </row>
    <row r="1165" spans="1:1" x14ac:dyDescent="0.25">
      <c r="A1165" t="s">
        <v>1229</v>
      </c>
    </row>
    <row r="1166" spans="1:1" x14ac:dyDescent="0.25">
      <c r="A1166" t="s">
        <v>1230</v>
      </c>
    </row>
    <row r="1167" spans="1:1" x14ac:dyDescent="0.25">
      <c r="A1167" t="s">
        <v>1231</v>
      </c>
    </row>
    <row r="1168" spans="1:1" x14ac:dyDescent="0.25">
      <c r="A1168" t="s">
        <v>1232</v>
      </c>
    </row>
    <row r="1169" spans="1:1" x14ac:dyDescent="0.25">
      <c r="A1169" t="s">
        <v>1233</v>
      </c>
    </row>
    <row r="1170" spans="1:1" x14ac:dyDescent="0.25">
      <c r="A1170" t="s">
        <v>1234</v>
      </c>
    </row>
    <row r="1171" spans="1:1" x14ac:dyDescent="0.25">
      <c r="A1171" t="s">
        <v>1235</v>
      </c>
    </row>
    <row r="1172" spans="1:1" x14ac:dyDescent="0.25">
      <c r="A1172" t="s">
        <v>1236</v>
      </c>
    </row>
    <row r="1173" spans="1:1" x14ac:dyDescent="0.25">
      <c r="A1173" t="s">
        <v>1237</v>
      </c>
    </row>
    <row r="1174" spans="1:1" x14ac:dyDescent="0.25">
      <c r="A1174" t="s">
        <v>1238</v>
      </c>
    </row>
    <row r="1175" spans="1:1" x14ac:dyDescent="0.25">
      <c r="A1175" t="s">
        <v>1239</v>
      </c>
    </row>
    <row r="1176" spans="1:1" x14ac:dyDescent="0.25">
      <c r="A1176" t="s">
        <v>1240</v>
      </c>
    </row>
    <row r="1177" spans="1:1" x14ac:dyDescent="0.25">
      <c r="A1177" t="s">
        <v>1241</v>
      </c>
    </row>
    <row r="1178" spans="1:1" x14ac:dyDescent="0.25">
      <c r="A1178" t="s">
        <v>1242</v>
      </c>
    </row>
    <row r="1179" spans="1:1" x14ac:dyDescent="0.25">
      <c r="A1179" t="s">
        <v>1243</v>
      </c>
    </row>
    <row r="1180" spans="1:1" x14ac:dyDescent="0.25">
      <c r="A1180" t="s">
        <v>1244</v>
      </c>
    </row>
    <row r="1181" spans="1:1" x14ac:dyDescent="0.25">
      <c r="A1181" t="s">
        <v>1245</v>
      </c>
    </row>
    <row r="1182" spans="1:1" x14ac:dyDescent="0.25">
      <c r="A1182" t="s">
        <v>1246</v>
      </c>
    </row>
    <row r="1183" spans="1:1" x14ac:dyDescent="0.25">
      <c r="A1183" t="s">
        <v>1247</v>
      </c>
    </row>
    <row r="1184" spans="1:1" x14ac:dyDescent="0.25">
      <c r="A1184" t="s">
        <v>1248</v>
      </c>
    </row>
    <row r="1185" spans="1:1" x14ac:dyDescent="0.25">
      <c r="A1185" t="s">
        <v>1249</v>
      </c>
    </row>
    <row r="1186" spans="1:1" x14ac:dyDescent="0.25">
      <c r="A1186" t="s">
        <v>1250</v>
      </c>
    </row>
    <row r="1187" spans="1:1" x14ac:dyDescent="0.25">
      <c r="A1187" t="s">
        <v>1251</v>
      </c>
    </row>
    <row r="1188" spans="1:1" x14ac:dyDescent="0.25">
      <c r="A1188" t="s">
        <v>1252</v>
      </c>
    </row>
    <row r="1189" spans="1:1" x14ac:dyDescent="0.25">
      <c r="A1189" t="s">
        <v>1253</v>
      </c>
    </row>
    <row r="1190" spans="1:1" x14ac:dyDescent="0.25">
      <c r="A1190" t="s">
        <v>1254</v>
      </c>
    </row>
    <row r="1191" spans="1:1" x14ac:dyDescent="0.25">
      <c r="A1191" t="s">
        <v>1255</v>
      </c>
    </row>
    <row r="1192" spans="1:1" x14ac:dyDescent="0.25">
      <c r="A1192" t="s">
        <v>1256</v>
      </c>
    </row>
    <row r="1193" spans="1:1" x14ac:dyDescent="0.25">
      <c r="A1193" t="s">
        <v>1257</v>
      </c>
    </row>
    <row r="1194" spans="1:1" x14ac:dyDescent="0.25">
      <c r="A1194" t="s">
        <v>1258</v>
      </c>
    </row>
    <row r="1195" spans="1:1" x14ac:dyDescent="0.25">
      <c r="A1195" t="s">
        <v>1259</v>
      </c>
    </row>
    <row r="1196" spans="1:1" x14ac:dyDescent="0.25">
      <c r="A1196" t="s">
        <v>1260</v>
      </c>
    </row>
    <row r="1197" spans="1:1" x14ac:dyDescent="0.25">
      <c r="A1197" t="s">
        <v>1261</v>
      </c>
    </row>
    <row r="1198" spans="1:1" x14ac:dyDescent="0.25">
      <c r="A1198" t="s">
        <v>1262</v>
      </c>
    </row>
    <row r="1199" spans="1:1" x14ac:dyDescent="0.25">
      <c r="A1199" t="s">
        <v>1263</v>
      </c>
    </row>
    <row r="1200" spans="1:1" x14ac:dyDescent="0.25">
      <c r="A1200" t="s">
        <v>1264</v>
      </c>
    </row>
    <row r="1201" spans="1:1" x14ac:dyDescent="0.25">
      <c r="A1201" t="s">
        <v>1265</v>
      </c>
    </row>
    <row r="1202" spans="1:1" x14ac:dyDescent="0.25">
      <c r="A1202" t="s">
        <v>1266</v>
      </c>
    </row>
    <row r="1203" spans="1:1" x14ac:dyDescent="0.25">
      <c r="A1203" t="s">
        <v>1267</v>
      </c>
    </row>
    <row r="1204" spans="1:1" x14ac:dyDescent="0.25">
      <c r="A1204" t="s">
        <v>1268</v>
      </c>
    </row>
    <row r="1205" spans="1:1" x14ac:dyDescent="0.25">
      <c r="A1205" t="s">
        <v>1269</v>
      </c>
    </row>
    <row r="1206" spans="1:1" x14ac:dyDescent="0.25">
      <c r="A1206" t="s">
        <v>1270</v>
      </c>
    </row>
    <row r="1207" spans="1:1" x14ac:dyDescent="0.25">
      <c r="A1207" t="s">
        <v>1271</v>
      </c>
    </row>
    <row r="1208" spans="1:1" x14ac:dyDescent="0.25">
      <c r="A1208" t="s">
        <v>1272</v>
      </c>
    </row>
    <row r="1209" spans="1:1" x14ac:dyDescent="0.25">
      <c r="A1209" t="s">
        <v>1273</v>
      </c>
    </row>
    <row r="1210" spans="1:1" x14ac:dyDescent="0.25">
      <c r="A1210" t="s">
        <v>1274</v>
      </c>
    </row>
    <row r="1211" spans="1:1" x14ac:dyDescent="0.25">
      <c r="A1211" t="s">
        <v>1275</v>
      </c>
    </row>
    <row r="1212" spans="1:1" x14ac:dyDescent="0.25">
      <c r="A1212" t="s">
        <v>1276</v>
      </c>
    </row>
    <row r="1213" spans="1:1" x14ac:dyDescent="0.25">
      <c r="A1213" t="s">
        <v>1277</v>
      </c>
    </row>
    <row r="1214" spans="1:1" x14ac:dyDescent="0.25">
      <c r="A1214" t="s">
        <v>1278</v>
      </c>
    </row>
    <row r="1215" spans="1:1" x14ac:dyDescent="0.25">
      <c r="A1215" t="s">
        <v>1279</v>
      </c>
    </row>
    <row r="1216" spans="1:1" x14ac:dyDescent="0.25">
      <c r="A1216" t="s">
        <v>1280</v>
      </c>
    </row>
    <row r="1217" spans="1:1" x14ac:dyDescent="0.25">
      <c r="A1217" t="s">
        <v>1281</v>
      </c>
    </row>
    <row r="1218" spans="1:1" x14ac:dyDescent="0.25">
      <c r="A1218" t="s">
        <v>1282</v>
      </c>
    </row>
    <row r="1219" spans="1:1" x14ac:dyDescent="0.25">
      <c r="A1219" t="s">
        <v>1283</v>
      </c>
    </row>
    <row r="1220" spans="1:1" x14ac:dyDescent="0.25">
      <c r="A1220" t="s">
        <v>1284</v>
      </c>
    </row>
    <row r="1221" spans="1:1" x14ac:dyDescent="0.25">
      <c r="A1221" t="s">
        <v>1285</v>
      </c>
    </row>
    <row r="1222" spans="1:1" x14ac:dyDescent="0.25">
      <c r="A1222" t="s">
        <v>1286</v>
      </c>
    </row>
    <row r="1223" spans="1:1" x14ac:dyDescent="0.25">
      <c r="A1223" t="s">
        <v>1287</v>
      </c>
    </row>
    <row r="1224" spans="1:1" x14ac:dyDescent="0.25">
      <c r="A1224" t="s">
        <v>1288</v>
      </c>
    </row>
    <row r="1225" spans="1:1" x14ac:dyDescent="0.25">
      <c r="A1225" t="s">
        <v>1289</v>
      </c>
    </row>
    <row r="1226" spans="1:1" x14ac:dyDescent="0.25">
      <c r="A1226" t="s">
        <v>1290</v>
      </c>
    </row>
    <row r="1227" spans="1:1" x14ac:dyDescent="0.25">
      <c r="A1227" t="s">
        <v>1291</v>
      </c>
    </row>
    <row r="1228" spans="1:1" x14ac:dyDescent="0.25">
      <c r="A1228" t="s">
        <v>1292</v>
      </c>
    </row>
    <row r="1229" spans="1:1" x14ac:dyDescent="0.25">
      <c r="A1229" t="s">
        <v>1293</v>
      </c>
    </row>
    <row r="1230" spans="1:1" x14ac:dyDescent="0.25">
      <c r="A1230" t="s">
        <v>1294</v>
      </c>
    </row>
    <row r="1231" spans="1:1" x14ac:dyDescent="0.25">
      <c r="A1231" t="s">
        <v>1295</v>
      </c>
    </row>
    <row r="1232" spans="1:1" x14ac:dyDescent="0.25">
      <c r="A1232" t="s">
        <v>1296</v>
      </c>
    </row>
    <row r="1233" spans="1:1" x14ac:dyDescent="0.25">
      <c r="A1233" t="s">
        <v>1297</v>
      </c>
    </row>
    <row r="1234" spans="1:1" x14ac:dyDescent="0.25">
      <c r="A1234" t="s">
        <v>1298</v>
      </c>
    </row>
    <row r="1235" spans="1:1" x14ac:dyDescent="0.25">
      <c r="A1235" t="s">
        <v>1299</v>
      </c>
    </row>
    <row r="1236" spans="1:1" x14ac:dyDescent="0.25">
      <c r="A1236" t="s">
        <v>1300</v>
      </c>
    </row>
    <row r="1237" spans="1:1" x14ac:dyDescent="0.25">
      <c r="A1237" t="s">
        <v>1301</v>
      </c>
    </row>
    <row r="1238" spans="1:1" x14ac:dyDescent="0.25">
      <c r="A1238" t="s">
        <v>1302</v>
      </c>
    </row>
    <row r="1239" spans="1:1" x14ac:dyDescent="0.25">
      <c r="A1239" t="s">
        <v>1303</v>
      </c>
    </row>
    <row r="1240" spans="1:1" x14ac:dyDescent="0.25">
      <c r="A1240" t="s">
        <v>1304</v>
      </c>
    </row>
    <row r="1241" spans="1:1" x14ac:dyDescent="0.25">
      <c r="A1241" t="s">
        <v>1305</v>
      </c>
    </row>
    <row r="1242" spans="1:1" x14ac:dyDescent="0.25">
      <c r="A1242" t="s">
        <v>1306</v>
      </c>
    </row>
    <row r="1243" spans="1:1" x14ac:dyDescent="0.25">
      <c r="A1243" t="s">
        <v>1307</v>
      </c>
    </row>
    <row r="1244" spans="1:1" x14ac:dyDescent="0.25">
      <c r="A1244" t="s">
        <v>1308</v>
      </c>
    </row>
    <row r="1245" spans="1:1" x14ac:dyDescent="0.25">
      <c r="A1245" t="s">
        <v>1309</v>
      </c>
    </row>
    <row r="1246" spans="1:1" x14ac:dyDescent="0.25">
      <c r="A1246" t="s">
        <v>1310</v>
      </c>
    </row>
    <row r="1247" spans="1:1" x14ac:dyDescent="0.25">
      <c r="A1247" t="s">
        <v>1311</v>
      </c>
    </row>
    <row r="1248" spans="1:1" x14ac:dyDescent="0.25">
      <c r="A1248" t="s">
        <v>1312</v>
      </c>
    </row>
    <row r="1249" spans="1:1" x14ac:dyDescent="0.25">
      <c r="A1249" t="s">
        <v>1313</v>
      </c>
    </row>
    <row r="1250" spans="1:1" x14ac:dyDescent="0.25">
      <c r="A1250" t="s">
        <v>1314</v>
      </c>
    </row>
    <row r="1251" spans="1:1" x14ac:dyDescent="0.25">
      <c r="A1251" t="s">
        <v>1315</v>
      </c>
    </row>
    <row r="1252" spans="1:1" x14ac:dyDescent="0.25">
      <c r="A1252" t="s">
        <v>1316</v>
      </c>
    </row>
    <row r="1253" spans="1:1" x14ac:dyDescent="0.25">
      <c r="A1253" t="s">
        <v>1317</v>
      </c>
    </row>
    <row r="1254" spans="1:1" x14ac:dyDescent="0.25">
      <c r="A1254" t="s">
        <v>1318</v>
      </c>
    </row>
    <row r="1255" spans="1:1" x14ac:dyDescent="0.25">
      <c r="A1255" t="s">
        <v>1319</v>
      </c>
    </row>
    <row r="1256" spans="1:1" x14ac:dyDescent="0.25">
      <c r="A1256" t="s">
        <v>1320</v>
      </c>
    </row>
    <row r="1257" spans="1:1" x14ac:dyDescent="0.25">
      <c r="A1257" t="s">
        <v>1321</v>
      </c>
    </row>
    <row r="1258" spans="1:1" x14ac:dyDescent="0.25">
      <c r="A1258" t="s">
        <v>1322</v>
      </c>
    </row>
    <row r="1259" spans="1:1" x14ac:dyDescent="0.25">
      <c r="A1259" t="s">
        <v>1323</v>
      </c>
    </row>
    <row r="1260" spans="1:1" x14ac:dyDescent="0.25">
      <c r="A1260" t="s">
        <v>1324</v>
      </c>
    </row>
    <row r="1261" spans="1:1" x14ac:dyDescent="0.25">
      <c r="A1261" t="s">
        <v>1325</v>
      </c>
    </row>
    <row r="1262" spans="1:1" x14ac:dyDescent="0.25">
      <c r="A1262" t="s">
        <v>1326</v>
      </c>
    </row>
    <row r="1263" spans="1:1" x14ac:dyDescent="0.25">
      <c r="A1263" t="s">
        <v>1327</v>
      </c>
    </row>
    <row r="1264" spans="1:1" x14ac:dyDescent="0.25">
      <c r="A1264" t="s">
        <v>1328</v>
      </c>
    </row>
    <row r="1265" spans="1:1" x14ac:dyDescent="0.25">
      <c r="A1265" t="s">
        <v>1329</v>
      </c>
    </row>
    <row r="1266" spans="1:1" x14ac:dyDescent="0.25">
      <c r="A1266" t="s">
        <v>1330</v>
      </c>
    </row>
    <row r="1267" spans="1:1" x14ac:dyDescent="0.25">
      <c r="A1267" t="s">
        <v>1331</v>
      </c>
    </row>
    <row r="1268" spans="1:1" x14ac:dyDescent="0.25">
      <c r="A1268" t="s">
        <v>1332</v>
      </c>
    </row>
    <row r="1269" spans="1:1" x14ac:dyDescent="0.25">
      <c r="A1269" t="s">
        <v>1333</v>
      </c>
    </row>
    <row r="1270" spans="1:1" x14ac:dyDescent="0.25">
      <c r="A1270" t="s">
        <v>1334</v>
      </c>
    </row>
    <row r="1271" spans="1:1" x14ac:dyDescent="0.25">
      <c r="A1271" t="s">
        <v>1335</v>
      </c>
    </row>
    <row r="1272" spans="1:1" x14ac:dyDescent="0.25">
      <c r="A1272" t="s">
        <v>1336</v>
      </c>
    </row>
    <row r="1273" spans="1:1" x14ac:dyDescent="0.25">
      <c r="A1273" t="s">
        <v>1337</v>
      </c>
    </row>
    <row r="1274" spans="1:1" x14ac:dyDescent="0.25">
      <c r="A1274" t="s">
        <v>1338</v>
      </c>
    </row>
    <row r="1275" spans="1:1" x14ac:dyDescent="0.25">
      <c r="A1275" t="s">
        <v>1339</v>
      </c>
    </row>
    <row r="1276" spans="1:1" x14ac:dyDescent="0.25">
      <c r="A1276" t="s">
        <v>1340</v>
      </c>
    </row>
    <row r="1277" spans="1:1" x14ac:dyDescent="0.25">
      <c r="A1277" t="s">
        <v>1341</v>
      </c>
    </row>
    <row r="1278" spans="1:1" x14ac:dyDescent="0.25">
      <c r="A1278" t="s">
        <v>1342</v>
      </c>
    </row>
    <row r="1279" spans="1:1" x14ac:dyDescent="0.25">
      <c r="A1279" t="s">
        <v>1343</v>
      </c>
    </row>
    <row r="1280" spans="1:1" x14ac:dyDescent="0.25">
      <c r="A1280" t="s">
        <v>1344</v>
      </c>
    </row>
    <row r="1281" spans="1:1" x14ac:dyDescent="0.25">
      <c r="A1281" t="s">
        <v>1345</v>
      </c>
    </row>
    <row r="1282" spans="1:1" x14ac:dyDescent="0.25">
      <c r="A1282" t="s">
        <v>1346</v>
      </c>
    </row>
    <row r="1283" spans="1:1" x14ac:dyDescent="0.25">
      <c r="A1283" t="s">
        <v>1347</v>
      </c>
    </row>
    <row r="1284" spans="1:1" x14ac:dyDescent="0.25">
      <c r="A1284" t="s">
        <v>1348</v>
      </c>
    </row>
    <row r="1285" spans="1:1" x14ac:dyDescent="0.25">
      <c r="A1285" t="s">
        <v>1349</v>
      </c>
    </row>
    <row r="1286" spans="1:1" x14ac:dyDescent="0.25">
      <c r="A1286" t="s">
        <v>1350</v>
      </c>
    </row>
    <row r="1287" spans="1:1" x14ac:dyDescent="0.25">
      <c r="A1287" t="s">
        <v>1351</v>
      </c>
    </row>
    <row r="1288" spans="1:1" x14ac:dyDescent="0.25">
      <c r="A1288" t="s">
        <v>1352</v>
      </c>
    </row>
    <row r="1289" spans="1:1" x14ac:dyDescent="0.25">
      <c r="A1289" t="s">
        <v>1353</v>
      </c>
    </row>
    <row r="1290" spans="1:1" x14ac:dyDescent="0.25">
      <c r="A1290" t="s">
        <v>1354</v>
      </c>
    </row>
    <row r="1291" spans="1:1" x14ac:dyDescent="0.25">
      <c r="A1291" t="s">
        <v>1355</v>
      </c>
    </row>
    <row r="1292" spans="1:1" x14ac:dyDescent="0.25">
      <c r="A1292" t="s">
        <v>1356</v>
      </c>
    </row>
    <row r="1293" spans="1:1" x14ac:dyDescent="0.25">
      <c r="A1293" t="s">
        <v>1357</v>
      </c>
    </row>
    <row r="1294" spans="1:1" x14ac:dyDescent="0.25">
      <c r="A1294" t="s">
        <v>1358</v>
      </c>
    </row>
    <row r="1295" spans="1:1" x14ac:dyDescent="0.25">
      <c r="A1295" t="s">
        <v>1359</v>
      </c>
    </row>
    <row r="1296" spans="1:1" x14ac:dyDescent="0.25">
      <c r="A1296" t="s">
        <v>1360</v>
      </c>
    </row>
    <row r="1297" spans="1:1" x14ac:dyDescent="0.25">
      <c r="A1297" t="s">
        <v>1361</v>
      </c>
    </row>
    <row r="1298" spans="1:1" x14ac:dyDescent="0.25">
      <c r="A1298" t="s">
        <v>1362</v>
      </c>
    </row>
    <row r="1299" spans="1:1" x14ac:dyDescent="0.25">
      <c r="A1299" t="s">
        <v>1363</v>
      </c>
    </row>
    <row r="1300" spans="1:1" x14ac:dyDescent="0.25">
      <c r="A1300" t="s">
        <v>1364</v>
      </c>
    </row>
    <row r="1301" spans="1:1" x14ac:dyDescent="0.25">
      <c r="A1301" t="s">
        <v>1365</v>
      </c>
    </row>
    <row r="1302" spans="1:1" x14ac:dyDescent="0.25">
      <c r="A1302" t="s">
        <v>1366</v>
      </c>
    </row>
    <row r="1303" spans="1:1" x14ac:dyDescent="0.25">
      <c r="A1303" t="s">
        <v>1367</v>
      </c>
    </row>
    <row r="1304" spans="1:1" x14ac:dyDescent="0.25">
      <c r="A1304" t="s">
        <v>1368</v>
      </c>
    </row>
    <row r="1305" spans="1:1" x14ac:dyDescent="0.25">
      <c r="A1305" t="s">
        <v>1369</v>
      </c>
    </row>
    <row r="1306" spans="1:1" x14ac:dyDescent="0.25">
      <c r="A1306" t="s">
        <v>1370</v>
      </c>
    </row>
    <row r="1307" spans="1:1" x14ac:dyDescent="0.25">
      <c r="A1307" t="s">
        <v>1371</v>
      </c>
    </row>
    <row r="1308" spans="1:1" x14ac:dyDescent="0.25">
      <c r="A1308" t="s">
        <v>1372</v>
      </c>
    </row>
    <row r="1309" spans="1:1" x14ac:dyDescent="0.25">
      <c r="A1309" t="s">
        <v>1373</v>
      </c>
    </row>
    <row r="1310" spans="1:1" x14ac:dyDescent="0.25">
      <c r="A1310" t="s">
        <v>1374</v>
      </c>
    </row>
    <row r="1311" spans="1:1" x14ac:dyDescent="0.25">
      <c r="A1311" t="s">
        <v>1375</v>
      </c>
    </row>
    <row r="1312" spans="1:1" x14ac:dyDescent="0.25">
      <c r="A1312" t="s">
        <v>1376</v>
      </c>
    </row>
    <row r="1313" spans="1:1" x14ac:dyDescent="0.25">
      <c r="A1313" t="s">
        <v>1377</v>
      </c>
    </row>
    <row r="1314" spans="1:1" x14ac:dyDescent="0.25">
      <c r="A1314" t="s">
        <v>1378</v>
      </c>
    </row>
    <row r="1315" spans="1:1" x14ac:dyDescent="0.25">
      <c r="A1315" t="s">
        <v>1379</v>
      </c>
    </row>
    <row r="1316" spans="1:1" x14ac:dyDescent="0.25">
      <c r="A1316" t="s">
        <v>1380</v>
      </c>
    </row>
    <row r="1317" spans="1:1" x14ac:dyDescent="0.25">
      <c r="A1317" t="s">
        <v>1381</v>
      </c>
    </row>
    <row r="1318" spans="1:1" x14ac:dyDescent="0.25">
      <c r="A1318" t="s">
        <v>1382</v>
      </c>
    </row>
    <row r="1319" spans="1:1" x14ac:dyDescent="0.25">
      <c r="A1319" t="s">
        <v>1383</v>
      </c>
    </row>
    <row r="1320" spans="1:1" x14ac:dyDescent="0.25">
      <c r="A1320" t="s">
        <v>1384</v>
      </c>
    </row>
    <row r="1321" spans="1:1" x14ac:dyDescent="0.25">
      <c r="A1321" t="s">
        <v>1385</v>
      </c>
    </row>
    <row r="1322" spans="1:1" x14ac:dyDescent="0.25">
      <c r="A1322" t="s">
        <v>1386</v>
      </c>
    </row>
    <row r="1323" spans="1:1" x14ac:dyDescent="0.25">
      <c r="A1323" t="s">
        <v>1387</v>
      </c>
    </row>
    <row r="1324" spans="1:1" x14ac:dyDescent="0.25">
      <c r="A1324" t="s">
        <v>1388</v>
      </c>
    </row>
    <row r="1325" spans="1:1" x14ac:dyDescent="0.25">
      <c r="A1325" t="s">
        <v>1389</v>
      </c>
    </row>
    <row r="1326" spans="1:1" x14ac:dyDescent="0.25">
      <c r="A1326" t="s">
        <v>1390</v>
      </c>
    </row>
    <row r="1327" spans="1:1" x14ac:dyDescent="0.25">
      <c r="A1327" t="s">
        <v>1391</v>
      </c>
    </row>
    <row r="1328" spans="1:1" x14ac:dyDescent="0.25">
      <c r="A1328" t="s">
        <v>1392</v>
      </c>
    </row>
    <row r="1329" spans="1:1" x14ac:dyDescent="0.25">
      <c r="A1329" t="s">
        <v>1393</v>
      </c>
    </row>
    <row r="1330" spans="1:1" x14ac:dyDescent="0.25">
      <c r="A1330" t="s">
        <v>1394</v>
      </c>
    </row>
    <row r="1331" spans="1:1" x14ac:dyDescent="0.25">
      <c r="A1331" t="s">
        <v>1395</v>
      </c>
    </row>
    <row r="1332" spans="1:1" x14ac:dyDescent="0.25">
      <c r="A1332" t="s">
        <v>1396</v>
      </c>
    </row>
    <row r="1333" spans="1:1" x14ac:dyDescent="0.25">
      <c r="A1333" t="s">
        <v>1397</v>
      </c>
    </row>
    <row r="1334" spans="1:1" x14ac:dyDescent="0.25">
      <c r="A1334" t="s">
        <v>1398</v>
      </c>
    </row>
    <row r="1335" spans="1:1" x14ac:dyDescent="0.25">
      <c r="A1335" t="s">
        <v>1399</v>
      </c>
    </row>
    <row r="1336" spans="1:1" x14ac:dyDescent="0.25">
      <c r="A1336" t="s">
        <v>1400</v>
      </c>
    </row>
    <row r="1337" spans="1:1" x14ac:dyDescent="0.25">
      <c r="A1337" t="s">
        <v>1401</v>
      </c>
    </row>
    <row r="1338" spans="1:1" x14ac:dyDescent="0.25">
      <c r="A1338" t="s">
        <v>1402</v>
      </c>
    </row>
    <row r="1339" spans="1:1" x14ac:dyDescent="0.25">
      <c r="A1339" t="s">
        <v>1403</v>
      </c>
    </row>
    <row r="1340" spans="1:1" x14ac:dyDescent="0.25">
      <c r="A1340" t="s">
        <v>1404</v>
      </c>
    </row>
    <row r="1341" spans="1:1" x14ac:dyDescent="0.25">
      <c r="A1341" t="s">
        <v>1405</v>
      </c>
    </row>
    <row r="1342" spans="1:1" x14ac:dyDescent="0.25">
      <c r="A1342" t="s">
        <v>1406</v>
      </c>
    </row>
    <row r="1343" spans="1:1" x14ac:dyDescent="0.25">
      <c r="A1343" t="s">
        <v>1407</v>
      </c>
    </row>
    <row r="1344" spans="1:1" x14ac:dyDescent="0.25">
      <c r="A1344" t="s">
        <v>1408</v>
      </c>
    </row>
    <row r="1345" spans="1:1" x14ac:dyDescent="0.25">
      <c r="A1345" t="s">
        <v>1409</v>
      </c>
    </row>
    <row r="1346" spans="1:1" x14ac:dyDescent="0.25">
      <c r="A1346" t="s">
        <v>1410</v>
      </c>
    </row>
    <row r="1347" spans="1:1" x14ac:dyDescent="0.25">
      <c r="A1347" t="s">
        <v>1411</v>
      </c>
    </row>
    <row r="1348" spans="1:1" x14ac:dyDescent="0.25">
      <c r="A1348" t="s">
        <v>1412</v>
      </c>
    </row>
    <row r="1349" spans="1:1" x14ac:dyDescent="0.25">
      <c r="A1349" t="s">
        <v>1413</v>
      </c>
    </row>
    <row r="1350" spans="1:1" x14ac:dyDescent="0.25">
      <c r="A1350" t="s">
        <v>1414</v>
      </c>
    </row>
    <row r="1351" spans="1:1" x14ac:dyDescent="0.25">
      <c r="A1351" t="s">
        <v>1415</v>
      </c>
    </row>
    <row r="1352" spans="1:1" x14ac:dyDescent="0.25">
      <c r="A1352" t="s">
        <v>1416</v>
      </c>
    </row>
    <row r="1353" spans="1:1" x14ac:dyDescent="0.25">
      <c r="A1353" t="s">
        <v>1417</v>
      </c>
    </row>
    <row r="1354" spans="1:1" x14ac:dyDescent="0.25">
      <c r="A1354" t="s">
        <v>1418</v>
      </c>
    </row>
    <row r="1355" spans="1:1" x14ac:dyDescent="0.25">
      <c r="A1355" t="s">
        <v>1419</v>
      </c>
    </row>
    <row r="1356" spans="1:1" x14ac:dyDescent="0.25">
      <c r="A1356" t="s">
        <v>1420</v>
      </c>
    </row>
    <row r="1357" spans="1:1" x14ac:dyDescent="0.25">
      <c r="A1357" t="s">
        <v>1421</v>
      </c>
    </row>
    <row r="1358" spans="1:1" x14ac:dyDescent="0.25">
      <c r="A1358" t="s">
        <v>1422</v>
      </c>
    </row>
    <row r="1359" spans="1:1" x14ac:dyDescent="0.25">
      <c r="A1359" t="s">
        <v>1423</v>
      </c>
    </row>
    <row r="1360" spans="1:1" x14ac:dyDescent="0.25">
      <c r="A1360" t="s">
        <v>1424</v>
      </c>
    </row>
    <row r="1361" spans="1:1" x14ac:dyDescent="0.25">
      <c r="A1361" t="s">
        <v>1425</v>
      </c>
    </row>
    <row r="1362" spans="1:1" x14ac:dyDescent="0.25">
      <c r="A1362" t="s">
        <v>1426</v>
      </c>
    </row>
    <row r="1363" spans="1:1" x14ac:dyDescent="0.25">
      <c r="A1363" t="s">
        <v>1427</v>
      </c>
    </row>
    <row r="1364" spans="1:1" x14ac:dyDescent="0.25">
      <c r="A1364" t="s">
        <v>1428</v>
      </c>
    </row>
    <row r="1365" spans="1:1" x14ac:dyDescent="0.25">
      <c r="A1365" t="s">
        <v>1429</v>
      </c>
    </row>
    <row r="1366" spans="1:1" x14ac:dyDescent="0.25">
      <c r="A1366" t="s">
        <v>1430</v>
      </c>
    </row>
    <row r="1367" spans="1:1" x14ac:dyDescent="0.25">
      <c r="A1367" t="s">
        <v>1431</v>
      </c>
    </row>
    <row r="1368" spans="1:1" x14ac:dyDescent="0.25">
      <c r="A1368" t="s">
        <v>1432</v>
      </c>
    </row>
    <row r="1369" spans="1:1" x14ac:dyDescent="0.25">
      <c r="A1369" t="s">
        <v>1433</v>
      </c>
    </row>
    <row r="1370" spans="1:1" x14ac:dyDescent="0.25">
      <c r="A1370" t="s">
        <v>1434</v>
      </c>
    </row>
    <row r="1371" spans="1:1" x14ac:dyDescent="0.25">
      <c r="A1371" t="s">
        <v>1435</v>
      </c>
    </row>
    <row r="1372" spans="1:1" x14ac:dyDescent="0.25">
      <c r="A1372" t="s">
        <v>1436</v>
      </c>
    </row>
    <row r="1373" spans="1:1" x14ac:dyDescent="0.25">
      <c r="A1373" t="s">
        <v>1437</v>
      </c>
    </row>
    <row r="1374" spans="1:1" x14ac:dyDescent="0.25">
      <c r="A1374" t="s">
        <v>1438</v>
      </c>
    </row>
    <row r="1375" spans="1:1" x14ac:dyDescent="0.25">
      <c r="A1375" t="s">
        <v>1439</v>
      </c>
    </row>
    <row r="1376" spans="1:1" x14ac:dyDescent="0.25">
      <c r="A1376" t="s">
        <v>1440</v>
      </c>
    </row>
    <row r="1377" spans="1:1" x14ac:dyDescent="0.25">
      <c r="A1377" t="s">
        <v>1441</v>
      </c>
    </row>
    <row r="1378" spans="1:1" x14ac:dyDescent="0.25">
      <c r="A1378" t="s">
        <v>1442</v>
      </c>
    </row>
    <row r="1379" spans="1:1" x14ac:dyDescent="0.25">
      <c r="A1379" t="s">
        <v>1443</v>
      </c>
    </row>
    <row r="1380" spans="1:1" x14ac:dyDescent="0.25">
      <c r="A1380" t="s">
        <v>1444</v>
      </c>
    </row>
    <row r="1381" spans="1:1" x14ac:dyDescent="0.25">
      <c r="A1381" t="s">
        <v>1445</v>
      </c>
    </row>
    <row r="1382" spans="1:1" x14ac:dyDescent="0.25">
      <c r="A1382" t="s">
        <v>1446</v>
      </c>
    </row>
    <row r="1383" spans="1:1" x14ac:dyDescent="0.25">
      <c r="A1383" t="s">
        <v>1447</v>
      </c>
    </row>
    <row r="1384" spans="1:1" x14ac:dyDescent="0.25">
      <c r="A1384" t="s">
        <v>1448</v>
      </c>
    </row>
    <row r="1385" spans="1:1" x14ac:dyDescent="0.25">
      <c r="A1385" t="s">
        <v>1449</v>
      </c>
    </row>
    <row r="1386" spans="1:1" x14ac:dyDescent="0.25">
      <c r="A1386" t="s">
        <v>1450</v>
      </c>
    </row>
    <row r="1387" spans="1:1" x14ac:dyDescent="0.25">
      <c r="A1387" t="s">
        <v>1451</v>
      </c>
    </row>
    <row r="1388" spans="1:1" x14ac:dyDescent="0.25">
      <c r="A1388" t="s">
        <v>1452</v>
      </c>
    </row>
    <row r="1389" spans="1:1" x14ac:dyDescent="0.25">
      <c r="A1389" t="s">
        <v>1453</v>
      </c>
    </row>
    <row r="1390" spans="1:1" x14ac:dyDescent="0.25">
      <c r="A1390" t="s">
        <v>1454</v>
      </c>
    </row>
    <row r="1391" spans="1:1" x14ac:dyDescent="0.25">
      <c r="A1391" t="s">
        <v>1455</v>
      </c>
    </row>
    <row r="1392" spans="1:1" x14ac:dyDescent="0.25">
      <c r="A1392" t="s">
        <v>1456</v>
      </c>
    </row>
    <row r="1393" spans="1:1" x14ac:dyDescent="0.25">
      <c r="A1393" t="s">
        <v>1457</v>
      </c>
    </row>
    <row r="1394" spans="1:1" x14ac:dyDescent="0.25">
      <c r="A1394" t="s">
        <v>1458</v>
      </c>
    </row>
    <row r="1395" spans="1:1" x14ac:dyDescent="0.25">
      <c r="A1395" t="s">
        <v>1459</v>
      </c>
    </row>
    <row r="1396" spans="1:1" x14ac:dyDescent="0.25">
      <c r="A1396" t="s">
        <v>1460</v>
      </c>
    </row>
    <row r="1397" spans="1:1" x14ac:dyDescent="0.25">
      <c r="A1397" t="s">
        <v>1461</v>
      </c>
    </row>
    <row r="1398" spans="1:1" x14ac:dyDescent="0.25">
      <c r="A1398" t="s">
        <v>1462</v>
      </c>
    </row>
    <row r="1399" spans="1:1" x14ac:dyDescent="0.25">
      <c r="A1399" t="s">
        <v>1463</v>
      </c>
    </row>
    <row r="1400" spans="1:1" x14ac:dyDescent="0.25">
      <c r="A1400" t="s">
        <v>1464</v>
      </c>
    </row>
    <row r="1401" spans="1:1" x14ac:dyDescent="0.25">
      <c r="A1401" t="s">
        <v>1465</v>
      </c>
    </row>
    <row r="1402" spans="1:1" x14ac:dyDescent="0.25">
      <c r="A1402" t="s">
        <v>1466</v>
      </c>
    </row>
    <row r="1403" spans="1:1" x14ac:dyDescent="0.25">
      <c r="A1403" t="s">
        <v>1467</v>
      </c>
    </row>
    <row r="1404" spans="1:1" x14ac:dyDescent="0.25">
      <c r="A1404" t="s">
        <v>1468</v>
      </c>
    </row>
    <row r="1405" spans="1:1" x14ac:dyDescent="0.25">
      <c r="A1405" t="s">
        <v>1469</v>
      </c>
    </row>
    <row r="1406" spans="1:1" x14ac:dyDescent="0.25">
      <c r="A1406" t="s">
        <v>1470</v>
      </c>
    </row>
    <row r="1407" spans="1:1" x14ac:dyDescent="0.25">
      <c r="A1407" t="s">
        <v>1471</v>
      </c>
    </row>
    <row r="1408" spans="1:1" x14ac:dyDescent="0.25">
      <c r="A1408" t="s">
        <v>1472</v>
      </c>
    </row>
    <row r="1409" spans="1:1" x14ac:dyDescent="0.25">
      <c r="A1409" t="s">
        <v>1473</v>
      </c>
    </row>
    <row r="1410" spans="1:1" x14ac:dyDescent="0.25">
      <c r="A1410" t="s">
        <v>1474</v>
      </c>
    </row>
    <row r="1411" spans="1:1" x14ac:dyDescent="0.25">
      <c r="A1411" t="s">
        <v>1475</v>
      </c>
    </row>
    <row r="1412" spans="1:1" x14ac:dyDescent="0.25">
      <c r="A1412" t="s">
        <v>1476</v>
      </c>
    </row>
    <row r="1413" spans="1:1" x14ac:dyDescent="0.25">
      <c r="A1413" t="s">
        <v>1477</v>
      </c>
    </row>
    <row r="1414" spans="1:1" x14ac:dyDescent="0.25">
      <c r="A1414" t="s">
        <v>1478</v>
      </c>
    </row>
    <row r="1415" spans="1:1" x14ac:dyDescent="0.25">
      <c r="A1415" t="s">
        <v>1479</v>
      </c>
    </row>
    <row r="1416" spans="1:1" x14ac:dyDescent="0.25">
      <c r="A1416" t="s">
        <v>1480</v>
      </c>
    </row>
    <row r="1417" spans="1:1" x14ac:dyDescent="0.25">
      <c r="A1417" t="s">
        <v>1481</v>
      </c>
    </row>
    <row r="1418" spans="1:1" x14ac:dyDescent="0.25">
      <c r="A1418" t="s">
        <v>1482</v>
      </c>
    </row>
    <row r="1419" spans="1:1" x14ac:dyDescent="0.25">
      <c r="A1419" t="s">
        <v>1483</v>
      </c>
    </row>
    <row r="1420" spans="1:1" x14ac:dyDescent="0.25">
      <c r="A1420" t="s">
        <v>1484</v>
      </c>
    </row>
    <row r="1421" spans="1:1" x14ac:dyDescent="0.25">
      <c r="A1421" t="s">
        <v>1485</v>
      </c>
    </row>
    <row r="1422" spans="1:1" x14ac:dyDescent="0.25">
      <c r="A1422" t="s">
        <v>1486</v>
      </c>
    </row>
    <row r="1423" spans="1:1" x14ac:dyDescent="0.25">
      <c r="A1423" t="s">
        <v>1487</v>
      </c>
    </row>
    <row r="1424" spans="1:1" x14ac:dyDescent="0.25">
      <c r="A1424" t="s">
        <v>1488</v>
      </c>
    </row>
    <row r="1425" spans="1:1" x14ac:dyDescent="0.25">
      <c r="A1425" t="s">
        <v>1489</v>
      </c>
    </row>
    <row r="1426" spans="1:1" x14ac:dyDescent="0.25">
      <c r="A1426" t="s">
        <v>1490</v>
      </c>
    </row>
    <row r="1427" spans="1:1" x14ac:dyDescent="0.25">
      <c r="A1427" t="s">
        <v>1491</v>
      </c>
    </row>
    <row r="1428" spans="1:1" x14ac:dyDescent="0.25">
      <c r="A1428" t="s">
        <v>1492</v>
      </c>
    </row>
    <row r="1429" spans="1:1" x14ac:dyDescent="0.25">
      <c r="A1429" t="s">
        <v>1493</v>
      </c>
    </row>
    <row r="1430" spans="1:1" x14ac:dyDescent="0.25">
      <c r="A1430" t="s">
        <v>1494</v>
      </c>
    </row>
    <row r="1431" spans="1:1" x14ac:dyDescent="0.25">
      <c r="A1431" t="s">
        <v>1495</v>
      </c>
    </row>
    <row r="1432" spans="1:1" x14ac:dyDescent="0.25">
      <c r="A1432" t="s">
        <v>1496</v>
      </c>
    </row>
    <row r="1433" spans="1:1" x14ac:dyDescent="0.25">
      <c r="A1433" t="s">
        <v>1497</v>
      </c>
    </row>
    <row r="1434" spans="1:1" x14ac:dyDescent="0.25">
      <c r="A1434" t="s">
        <v>1498</v>
      </c>
    </row>
    <row r="1435" spans="1:1" x14ac:dyDescent="0.25">
      <c r="A1435" t="s">
        <v>1499</v>
      </c>
    </row>
    <row r="1436" spans="1:1" x14ac:dyDescent="0.25">
      <c r="A1436" t="s">
        <v>1500</v>
      </c>
    </row>
    <row r="1437" spans="1:1" x14ac:dyDescent="0.25">
      <c r="A1437" t="s">
        <v>1501</v>
      </c>
    </row>
    <row r="1438" spans="1:1" x14ac:dyDescent="0.25">
      <c r="A1438" t="s">
        <v>1502</v>
      </c>
    </row>
    <row r="1439" spans="1:1" x14ac:dyDescent="0.25">
      <c r="A1439" t="s">
        <v>1503</v>
      </c>
    </row>
    <row r="1440" spans="1:1" x14ac:dyDescent="0.25">
      <c r="A1440" t="s">
        <v>1504</v>
      </c>
    </row>
    <row r="1441" spans="1:1" x14ac:dyDescent="0.25">
      <c r="A1441" t="s">
        <v>1505</v>
      </c>
    </row>
    <row r="1442" spans="1:1" x14ac:dyDescent="0.25">
      <c r="A1442" t="s">
        <v>1506</v>
      </c>
    </row>
    <row r="1443" spans="1:1" x14ac:dyDescent="0.25">
      <c r="A1443" t="s">
        <v>1507</v>
      </c>
    </row>
    <row r="1444" spans="1:1" x14ac:dyDescent="0.25">
      <c r="A1444" t="s">
        <v>1508</v>
      </c>
    </row>
    <row r="1445" spans="1:1" x14ac:dyDescent="0.25">
      <c r="A1445" t="s">
        <v>1509</v>
      </c>
    </row>
    <row r="1446" spans="1:1" x14ac:dyDescent="0.25">
      <c r="A1446" t="s">
        <v>1510</v>
      </c>
    </row>
    <row r="1447" spans="1:1" x14ac:dyDescent="0.25">
      <c r="A1447" t="s">
        <v>1511</v>
      </c>
    </row>
    <row r="1448" spans="1:1" x14ac:dyDescent="0.25">
      <c r="A1448" t="s">
        <v>1512</v>
      </c>
    </row>
    <row r="1449" spans="1:1" x14ac:dyDescent="0.25">
      <c r="A1449" t="s">
        <v>1513</v>
      </c>
    </row>
    <row r="1450" spans="1:1" x14ac:dyDescent="0.25">
      <c r="A1450" t="s">
        <v>1514</v>
      </c>
    </row>
    <row r="1451" spans="1:1" x14ac:dyDescent="0.25">
      <c r="A1451" t="s">
        <v>1515</v>
      </c>
    </row>
    <row r="1452" spans="1:1" x14ac:dyDescent="0.25">
      <c r="A1452" t="s">
        <v>1516</v>
      </c>
    </row>
    <row r="1453" spans="1:1" x14ac:dyDescent="0.25">
      <c r="A1453" t="s">
        <v>1517</v>
      </c>
    </row>
    <row r="1454" spans="1:1" x14ac:dyDescent="0.25">
      <c r="A1454" t="s">
        <v>1518</v>
      </c>
    </row>
    <row r="1455" spans="1:1" x14ac:dyDescent="0.25">
      <c r="A1455" t="s">
        <v>1519</v>
      </c>
    </row>
    <row r="1456" spans="1:1" x14ac:dyDescent="0.25">
      <c r="A1456" t="s">
        <v>1520</v>
      </c>
    </row>
    <row r="1457" spans="1:1" x14ac:dyDescent="0.25">
      <c r="A1457" t="s">
        <v>1521</v>
      </c>
    </row>
    <row r="1458" spans="1:1" x14ac:dyDescent="0.25">
      <c r="A1458" t="s">
        <v>1522</v>
      </c>
    </row>
    <row r="1459" spans="1:1" x14ac:dyDescent="0.25">
      <c r="A1459" t="s">
        <v>1523</v>
      </c>
    </row>
    <row r="1460" spans="1:1" x14ac:dyDescent="0.25">
      <c r="A1460" t="s">
        <v>1524</v>
      </c>
    </row>
    <row r="1461" spans="1:1" x14ac:dyDescent="0.25">
      <c r="A1461" t="s">
        <v>1525</v>
      </c>
    </row>
    <row r="1462" spans="1:1" x14ac:dyDescent="0.25">
      <c r="A1462" t="s">
        <v>1526</v>
      </c>
    </row>
    <row r="1463" spans="1:1" x14ac:dyDescent="0.25">
      <c r="A1463" t="s">
        <v>1527</v>
      </c>
    </row>
    <row r="1464" spans="1:1" x14ac:dyDescent="0.25">
      <c r="A1464" t="s">
        <v>1528</v>
      </c>
    </row>
    <row r="1465" spans="1:1" x14ac:dyDescent="0.25">
      <c r="A1465" t="s">
        <v>1529</v>
      </c>
    </row>
    <row r="1466" spans="1:1" x14ac:dyDescent="0.25">
      <c r="A1466" t="s">
        <v>1530</v>
      </c>
    </row>
    <row r="1467" spans="1:1" x14ac:dyDescent="0.25">
      <c r="A1467" t="s">
        <v>1531</v>
      </c>
    </row>
    <row r="1468" spans="1:1" x14ac:dyDescent="0.25">
      <c r="A1468" t="s">
        <v>1532</v>
      </c>
    </row>
    <row r="1469" spans="1:1" x14ac:dyDescent="0.25">
      <c r="A1469" t="s">
        <v>1533</v>
      </c>
    </row>
    <row r="1470" spans="1:1" x14ac:dyDescent="0.25">
      <c r="A1470" t="s">
        <v>1534</v>
      </c>
    </row>
    <row r="1471" spans="1:1" x14ac:dyDescent="0.25">
      <c r="A1471" t="s">
        <v>1535</v>
      </c>
    </row>
    <row r="1472" spans="1:1" x14ac:dyDescent="0.25">
      <c r="A1472" t="s">
        <v>1536</v>
      </c>
    </row>
    <row r="1473" spans="1:1" x14ac:dyDescent="0.25">
      <c r="A1473" t="s">
        <v>1537</v>
      </c>
    </row>
    <row r="1474" spans="1:1" x14ac:dyDescent="0.25">
      <c r="A1474" t="s">
        <v>1538</v>
      </c>
    </row>
    <row r="1475" spans="1:1" x14ac:dyDescent="0.25">
      <c r="A1475" t="s">
        <v>1539</v>
      </c>
    </row>
    <row r="1476" spans="1:1" x14ac:dyDescent="0.25">
      <c r="A1476" t="s">
        <v>1540</v>
      </c>
    </row>
    <row r="1477" spans="1:1" x14ac:dyDescent="0.25">
      <c r="A1477" t="s">
        <v>1541</v>
      </c>
    </row>
    <row r="1478" spans="1:1" x14ac:dyDescent="0.25">
      <c r="A1478" t="s">
        <v>1542</v>
      </c>
    </row>
    <row r="1479" spans="1:1" x14ac:dyDescent="0.25">
      <c r="A1479" t="s">
        <v>1543</v>
      </c>
    </row>
    <row r="1480" spans="1:1" x14ac:dyDescent="0.25">
      <c r="A1480" t="s">
        <v>1544</v>
      </c>
    </row>
    <row r="1481" spans="1:1" x14ac:dyDescent="0.25">
      <c r="A1481" t="s">
        <v>1545</v>
      </c>
    </row>
    <row r="1482" spans="1:1" x14ac:dyDescent="0.25">
      <c r="A1482" t="s">
        <v>1546</v>
      </c>
    </row>
    <row r="1483" spans="1:1" x14ac:dyDescent="0.25">
      <c r="A1483" t="s">
        <v>1547</v>
      </c>
    </row>
    <row r="1484" spans="1:1" x14ac:dyDescent="0.25">
      <c r="A1484" t="s">
        <v>1548</v>
      </c>
    </row>
    <row r="1485" spans="1:1" x14ac:dyDescent="0.25">
      <c r="A1485" t="s">
        <v>1549</v>
      </c>
    </row>
    <row r="1486" spans="1:1" x14ac:dyDescent="0.25">
      <c r="A1486" t="s">
        <v>1550</v>
      </c>
    </row>
    <row r="1487" spans="1:1" x14ac:dyDescent="0.25">
      <c r="A1487" t="s">
        <v>1551</v>
      </c>
    </row>
    <row r="1488" spans="1:1" x14ac:dyDescent="0.25">
      <c r="A1488" t="s">
        <v>1552</v>
      </c>
    </row>
    <row r="1489" spans="1:1" x14ac:dyDescent="0.25">
      <c r="A1489" t="s">
        <v>1553</v>
      </c>
    </row>
    <row r="1490" spans="1:1" x14ac:dyDescent="0.25">
      <c r="A1490" t="s">
        <v>1554</v>
      </c>
    </row>
    <row r="1491" spans="1:1" x14ac:dyDescent="0.25">
      <c r="A1491" t="s">
        <v>1555</v>
      </c>
    </row>
    <row r="1492" spans="1:1" x14ac:dyDescent="0.25">
      <c r="A1492" t="s">
        <v>1556</v>
      </c>
    </row>
    <row r="1493" spans="1:1" x14ac:dyDescent="0.25">
      <c r="A1493" t="s">
        <v>1557</v>
      </c>
    </row>
    <row r="1494" spans="1:1" x14ac:dyDescent="0.25">
      <c r="A1494" t="s">
        <v>1558</v>
      </c>
    </row>
    <row r="1495" spans="1:1" x14ac:dyDescent="0.25">
      <c r="A1495" t="s">
        <v>1559</v>
      </c>
    </row>
    <row r="1496" spans="1:1" x14ac:dyDescent="0.25">
      <c r="A1496" t="s">
        <v>1560</v>
      </c>
    </row>
    <row r="1497" spans="1:1" x14ac:dyDescent="0.25">
      <c r="A1497" t="s">
        <v>1561</v>
      </c>
    </row>
    <row r="1498" spans="1:1" x14ac:dyDescent="0.25">
      <c r="A1498" t="s">
        <v>1562</v>
      </c>
    </row>
    <row r="1499" spans="1:1" x14ac:dyDescent="0.25">
      <c r="A1499" t="s">
        <v>1563</v>
      </c>
    </row>
    <row r="1500" spans="1:1" x14ac:dyDescent="0.25">
      <c r="A1500" t="s">
        <v>1564</v>
      </c>
    </row>
    <row r="1501" spans="1:1" x14ac:dyDescent="0.25">
      <c r="A1501" t="s">
        <v>1565</v>
      </c>
    </row>
    <row r="1502" spans="1:1" x14ac:dyDescent="0.25">
      <c r="A1502" t="s">
        <v>1566</v>
      </c>
    </row>
    <row r="1503" spans="1:1" x14ac:dyDescent="0.25">
      <c r="A1503" t="s">
        <v>1567</v>
      </c>
    </row>
    <row r="1504" spans="1:1" x14ac:dyDescent="0.25">
      <c r="A1504" t="s">
        <v>1568</v>
      </c>
    </row>
    <row r="1505" spans="1:1" x14ac:dyDescent="0.25">
      <c r="A1505" t="s">
        <v>1569</v>
      </c>
    </row>
    <row r="1506" spans="1:1" x14ac:dyDescent="0.25">
      <c r="A1506" t="s">
        <v>1570</v>
      </c>
    </row>
    <row r="1507" spans="1:1" x14ac:dyDescent="0.25">
      <c r="A1507" t="s">
        <v>1571</v>
      </c>
    </row>
    <row r="1508" spans="1:1" x14ac:dyDescent="0.25">
      <c r="A1508" t="s">
        <v>1572</v>
      </c>
    </row>
    <row r="1509" spans="1:1" x14ac:dyDescent="0.25">
      <c r="A1509" t="s">
        <v>1573</v>
      </c>
    </row>
    <row r="1510" spans="1:1" x14ac:dyDescent="0.25">
      <c r="A1510" t="s">
        <v>1574</v>
      </c>
    </row>
    <row r="1511" spans="1:1" x14ac:dyDescent="0.25">
      <c r="A1511" t="s">
        <v>1575</v>
      </c>
    </row>
    <row r="1512" spans="1:1" x14ac:dyDescent="0.25">
      <c r="A1512" t="s">
        <v>1576</v>
      </c>
    </row>
    <row r="1513" spans="1:1" x14ac:dyDescent="0.25">
      <c r="A1513" t="s">
        <v>1577</v>
      </c>
    </row>
    <row r="1514" spans="1:1" x14ac:dyDescent="0.25">
      <c r="A1514" t="s">
        <v>1578</v>
      </c>
    </row>
    <row r="1515" spans="1:1" x14ac:dyDescent="0.25">
      <c r="A1515" t="s">
        <v>1579</v>
      </c>
    </row>
    <row r="1516" spans="1:1" x14ac:dyDescent="0.25">
      <c r="A1516" t="s">
        <v>1580</v>
      </c>
    </row>
    <row r="1517" spans="1:1" x14ac:dyDescent="0.25">
      <c r="A1517" t="s">
        <v>1581</v>
      </c>
    </row>
    <row r="1518" spans="1:1" x14ac:dyDescent="0.25">
      <c r="A1518" t="s">
        <v>1582</v>
      </c>
    </row>
    <row r="1519" spans="1:1" x14ac:dyDescent="0.25">
      <c r="A1519" t="s">
        <v>1583</v>
      </c>
    </row>
    <row r="1520" spans="1:1" x14ac:dyDescent="0.25">
      <c r="A1520" t="s">
        <v>1584</v>
      </c>
    </row>
    <row r="1521" spans="1:1" x14ac:dyDescent="0.25">
      <c r="A1521" t="s">
        <v>1585</v>
      </c>
    </row>
    <row r="1522" spans="1:1" x14ac:dyDescent="0.25">
      <c r="A1522" t="s">
        <v>1586</v>
      </c>
    </row>
    <row r="1523" spans="1:1" x14ac:dyDescent="0.25">
      <c r="A1523" t="s">
        <v>1587</v>
      </c>
    </row>
    <row r="1524" spans="1:1" x14ac:dyDescent="0.25">
      <c r="A1524" t="s">
        <v>1588</v>
      </c>
    </row>
    <row r="1525" spans="1:1" x14ac:dyDescent="0.25">
      <c r="A1525" t="s">
        <v>1589</v>
      </c>
    </row>
    <row r="1526" spans="1:1" x14ac:dyDescent="0.25">
      <c r="A1526" t="s">
        <v>1590</v>
      </c>
    </row>
    <row r="1527" spans="1:1" x14ac:dyDescent="0.25">
      <c r="A1527" t="s">
        <v>1591</v>
      </c>
    </row>
    <row r="1528" spans="1:1" x14ac:dyDescent="0.25">
      <c r="A1528" t="s">
        <v>1592</v>
      </c>
    </row>
    <row r="1529" spans="1:1" x14ac:dyDescent="0.25">
      <c r="A1529" t="s">
        <v>1593</v>
      </c>
    </row>
    <row r="1530" spans="1:1" x14ac:dyDescent="0.25">
      <c r="A1530" t="s">
        <v>1594</v>
      </c>
    </row>
    <row r="1531" spans="1:1" x14ac:dyDescent="0.25">
      <c r="A1531" t="s">
        <v>1595</v>
      </c>
    </row>
    <row r="1532" spans="1:1" x14ac:dyDescent="0.25">
      <c r="A1532" t="s">
        <v>1596</v>
      </c>
    </row>
    <row r="1533" spans="1:1" x14ac:dyDescent="0.25">
      <c r="A1533" t="s">
        <v>1597</v>
      </c>
    </row>
    <row r="1534" spans="1:1" x14ac:dyDescent="0.25">
      <c r="A1534" t="s">
        <v>1598</v>
      </c>
    </row>
    <row r="1535" spans="1:1" x14ac:dyDescent="0.25">
      <c r="A1535" t="s">
        <v>1599</v>
      </c>
    </row>
    <row r="1536" spans="1:1" x14ac:dyDescent="0.25">
      <c r="A1536" t="s">
        <v>1600</v>
      </c>
    </row>
    <row r="1537" spans="1:1" x14ac:dyDescent="0.25">
      <c r="A1537" t="s">
        <v>1601</v>
      </c>
    </row>
    <row r="1538" spans="1:1" x14ac:dyDescent="0.25">
      <c r="A1538" t="s">
        <v>1602</v>
      </c>
    </row>
    <row r="1539" spans="1:1" x14ac:dyDescent="0.25">
      <c r="A1539" t="s">
        <v>1603</v>
      </c>
    </row>
    <row r="1540" spans="1:1" x14ac:dyDescent="0.25">
      <c r="A1540" t="s">
        <v>1604</v>
      </c>
    </row>
    <row r="1541" spans="1:1" x14ac:dyDescent="0.25">
      <c r="A1541" t="s">
        <v>1605</v>
      </c>
    </row>
    <row r="1542" spans="1:1" x14ac:dyDescent="0.25">
      <c r="A1542" t="s">
        <v>1606</v>
      </c>
    </row>
    <row r="1543" spans="1:1" x14ac:dyDescent="0.25">
      <c r="A1543" t="s">
        <v>1607</v>
      </c>
    </row>
    <row r="1544" spans="1:1" x14ac:dyDescent="0.25">
      <c r="A1544" t="s">
        <v>1608</v>
      </c>
    </row>
    <row r="1545" spans="1:1" x14ac:dyDescent="0.25">
      <c r="A1545" t="s">
        <v>1609</v>
      </c>
    </row>
    <row r="1546" spans="1:1" x14ac:dyDescent="0.25">
      <c r="A1546" t="s">
        <v>1610</v>
      </c>
    </row>
    <row r="1547" spans="1:1" x14ac:dyDescent="0.25">
      <c r="A1547" t="s">
        <v>1611</v>
      </c>
    </row>
    <row r="1548" spans="1:1" x14ac:dyDescent="0.25">
      <c r="A1548" t="s">
        <v>1612</v>
      </c>
    </row>
    <row r="1549" spans="1:1" x14ac:dyDescent="0.25">
      <c r="A1549" t="s">
        <v>1613</v>
      </c>
    </row>
    <row r="1550" spans="1:1" x14ac:dyDescent="0.25">
      <c r="A1550" t="s">
        <v>1614</v>
      </c>
    </row>
    <row r="1551" spans="1:1" x14ac:dyDescent="0.25">
      <c r="A1551" t="s">
        <v>1615</v>
      </c>
    </row>
    <row r="1552" spans="1:1" x14ac:dyDescent="0.25">
      <c r="A1552" t="s">
        <v>1616</v>
      </c>
    </row>
    <row r="1553" spans="1:1" x14ac:dyDescent="0.25">
      <c r="A1553" t="s">
        <v>1617</v>
      </c>
    </row>
    <row r="1554" spans="1:1" x14ac:dyDescent="0.25">
      <c r="A1554" t="s">
        <v>1618</v>
      </c>
    </row>
    <row r="1555" spans="1:1" x14ac:dyDescent="0.25">
      <c r="A1555" t="s">
        <v>1619</v>
      </c>
    </row>
    <row r="1556" spans="1:1" x14ac:dyDescent="0.25">
      <c r="A1556" t="s">
        <v>1620</v>
      </c>
    </row>
    <row r="1557" spans="1:1" x14ac:dyDescent="0.25">
      <c r="A1557" t="s">
        <v>1621</v>
      </c>
    </row>
    <row r="1558" spans="1:1" x14ac:dyDescent="0.25">
      <c r="A1558" t="s">
        <v>1622</v>
      </c>
    </row>
    <row r="1559" spans="1:1" x14ac:dyDescent="0.25">
      <c r="A1559" t="s">
        <v>1623</v>
      </c>
    </row>
    <row r="1560" spans="1:1" x14ac:dyDescent="0.25">
      <c r="A1560" t="s">
        <v>1624</v>
      </c>
    </row>
    <row r="1561" spans="1:1" x14ac:dyDescent="0.25">
      <c r="A1561" t="s">
        <v>1625</v>
      </c>
    </row>
    <row r="1562" spans="1:1" x14ac:dyDescent="0.25">
      <c r="A1562" t="s">
        <v>1626</v>
      </c>
    </row>
    <row r="1563" spans="1:1" x14ac:dyDescent="0.25">
      <c r="A1563" t="s">
        <v>1627</v>
      </c>
    </row>
    <row r="1564" spans="1:1" x14ac:dyDescent="0.25">
      <c r="A1564" t="s">
        <v>1628</v>
      </c>
    </row>
    <row r="1565" spans="1:1" x14ac:dyDescent="0.25">
      <c r="A1565" t="s">
        <v>1629</v>
      </c>
    </row>
    <row r="1566" spans="1:1" x14ac:dyDescent="0.25">
      <c r="A1566" t="s">
        <v>1630</v>
      </c>
    </row>
    <row r="1567" spans="1:1" x14ac:dyDescent="0.25">
      <c r="A1567" t="s">
        <v>1631</v>
      </c>
    </row>
    <row r="1568" spans="1:1" x14ac:dyDescent="0.25">
      <c r="A1568" t="s">
        <v>1632</v>
      </c>
    </row>
    <row r="1569" spans="1:1" x14ac:dyDescent="0.25">
      <c r="A1569" t="s">
        <v>1633</v>
      </c>
    </row>
    <row r="1570" spans="1:1" x14ac:dyDescent="0.25">
      <c r="A1570" t="s">
        <v>1634</v>
      </c>
    </row>
    <row r="1571" spans="1:1" x14ac:dyDescent="0.25">
      <c r="A1571" t="s">
        <v>1635</v>
      </c>
    </row>
    <row r="1572" spans="1:1" x14ac:dyDescent="0.25">
      <c r="A1572" t="s">
        <v>1636</v>
      </c>
    </row>
    <row r="1573" spans="1:1" x14ac:dyDescent="0.25">
      <c r="A1573" t="s">
        <v>1637</v>
      </c>
    </row>
    <row r="1574" spans="1:1" x14ac:dyDescent="0.25">
      <c r="A1574" t="s">
        <v>1638</v>
      </c>
    </row>
    <row r="1575" spans="1:1" x14ac:dyDescent="0.25">
      <c r="A1575" t="s">
        <v>1639</v>
      </c>
    </row>
    <row r="1576" spans="1:1" x14ac:dyDescent="0.25">
      <c r="A1576" t="s">
        <v>1640</v>
      </c>
    </row>
    <row r="1577" spans="1:1" x14ac:dyDescent="0.25">
      <c r="A1577" t="s">
        <v>1641</v>
      </c>
    </row>
    <row r="1578" spans="1:1" x14ac:dyDescent="0.25">
      <c r="A1578" t="s">
        <v>1642</v>
      </c>
    </row>
    <row r="1579" spans="1:1" x14ac:dyDescent="0.25">
      <c r="A1579" t="s">
        <v>1643</v>
      </c>
    </row>
    <row r="1580" spans="1:1" x14ac:dyDescent="0.25">
      <c r="A1580" t="s">
        <v>1644</v>
      </c>
    </row>
    <row r="1581" spans="1:1" x14ac:dyDescent="0.25">
      <c r="A1581" t="s">
        <v>1645</v>
      </c>
    </row>
    <row r="1582" spans="1:1" x14ac:dyDescent="0.25">
      <c r="A1582" t="s">
        <v>1646</v>
      </c>
    </row>
    <row r="1583" spans="1:1" x14ac:dyDescent="0.25">
      <c r="A1583" t="s">
        <v>1647</v>
      </c>
    </row>
    <row r="1584" spans="1:1" x14ac:dyDescent="0.25">
      <c r="A1584" t="s">
        <v>1648</v>
      </c>
    </row>
    <row r="1585" spans="1:1" x14ac:dyDescent="0.25">
      <c r="A1585" t="s">
        <v>1649</v>
      </c>
    </row>
    <row r="1586" spans="1:1" x14ac:dyDescent="0.25">
      <c r="A1586" t="s">
        <v>1650</v>
      </c>
    </row>
    <row r="1587" spans="1:1" x14ac:dyDescent="0.25">
      <c r="A1587" t="s">
        <v>1651</v>
      </c>
    </row>
    <row r="1588" spans="1:1" x14ac:dyDescent="0.25">
      <c r="A1588" t="s">
        <v>1652</v>
      </c>
    </row>
    <row r="1589" spans="1:1" x14ac:dyDescent="0.25">
      <c r="A1589" t="s">
        <v>1653</v>
      </c>
    </row>
    <row r="1590" spans="1:1" x14ac:dyDescent="0.25">
      <c r="A1590" t="s">
        <v>1654</v>
      </c>
    </row>
    <row r="1591" spans="1:1" x14ac:dyDescent="0.25">
      <c r="A1591" t="s">
        <v>1655</v>
      </c>
    </row>
    <row r="1592" spans="1:1" x14ac:dyDescent="0.25">
      <c r="A1592" t="s">
        <v>1656</v>
      </c>
    </row>
    <row r="1593" spans="1:1" x14ac:dyDescent="0.25">
      <c r="A1593" t="s">
        <v>1657</v>
      </c>
    </row>
    <row r="1594" spans="1:1" x14ac:dyDescent="0.25">
      <c r="A1594" t="s">
        <v>1658</v>
      </c>
    </row>
    <row r="1595" spans="1:1" x14ac:dyDescent="0.25">
      <c r="A1595" t="s">
        <v>1659</v>
      </c>
    </row>
    <row r="1596" spans="1:1" x14ac:dyDescent="0.25">
      <c r="A1596" t="s">
        <v>1660</v>
      </c>
    </row>
    <row r="1597" spans="1:1" x14ac:dyDescent="0.25">
      <c r="A1597" t="s">
        <v>1661</v>
      </c>
    </row>
    <row r="1598" spans="1:1" x14ac:dyDescent="0.25">
      <c r="A1598" t="s">
        <v>1662</v>
      </c>
    </row>
    <row r="1599" spans="1:1" x14ac:dyDescent="0.25">
      <c r="A1599" t="s">
        <v>1663</v>
      </c>
    </row>
    <row r="1600" spans="1:1" x14ac:dyDescent="0.25">
      <c r="A1600" t="s">
        <v>1664</v>
      </c>
    </row>
    <row r="1601" spans="1:1" x14ac:dyDescent="0.25">
      <c r="A1601" t="s">
        <v>1665</v>
      </c>
    </row>
    <row r="1602" spans="1:1" x14ac:dyDescent="0.25">
      <c r="A1602" t="s">
        <v>1666</v>
      </c>
    </row>
    <row r="1603" spans="1:1" x14ac:dyDescent="0.25">
      <c r="A1603" t="s">
        <v>1667</v>
      </c>
    </row>
    <row r="1604" spans="1:1" x14ac:dyDescent="0.25">
      <c r="A1604" t="s">
        <v>1668</v>
      </c>
    </row>
    <row r="1605" spans="1:1" x14ac:dyDescent="0.25">
      <c r="A1605" t="s">
        <v>1669</v>
      </c>
    </row>
    <row r="1606" spans="1:1" x14ac:dyDescent="0.25">
      <c r="A1606" t="s">
        <v>1670</v>
      </c>
    </row>
    <row r="1607" spans="1:1" x14ac:dyDescent="0.25">
      <c r="A1607" t="s">
        <v>1671</v>
      </c>
    </row>
    <row r="1608" spans="1:1" x14ac:dyDescent="0.25">
      <c r="A1608" t="s">
        <v>1672</v>
      </c>
    </row>
    <row r="1609" spans="1:1" x14ac:dyDescent="0.25">
      <c r="A1609" t="s">
        <v>1673</v>
      </c>
    </row>
    <row r="1610" spans="1:1" x14ac:dyDescent="0.25">
      <c r="A1610" t="s">
        <v>1674</v>
      </c>
    </row>
    <row r="1611" spans="1:1" x14ac:dyDescent="0.25">
      <c r="A1611" t="s">
        <v>1675</v>
      </c>
    </row>
    <row r="1612" spans="1:1" x14ac:dyDescent="0.25">
      <c r="A1612" t="s">
        <v>1676</v>
      </c>
    </row>
    <row r="1613" spans="1:1" x14ac:dyDescent="0.25">
      <c r="A1613" t="s">
        <v>1677</v>
      </c>
    </row>
    <row r="1614" spans="1:1" x14ac:dyDescent="0.25">
      <c r="A1614" t="s">
        <v>1678</v>
      </c>
    </row>
    <row r="1615" spans="1:1" x14ac:dyDescent="0.25">
      <c r="A1615" t="s">
        <v>1679</v>
      </c>
    </row>
    <row r="1616" spans="1:1" x14ac:dyDescent="0.25">
      <c r="A1616" t="s">
        <v>1680</v>
      </c>
    </row>
    <row r="1617" spans="1:1" x14ac:dyDescent="0.25">
      <c r="A1617" t="s">
        <v>1681</v>
      </c>
    </row>
    <row r="1618" spans="1:1" x14ac:dyDescent="0.25">
      <c r="A1618" t="s">
        <v>1682</v>
      </c>
    </row>
    <row r="1619" spans="1:1" x14ac:dyDescent="0.25">
      <c r="A1619" t="s">
        <v>1683</v>
      </c>
    </row>
    <row r="1620" spans="1:1" x14ac:dyDescent="0.25">
      <c r="A1620" t="s">
        <v>1684</v>
      </c>
    </row>
    <row r="1621" spans="1:1" x14ac:dyDescent="0.25">
      <c r="A1621" t="s">
        <v>1685</v>
      </c>
    </row>
    <row r="1622" spans="1:1" x14ac:dyDescent="0.25">
      <c r="A1622" t="s">
        <v>1686</v>
      </c>
    </row>
    <row r="1623" spans="1:1" x14ac:dyDescent="0.25">
      <c r="A1623" t="s">
        <v>1687</v>
      </c>
    </row>
    <row r="1624" spans="1:1" x14ac:dyDescent="0.25">
      <c r="A1624" t="s">
        <v>1688</v>
      </c>
    </row>
    <row r="1625" spans="1:1" x14ac:dyDescent="0.25">
      <c r="A1625" t="s">
        <v>1689</v>
      </c>
    </row>
    <row r="1626" spans="1:1" x14ac:dyDescent="0.25">
      <c r="A1626" t="s">
        <v>1690</v>
      </c>
    </row>
    <row r="1627" spans="1:1" x14ac:dyDescent="0.25">
      <c r="A1627" t="s">
        <v>1691</v>
      </c>
    </row>
    <row r="1628" spans="1:1" x14ac:dyDescent="0.25">
      <c r="A1628" t="s">
        <v>1692</v>
      </c>
    </row>
    <row r="1629" spans="1:1" x14ac:dyDescent="0.25">
      <c r="A1629" t="s">
        <v>1693</v>
      </c>
    </row>
    <row r="1630" spans="1:1" x14ac:dyDescent="0.25">
      <c r="A1630" t="s">
        <v>1694</v>
      </c>
    </row>
    <row r="1631" spans="1:1" x14ac:dyDescent="0.25">
      <c r="A1631" t="s">
        <v>1695</v>
      </c>
    </row>
    <row r="1632" spans="1:1" x14ac:dyDescent="0.25">
      <c r="A1632" t="s">
        <v>1696</v>
      </c>
    </row>
    <row r="1633" spans="1:1" x14ac:dyDescent="0.25">
      <c r="A1633" t="s">
        <v>1697</v>
      </c>
    </row>
    <row r="1634" spans="1:1" x14ac:dyDescent="0.25">
      <c r="A1634" t="s">
        <v>1698</v>
      </c>
    </row>
    <row r="1635" spans="1:1" x14ac:dyDescent="0.25">
      <c r="A1635" t="s">
        <v>1699</v>
      </c>
    </row>
    <row r="1636" spans="1:1" x14ac:dyDescent="0.25">
      <c r="A1636" t="s">
        <v>1700</v>
      </c>
    </row>
    <row r="1637" spans="1:1" x14ac:dyDescent="0.25">
      <c r="A1637" t="s">
        <v>1701</v>
      </c>
    </row>
    <row r="1638" spans="1:1" x14ac:dyDescent="0.25">
      <c r="A1638" t="s">
        <v>1702</v>
      </c>
    </row>
    <row r="1639" spans="1:1" x14ac:dyDescent="0.25">
      <c r="A1639" t="s">
        <v>1703</v>
      </c>
    </row>
    <row r="1640" spans="1:1" x14ac:dyDescent="0.25">
      <c r="A1640" t="s">
        <v>1704</v>
      </c>
    </row>
    <row r="1641" spans="1:1" x14ac:dyDescent="0.25">
      <c r="A1641" t="s">
        <v>1705</v>
      </c>
    </row>
    <row r="1642" spans="1:1" x14ac:dyDescent="0.25">
      <c r="A1642" t="s">
        <v>1706</v>
      </c>
    </row>
    <row r="1643" spans="1:1" x14ac:dyDescent="0.25">
      <c r="A1643" t="s">
        <v>1707</v>
      </c>
    </row>
    <row r="1644" spans="1:1" x14ac:dyDescent="0.25">
      <c r="A1644" t="s">
        <v>1708</v>
      </c>
    </row>
    <row r="1645" spans="1:1" x14ac:dyDescent="0.25">
      <c r="A1645" t="s">
        <v>1709</v>
      </c>
    </row>
    <row r="1646" spans="1:1" x14ac:dyDescent="0.25">
      <c r="A1646" t="s">
        <v>1710</v>
      </c>
    </row>
    <row r="1647" spans="1:1" x14ac:dyDescent="0.25">
      <c r="A1647" t="s">
        <v>1711</v>
      </c>
    </row>
    <row r="1648" spans="1:1" x14ac:dyDescent="0.25">
      <c r="A1648" t="s">
        <v>1712</v>
      </c>
    </row>
    <row r="1649" spans="1:1" x14ac:dyDescent="0.25">
      <c r="A1649" t="s">
        <v>1713</v>
      </c>
    </row>
    <row r="1650" spans="1:1" x14ac:dyDescent="0.25">
      <c r="A1650" t="s">
        <v>1714</v>
      </c>
    </row>
    <row r="1651" spans="1:1" x14ac:dyDescent="0.25">
      <c r="A1651" t="s">
        <v>1715</v>
      </c>
    </row>
    <row r="1652" spans="1:1" x14ac:dyDescent="0.25">
      <c r="A1652" t="s">
        <v>1716</v>
      </c>
    </row>
    <row r="1653" spans="1:1" x14ac:dyDescent="0.25">
      <c r="A1653" t="s">
        <v>1717</v>
      </c>
    </row>
    <row r="1654" spans="1:1" x14ac:dyDescent="0.25">
      <c r="A1654" t="s">
        <v>1718</v>
      </c>
    </row>
    <row r="1655" spans="1:1" x14ac:dyDescent="0.25">
      <c r="A1655" t="s">
        <v>1719</v>
      </c>
    </row>
    <row r="1656" spans="1:1" x14ac:dyDescent="0.25">
      <c r="A1656" t="s">
        <v>1720</v>
      </c>
    </row>
    <row r="1657" spans="1:1" x14ac:dyDescent="0.25">
      <c r="A1657" t="s">
        <v>1721</v>
      </c>
    </row>
    <row r="1658" spans="1:1" x14ac:dyDescent="0.25">
      <c r="A1658" t="s">
        <v>1722</v>
      </c>
    </row>
    <row r="1659" spans="1:1" x14ac:dyDescent="0.25">
      <c r="A1659" t="s">
        <v>1723</v>
      </c>
    </row>
    <row r="1660" spans="1:1" x14ac:dyDescent="0.25">
      <c r="A1660" t="s">
        <v>1724</v>
      </c>
    </row>
    <row r="1661" spans="1:1" x14ac:dyDescent="0.25">
      <c r="A1661" t="s">
        <v>1725</v>
      </c>
    </row>
    <row r="1662" spans="1:1" x14ac:dyDescent="0.25">
      <c r="A1662" t="s">
        <v>1726</v>
      </c>
    </row>
    <row r="1663" spans="1:1" x14ac:dyDescent="0.25">
      <c r="A1663" t="s">
        <v>1727</v>
      </c>
    </row>
    <row r="1664" spans="1:1" x14ac:dyDescent="0.25">
      <c r="A1664" t="s">
        <v>1728</v>
      </c>
    </row>
    <row r="1665" spans="1:1" x14ac:dyDescent="0.25">
      <c r="A1665" t="s">
        <v>1729</v>
      </c>
    </row>
    <row r="1666" spans="1:1" x14ac:dyDescent="0.25">
      <c r="A1666" t="s">
        <v>1730</v>
      </c>
    </row>
    <row r="1667" spans="1:1" x14ac:dyDescent="0.25">
      <c r="A1667" t="s">
        <v>1731</v>
      </c>
    </row>
    <row r="1668" spans="1:1" x14ac:dyDescent="0.25">
      <c r="A1668" t="s">
        <v>1732</v>
      </c>
    </row>
    <row r="1669" spans="1:1" x14ac:dyDescent="0.25">
      <c r="A1669" t="s">
        <v>1733</v>
      </c>
    </row>
    <row r="1670" spans="1:1" x14ac:dyDescent="0.25">
      <c r="A1670" t="s">
        <v>1734</v>
      </c>
    </row>
    <row r="1671" spans="1:1" x14ac:dyDescent="0.25">
      <c r="A1671" t="s">
        <v>1735</v>
      </c>
    </row>
    <row r="1672" spans="1:1" x14ac:dyDescent="0.25">
      <c r="A1672" t="s">
        <v>1736</v>
      </c>
    </row>
    <row r="1673" spans="1:1" x14ac:dyDescent="0.25">
      <c r="A1673" t="s">
        <v>1737</v>
      </c>
    </row>
    <row r="1674" spans="1:1" x14ac:dyDescent="0.25">
      <c r="A1674" t="s">
        <v>1738</v>
      </c>
    </row>
    <row r="1675" spans="1:1" x14ac:dyDescent="0.25">
      <c r="A1675" t="s">
        <v>1739</v>
      </c>
    </row>
    <row r="1676" spans="1:1" x14ac:dyDescent="0.25">
      <c r="A1676" t="s">
        <v>1740</v>
      </c>
    </row>
    <row r="1677" spans="1:1" x14ac:dyDescent="0.25">
      <c r="A1677" t="s">
        <v>1741</v>
      </c>
    </row>
    <row r="1678" spans="1:1" x14ac:dyDescent="0.25">
      <c r="A1678" t="s">
        <v>1742</v>
      </c>
    </row>
    <row r="1679" spans="1:1" x14ac:dyDescent="0.25">
      <c r="A1679" t="s">
        <v>1743</v>
      </c>
    </row>
    <row r="1680" spans="1:1" x14ac:dyDescent="0.25">
      <c r="A1680" t="s">
        <v>1744</v>
      </c>
    </row>
    <row r="1681" spans="1:1" x14ac:dyDescent="0.25">
      <c r="A1681" t="s">
        <v>1745</v>
      </c>
    </row>
    <row r="1682" spans="1:1" x14ac:dyDescent="0.25">
      <c r="A1682" t="s">
        <v>1746</v>
      </c>
    </row>
    <row r="1683" spans="1:1" x14ac:dyDescent="0.25">
      <c r="A1683" t="s">
        <v>1747</v>
      </c>
    </row>
    <row r="1684" spans="1:1" x14ac:dyDescent="0.25">
      <c r="A1684" t="s">
        <v>1748</v>
      </c>
    </row>
    <row r="1685" spans="1:1" x14ac:dyDescent="0.25">
      <c r="A1685" t="s">
        <v>1749</v>
      </c>
    </row>
    <row r="1686" spans="1:1" x14ac:dyDescent="0.25">
      <c r="A1686" t="s">
        <v>1750</v>
      </c>
    </row>
    <row r="1687" spans="1:1" x14ac:dyDescent="0.25">
      <c r="A1687" t="s">
        <v>1751</v>
      </c>
    </row>
    <row r="1688" spans="1:1" x14ac:dyDescent="0.25">
      <c r="A1688" t="s">
        <v>1752</v>
      </c>
    </row>
    <row r="1689" spans="1:1" x14ac:dyDescent="0.25">
      <c r="A1689" t="s">
        <v>1753</v>
      </c>
    </row>
    <row r="1690" spans="1:1" x14ac:dyDescent="0.25">
      <c r="A1690" t="s">
        <v>1754</v>
      </c>
    </row>
    <row r="1691" spans="1:1" x14ac:dyDescent="0.25">
      <c r="A1691" t="s">
        <v>1755</v>
      </c>
    </row>
    <row r="1692" spans="1:1" x14ac:dyDescent="0.25">
      <c r="A1692" t="s">
        <v>1756</v>
      </c>
    </row>
    <row r="1693" spans="1:1" x14ac:dyDescent="0.25">
      <c r="A1693" t="s">
        <v>1757</v>
      </c>
    </row>
    <row r="1694" spans="1:1" x14ac:dyDescent="0.25">
      <c r="A1694" t="s">
        <v>1758</v>
      </c>
    </row>
    <row r="1695" spans="1:1" x14ac:dyDescent="0.25">
      <c r="A1695" t="s">
        <v>1759</v>
      </c>
    </row>
    <row r="1696" spans="1:1" x14ac:dyDescent="0.25">
      <c r="A1696" t="s">
        <v>1760</v>
      </c>
    </row>
    <row r="1697" spans="1:1" x14ac:dyDescent="0.25">
      <c r="A1697" t="s">
        <v>1761</v>
      </c>
    </row>
    <row r="1698" spans="1:1" x14ac:dyDescent="0.25">
      <c r="A1698" t="s">
        <v>1762</v>
      </c>
    </row>
    <row r="1699" spans="1:1" x14ac:dyDescent="0.25">
      <c r="A1699" t="s">
        <v>1763</v>
      </c>
    </row>
    <row r="1700" spans="1:1" x14ac:dyDescent="0.25">
      <c r="A1700" t="s">
        <v>1764</v>
      </c>
    </row>
    <row r="1701" spans="1:1" x14ac:dyDescent="0.25">
      <c r="A1701" t="s">
        <v>1765</v>
      </c>
    </row>
    <row r="1702" spans="1:1" x14ac:dyDescent="0.25">
      <c r="A1702" t="s">
        <v>1766</v>
      </c>
    </row>
    <row r="1703" spans="1:1" x14ac:dyDescent="0.25">
      <c r="A1703" t="s">
        <v>1767</v>
      </c>
    </row>
    <row r="1704" spans="1:1" x14ac:dyDescent="0.25">
      <c r="A1704" t="s">
        <v>1768</v>
      </c>
    </row>
    <row r="1705" spans="1:1" x14ac:dyDescent="0.25">
      <c r="A1705" t="s">
        <v>1769</v>
      </c>
    </row>
    <row r="1706" spans="1:1" x14ac:dyDescent="0.25">
      <c r="A1706" t="s">
        <v>1770</v>
      </c>
    </row>
    <row r="1707" spans="1:1" x14ac:dyDescent="0.25">
      <c r="A1707" t="s">
        <v>1771</v>
      </c>
    </row>
    <row r="1708" spans="1:1" x14ac:dyDescent="0.25">
      <c r="A1708" t="s">
        <v>1772</v>
      </c>
    </row>
    <row r="1709" spans="1:1" x14ac:dyDescent="0.25">
      <c r="A1709" t="s">
        <v>1773</v>
      </c>
    </row>
    <row r="1710" spans="1:1" x14ac:dyDescent="0.25">
      <c r="A1710" t="s">
        <v>1774</v>
      </c>
    </row>
    <row r="1711" spans="1:1" x14ac:dyDescent="0.25">
      <c r="A1711" t="s">
        <v>1775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E976A-CA87-4CA7-A097-43B1B893F72C}">
  <sheetPr codeName="Sheet20"/>
  <dimension ref="A2:A1711"/>
  <sheetViews>
    <sheetView workbookViewId="0"/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92</v>
      </c>
    </row>
    <row r="29" spans="1:1" x14ac:dyDescent="0.25">
      <c r="A29" t="s">
        <v>93</v>
      </c>
    </row>
    <row r="30" spans="1:1" x14ac:dyDescent="0.25">
      <c r="A30" t="s">
        <v>94</v>
      </c>
    </row>
    <row r="31" spans="1:1" x14ac:dyDescent="0.25">
      <c r="A31" t="s">
        <v>95</v>
      </c>
    </row>
    <row r="32" spans="1:1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234</v>
      </c>
    </row>
    <row r="171" spans="1:1" x14ac:dyDescent="0.25">
      <c r="A171" t="s">
        <v>235</v>
      </c>
    </row>
    <row r="172" spans="1:1" x14ac:dyDescent="0.25">
      <c r="A172" t="s">
        <v>236</v>
      </c>
    </row>
    <row r="173" spans="1:1" x14ac:dyDescent="0.25">
      <c r="A173" t="s">
        <v>237</v>
      </c>
    </row>
    <row r="174" spans="1:1" x14ac:dyDescent="0.25">
      <c r="A174" t="s">
        <v>238</v>
      </c>
    </row>
    <row r="175" spans="1:1" x14ac:dyDescent="0.25">
      <c r="A175" t="s">
        <v>239</v>
      </c>
    </row>
    <row r="176" spans="1:1" x14ac:dyDescent="0.25">
      <c r="A176" t="s">
        <v>240</v>
      </c>
    </row>
    <row r="177" spans="1:1" x14ac:dyDescent="0.25">
      <c r="A177" t="s">
        <v>241</v>
      </c>
    </row>
    <row r="178" spans="1:1" x14ac:dyDescent="0.25">
      <c r="A178" t="s">
        <v>242</v>
      </c>
    </row>
    <row r="179" spans="1:1" x14ac:dyDescent="0.25">
      <c r="A179" t="s">
        <v>243</v>
      </c>
    </row>
    <row r="180" spans="1:1" x14ac:dyDescent="0.25">
      <c r="A180" t="s">
        <v>244</v>
      </c>
    </row>
    <row r="181" spans="1:1" x14ac:dyDescent="0.25">
      <c r="A181" t="s">
        <v>245</v>
      </c>
    </row>
    <row r="182" spans="1:1" x14ac:dyDescent="0.25">
      <c r="A182" t="s">
        <v>246</v>
      </c>
    </row>
    <row r="183" spans="1:1" x14ac:dyDescent="0.25">
      <c r="A183" t="s">
        <v>247</v>
      </c>
    </row>
    <row r="184" spans="1:1" x14ac:dyDescent="0.25">
      <c r="A184" t="s">
        <v>248</v>
      </c>
    </row>
    <row r="185" spans="1:1" x14ac:dyDescent="0.25">
      <c r="A185" t="s">
        <v>249</v>
      </c>
    </row>
    <row r="186" spans="1:1" x14ac:dyDescent="0.25">
      <c r="A186" t="s">
        <v>250</v>
      </c>
    </row>
    <row r="187" spans="1:1" x14ac:dyDescent="0.25">
      <c r="A187" t="s">
        <v>251</v>
      </c>
    </row>
    <row r="188" spans="1:1" x14ac:dyDescent="0.25">
      <c r="A188" t="s">
        <v>252</v>
      </c>
    </row>
    <row r="189" spans="1:1" x14ac:dyDescent="0.25">
      <c r="A189" t="s">
        <v>253</v>
      </c>
    </row>
    <row r="190" spans="1:1" x14ac:dyDescent="0.25">
      <c r="A190" t="s">
        <v>254</v>
      </c>
    </row>
    <row r="191" spans="1:1" x14ac:dyDescent="0.25">
      <c r="A191" t="s">
        <v>255</v>
      </c>
    </row>
    <row r="192" spans="1:1" x14ac:dyDescent="0.25">
      <c r="A192" t="s">
        <v>256</v>
      </c>
    </row>
    <row r="193" spans="1:1" x14ac:dyDescent="0.25">
      <c r="A193" t="s">
        <v>257</v>
      </c>
    </row>
    <row r="194" spans="1:1" x14ac:dyDescent="0.25">
      <c r="A194" t="s">
        <v>258</v>
      </c>
    </row>
    <row r="195" spans="1:1" x14ac:dyDescent="0.25">
      <c r="A195" t="s">
        <v>259</v>
      </c>
    </row>
    <row r="196" spans="1:1" x14ac:dyDescent="0.25">
      <c r="A196" t="s">
        <v>260</v>
      </c>
    </row>
    <row r="197" spans="1:1" x14ac:dyDescent="0.25">
      <c r="A197" t="s">
        <v>261</v>
      </c>
    </row>
    <row r="198" spans="1:1" x14ac:dyDescent="0.25">
      <c r="A198" t="s">
        <v>262</v>
      </c>
    </row>
    <row r="199" spans="1:1" x14ac:dyDescent="0.25">
      <c r="A199" t="s">
        <v>263</v>
      </c>
    </row>
    <row r="200" spans="1:1" x14ac:dyDescent="0.25">
      <c r="A200" t="s">
        <v>264</v>
      </c>
    </row>
    <row r="201" spans="1:1" x14ac:dyDescent="0.25">
      <c r="A201" t="s">
        <v>265</v>
      </c>
    </row>
    <row r="202" spans="1:1" x14ac:dyDescent="0.25">
      <c r="A202" t="s">
        <v>266</v>
      </c>
    </row>
    <row r="203" spans="1:1" x14ac:dyDescent="0.25">
      <c r="A203" t="s">
        <v>267</v>
      </c>
    </row>
    <row r="204" spans="1:1" x14ac:dyDescent="0.25">
      <c r="A204" t="s">
        <v>268</v>
      </c>
    </row>
    <row r="205" spans="1:1" x14ac:dyDescent="0.25">
      <c r="A205" t="s">
        <v>269</v>
      </c>
    </row>
    <row r="206" spans="1:1" x14ac:dyDescent="0.25">
      <c r="A206" t="s">
        <v>270</v>
      </c>
    </row>
    <row r="207" spans="1:1" x14ac:dyDescent="0.25">
      <c r="A207" t="s">
        <v>271</v>
      </c>
    </row>
    <row r="208" spans="1:1" x14ac:dyDescent="0.25">
      <c r="A208" t="s">
        <v>272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277</v>
      </c>
    </row>
    <row r="214" spans="1:1" x14ac:dyDescent="0.25">
      <c r="A214" t="s">
        <v>278</v>
      </c>
    </row>
    <row r="215" spans="1:1" x14ac:dyDescent="0.25">
      <c r="A215" t="s">
        <v>279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282</v>
      </c>
    </row>
    <row r="219" spans="1:1" x14ac:dyDescent="0.25">
      <c r="A219" t="s">
        <v>283</v>
      </c>
    </row>
    <row r="220" spans="1:1" x14ac:dyDescent="0.25">
      <c r="A220" t="s">
        <v>284</v>
      </c>
    </row>
    <row r="221" spans="1:1" x14ac:dyDescent="0.25">
      <c r="A221" t="s">
        <v>285</v>
      </c>
    </row>
    <row r="222" spans="1:1" x14ac:dyDescent="0.25">
      <c r="A222" t="s">
        <v>286</v>
      </c>
    </row>
    <row r="223" spans="1:1" x14ac:dyDescent="0.25">
      <c r="A223" t="s">
        <v>287</v>
      </c>
    </row>
    <row r="224" spans="1:1" x14ac:dyDescent="0.25">
      <c r="A224" t="s">
        <v>288</v>
      </c>
    </row>
    <row r="225" spans="1:1" x14ac:dyDescent="0.25">
      <c r="A225" t="s">
        <v>289</v>
      </c>
    </row>
    <row r="226" spans="1:1" x14ac:dyDescent="0.25">
      <c r="A226" t="s">
        <v>290</v>
      </c>
    </row>
    <row r="227" spans="1:1" x14ac:dyDescent="0.25">
      <c r="A227" t="s">
        <v>291</v>
      </c>
    </row>
    <row r="228" spans="1:1" x14ac:dyDescent="0.25">
      <c r="A228" t="s">
        <v>292</v>
      </c>
    </row>
    <row r="229" spans="1:1" x14ac:dyDescent="0.25">
      <c r="A229" t="s">
        <v>293</v>
      </c>
    </row>
    <row r="230" spans="1:1" x14ac:dyDescent="0.25">
      <c r="A230" t="s">
        <v>294</v>
      </c>
    </row>
    <row r="231" spans="1:1" x14ac:dyDescent="0.25">
      <c r="A231" t="s">
        <v>295</v>
      </c>
    </row>
    <row r="232" spans="1:1" x14ac:dyDescent="0.25">
      <c r="A232" t="s">
        <v>296</v>
      </c>
    </row>
    <row r="233" spans="1:1" x14ac:dyDescent="0.25">
      <c r="A233" t="s">
        <v>297</v>
      </c>
    </row>
    <row r="234" spans="1:1" x14ac:dyDescent="0.25">
      <c r="A234" t="s">
        <v>298</v>
      </c>
    </row>
    <row r="235" spans="1:1" x14ac:dyDescent="0.25">
      <c r="A235" t="s">
        <v>299</v>
      </c>
    </row>
    <row r="236" spans="1:1" x14ac:dyDescent="0.25">
      <c r="A236" t="s">
        <v>300</v>
      </c>
    </row>
    <row r="237" spans="1:1" x14ac:dyDescent="0.25">
      <c r="A237" t="s">
        <v>301</v>
      </c>
    </row>
    <row r="238" spans="1:1" x14ac:dyDescent="0.25">
      <c r="A238" t="s">
        <v>302</v>
      </c>
    </row>
    <row r="239" spans="1:1" x14ac:dyDescent="0.25">
      <c r="A239" t="s">
        <v>303</v>
      </c>
    </row>
    <row r="240" spans="1:1" x14ac:dyDescent="0.25">
      <c r="A240" t="s">
        <v>304</v>
      </c>
    </row>
    <row r="241" spans="1:1" x14ac:dyDescent="0.25">
      <c r="A241" t="s">
        <v>305</v>
      </c>
    </row>
    <row r="242" spans="1:1" x14ac:dyDescent="0.25">
      <c r="A242" t="s">
        <v>306</v>
      </c>
    </row>
    <row r="243" spans="1:1" x14ac:dyDescent="0.25">
      <c r="A243" t="s">
        <v>307</v>
      </c>
    </row>
    <row r="244" spans="1:1" x14ac:dyDescent="0.25">
      <c r="A244" t="s">
        <v>308</v>
      </c>
    </row>
    <row r="245" spans="1:1" x14ac:dyDescent="0.25">
      <c r="A245" t="s">
        <v>309</v>
      </c>
    </row>
    <row r="246" spans="1:1" x14ac:dyDescent="0.25">
      <c r="A246" t="s">
        <v>310</v>
      </c>
    </row>
    <row r="247" spans="1:1" x14ac:dyDescent="0.25">
      <c r="A247" t="s">
        <v>311</v>
      </c>
    </row>
    <row r="248" spans="1:1" x14ac:dyDescent="0.25">
      <c r="A248" t="s">
        <v>312</v>
      </c>
    </row>
    <row r="249" spans="1:1" x14ac:dyDescent="0.25">
      <c r="A249" t="s">
        <v>313</v>
      </c>
    </row>
    <row r="250" spans="1:1" x14ac:dyDescent="0.25">
      <c r="A250" t="s">
        <v>314</v>
      </c>
    </row>
    <row r="251" spans="1:1" x14ac:dyDescent="0.25">
      <c r="A251" t="s">
        <v>315</v>
      </c>
    </row>
    <row r="252" spans="1:1" x14ac:dyDescent="0.25">
      <c r="A252" t="s">
        <v>316</v>
      </c>
    </row>
    <row r="253" spans="1:1" x14ac:dyDescent="0.25">
      <c r="A253" t="s">
        <v>317</v>
      </c>
    </row>
    <row r="254" spans="1:1" x14ac:dyDescent="0.25">
      <c r="A254" t="s">
        <v>318</v>
      </c>
    </row>
    <row r="255" spans="1:1" x14ac:dyDescent="0.25">
      <c r="A255" t="s">
        <v>319</v>
      </c>
    </row>
    <row r="256" spans="1:1" x14ac:dyDescent="0.25">
      <c r="A256" t="s">
        <v>320</v>
      </c>
    </row>
    <row r="257" spans="1:1" x14ac:dyDescent="0.25">
      <c r="A257" t="s">
        <v>321</v>
      </c>
    </row>
    <row r="258" spans="1:1" x14ac:dyDescent="0.25">
      <c r="A258" t="s">
        <v>322</v>
      </c>
    </row>
    <row r="259" spans="1:1" x14ac:dyDescent="0.25">
      <c r="A259" t="s">
        <v>323</v>
      </c>
    </row>
    <row r="260" spans="1:1" x14ac:dyDescent="0.25">
      <c r="A260" t="s">
        <v>324</v>
      </c>
    </row>
    <row r="261" spans="1:1" x14ac:dyDescent="0.25">
      <c r="A261" t="s">
        <v>325</v>
      </c>
    </row>
    <row r="262" spans="1:1" x14ac:dyDescent="0.25">
      <c r="A262" t="s">
        <v>326</v>
      </c>
    </row>
    <row r="263" spans="1:1" x14ac:dyDescent="0.25">
      <c r="A263" t="s">
        <v>327</v>
      </c>
    </row>
    <row r="264" spans="1:1" x14ac:dyDescent="0.25">
      <c r="A264" t="s">
        <v>328</v>
      </c>
    </row>
    <row r="265" spans="1:1" x14ac:dyDescent="0.25">
      <c r="A265" t="s">
        <v>329</v>
      </c>
    </row>
    <row r="266" spans="1:1" x14ac:dyDescent="0.25">
      <c r="A266" t="s">
        <v>330</v>
      </c>
    </row>
    <row r="267" spans="1:1" x14ac:dyDescent="0.25">
      <c r="A267" t="s">
        <v>331</v>
      </c>
    </row>
    <row r="268" spans="1:1" x14ac:dyDescent="0.25">
      <c r="A268" t="s">
        <v>332</v>
      </c>
    </row>
    <row r="269" spans="1:1" x14ac:dyDescent="0.25">
      <c r="A269" t="s">
        <v>333</v>
      </c>
    </row>
    <row r="270" spans="1:1" x14ac:dyDescent="0.25">
      <c r="A270" t="s">
        <v>334</v>
      </c>
    </row>
    <row r="271" spans="1:1" x14ac:dyDescent="0.25">
      <c r="A271" t="s">
        <v>335</v>
      </c>
    </row>
    <row r="272" spans="1:1" x14ac:dyDescent="0.25">
      <c r="A272" t="s">
        <v>336</v>
      </c>
    </row>
    <row r="273" spans="1:1" x14ac:dyDescent="0.25">
      <c r="A273" t="s">
        <v>337</v>
      </c>
    </row>
    <row r="274" spans="1:1" x14ac:dyDescent="0.25">
      <c r="A274" t="s">
        <v>338</v>
      </c>
    </row>
    <row r="275" spans="1:1" x14ac:dyDescent="0.25">
      <c r="A275" t="s">
        <v>339</v>
      </c>
    </row>
    <row r="276" spans="1:1" x14ac:dyDescent="0.25">
      <c r="A276" t="s">
        <v>340</v>
      </c>
    </row>
    <row r="277" spans="1:1" x14ac:dyDescent="0.25">
      <c r="A277" t="s">
        <v>341</v>
      </c>
    </row>
    <row r="278" spans="1:1" x14ac:dyDescent="0.25">
      <c r="A278" t="s">
        <v>342</v>
      </c>
    </row>
    <row r="279" spans="1:1" x14ac:dyDescent="0.25">
      <c r="A279" t="s">
        <v>343</v>
      </c>
    </row>
    <row r="280" spans="1:1" x14ac:dyDescent="0.25">
      <c r="A280" t="s">
        <v>344</v>
      </c>
    </row>
    <row r="281" spans="1:1" x14ac:dyDescent="0.25">
      <c r="A281" t="s">
        <v>345</v>
      </c>
    </row>
    <row r="282" spans="1:1" x14ac:dyDescent="0.25">
      <c r="A282" t="s">
        <v>346</v>
      </c>
    </row>
    <row r="283" spans="1:1" x14ac:dyDescent="0.25">
      <c r="A283" t="s">
        <v>347</v>
      </c>
    </row>
    <row r="284" spans="1:1" x14ac:dyDescent="0.25">
      <c r="A284" t="s">
        <v>348</v>
      </c>
    </row>
    <row r="285" spans="1:1" x14ac:dyDescent="0.25">
      <c r="A285" t="s">
        <v>349</v>
      </c>
    </row>
    <row r="286" spans="1:1" x14ac:dyDescent="0.25">
      <c r="A286" t="s">
        <v>350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353</v>
      </c>
    </row>
    <row r="290" spans="1:1" x14ac:dyDescent="0.25">
      <c r="A290" t="s">
        <v>354</v>
      </c>
    </row>
    <row r="291" spans="1:1" x14ac:dyDescent="0.25">
      <c r="A291" t="s">
        <v>355</v>
      </c>
    </row>
    <row r="292" spans="1:1" x14ac:dyDescent="0.25">
      <c r="A292" t="s">
        <v>356</v>
      </c>
    </row>
    <row r="293" spans="1:1" x14ac:dyDescent="0.25">
      <c r="A293" t="s">
        <v>357</v>
      </c>
    </row>
    <row r="294" spans="1:1" x14ac:dyDescent="0.25">
      <c r="A294" t="s">
        <v>358</v>
      </c>
    </row>
    <row r="295" spans="1:1" x14ac:dyDescent="0.25">
      <c r="A295" t="s">
        <v>359</v>
      </c>
    </row>
    <row r="296" spans="1:1" x14ac:dyDescent="0.25">
      <c r="A296" t="s">
        <v>360</v>
      </c>
    </row>
    <row r="297" spans="1:1" x14ac:dyDescent="0.25">
      <c r="A297" t="s">
        <v>361</v>
      </c>
    </row>
    <row r="298" spans="1:1" x14ac:dyDescent="0.25">
      <c r="A298" t="s">
        <v>362</v>
      </c>
    </row>
    <row r="299" spans="1:1" x14ac:dyDescent="0.25">
      <c r="A299" t="s">
        <v>363</v>
      </c>
    </row>
    <row r="300" spans="1:1" x14ac:dyDescent="0.25">
      <c r="A300" t="s">
        <v>364</v>
      </c>
    </row>
    <row r="301" spans="1:1" x14ac:dyDescent="0.25">
      <c r="A301" t="s">
        <v>365</v>
      </c>
    </row>
    <row r="302" spans="1:1" x14ac:dyDescent="0.25">
      <c r="A302" t="s">
        <v>366</v>
      </c>
    </row>
    <row r="303" spans="1:1" x14ac:dyDescent="0.25">
      <c r="A303" t="s">
        <v>367</v>
      </c>
    </row>
    <row r="304" spans="1:1" x14ac:dyDescent="0.25">
      <c r="A304" t="s">
        <v>368</v>
      </c>
    </row>
    <row r="305" spans="1:1" x14ac:dyDescent="0.25">
      <c r="A305" t="s">
        <v>369</v>
      </c>
    </row>
    <row r="306" spans="1:1" x14ac:dyDescent="0.25">
      <c r="A306" t="s">
        <v>370</v>
      </c>
    </row>
    <row r="307" spans="1:1" x14ac:dyDescent="0.25">
      <c r="A307" t="s">
        <v>371</v>
      </c>
    </row>
    <row r="308" spans="1:1" x14ac:dyDescent="0.25">
      <c r="A308" t="s">
        <v>372</v>
      </c>
    </row>
    <row r="309" spans="1:1" x14ac:dyDescent="0.25">
      <c r="A309" t="s">
        <v>373</v>
      </c>
    </row>
    <row r="310" spans="1:1" x14ac:dyDescent="0.25">
      <c r="A310" t="s">
        <v>374</v>
      </c>
    </row>
    <row r="311" spans="1:1" x14ac:dyDescent="0.25">
      <c r="A311" t="s">
        <v>375</v>
      </c>
    </row>
    <row r="312" spans="1:1" x14ac:dyDescent="0.25">
      <c r="A312" t="s">
        <v>376</v>
      </c>
    </row>
    <row r="313" spans="1:1" x14ac:dyDescent="0.25">
      <c r="A313" t="s">
        <v>377</v>
      </c>
    </row>
    <row r="314" spans="1:1" x14ac:dyDescent="0.25">
      <c r="A314" t="s">
        <v>378</v>
      </c>
    </row>
    <row r="315" spans="1:1" x14ac:dyDescent="0.25">
      <c r="A315" t="s">
        <v>379</v>
      </c>
    </row>
    <row r="316" spans="1:1" x14ac:dyDescent="0.25">
      <c r="A316" t="s">
        <v>380</v>
      </c>
    </row>
    <row r="317" spans="1:1" x14ac:dyDescent="0.25">
      <c r="A317" t="s">
        <v>381</v>
      </c>
    </row>
    <row r="318" spans="1:1" x14ac:dyDescent="0.25">
      <c r="A318" t="s">
        <v>382</v>
      </c>
    </row>
    <row r="319" spans="1:1" x14ac:dyDescent="0.25">
      <c r="A319" t="s">
        <v>383</v>
      </c>
    </row>
    <row r="320" spans="1:1" x14ac:dyDescent="0.25">
      <c r="A320" t="s">
        <v>384</v>
      </c>
    </row>
    <row r="321" spans="1:1" x14ac:dyDescent="0.25">
      <c r="A321" t="s">
        <v>385</v>
      </c>
    </row>
    <row r="322" spans="1:1" x14ac:dyDescent="0.25">
      <c r="A322" t="s">
        <v>386</v>
      </c>
    </row>
    <row r="323" spans="1:1" x14ac:dyDescent="0.25">
      <c r="A323" t="s">
        <v>387</v>
      </c>
    </row>
    <row r="324" spans="1:1" x14ac:dyDescent="0.25">
      <c r="A324" t="s">
        <v>388</v>
      </c>
    </row>
    <row r="325" spans="1:1" x14ac:dyDescent="0.25">
      <c r="A325" t="s">
        <v>389</v>
      </c>
    </row>
    <row r="326" spans="1:1" x14ac:dyDescent="0.25">
      <c r="A326" t="s">
        <v>390</v>
      </c>
    </row>
    <row r="327" spans="1:1" x14ac:dyDescent="0.25">
      <c r="A327" t="s">
        <v>391</v>
      </c>
    </row>
    <row r="328" spans="1:1" x14ac:dyDescent="0.25">
      <c r="A328" t="s">
        <v>392</v>
      </c>
    </row>
    <row r="329" spans="1:1" x14ac:dyDescent="0.25">
      <c r="A329" t="s">
        <v>393</v>
      </c>
    </row>
    <row r="330" spans="1:1" x14ac:dyDescent="0.25">
      <c r="A330" t="s">
        <v>394</v>
      </c>
    </row>
    <row r="331" spans="1:1" x14ac:dyDescent="0.25">
      <c r="A331" t="s">
        <v>395</v>
      </c>
    </row>
    <row r="332" spans="1:1" x14ac:dyDescent="0.25">
      <c r="A332" t="s">
        <v>396</v>
      </c>
    </row>
    <row r="333" spans="1:1" x14ac:dyDescent="0.25">
      <c r="A333" t="s">
        <v>397</v>
      </c>
    </row>
    <row r="334" spans="1:1" x14ac:dyDescent="0.25">
      <c r="A334" t="s">
        <v>398</v>
      </c>
    </row>
    <row r="335" spans="1:1" x14ac:dyDescent="0.25">
      <c r="A335" t="s">
        <v>399</v>
      </c>
    </row>
    <row r="336" spans="1:1" x14ac:dyDescent="0.25">
      <c r="A336" t="s">
        <v>400</v>
      </c>
    </row>
    <row r="337" spans="1:1" x14ac:dyDescent="0.25">
      <c r="A337" t="s">
        <v>401</v>
      </c>
    </row>
    <row r="338" spans="1:1" x14ac:dyDescent="0.25">
      <c r="A338" t="s">
        <v>402</v>
      </c>
    </row>
    <row r="339" spans="1:1" x14ac:dyDescent="0.25">
      <c r="A339" t="s">
        <v>403</v>
      </c>
    </row>
    <row r="340" spans="1:1" x14ac:dyDescent="0.25">
      <c r="A340" t="s">
        <v>404</v>
      </c>
    </row>
    <row r="341" spans="1:1" x14ac:dyDescent="0.25">
      <c r="A341" t="s">
        <v>405</v>
      </c>
    </row>
    <row r="342" spans="1:1" x14ac:dyDescent="0.25">
      <c r="A342" t="s">
        <v>406</v>
      </c>
    </row>
    <row r="343" spans="1:1" x14ac:dyDescent="0.25">
      <c r="A343" t="s">
        <v>407</v>
      </c>
    </row>
    <row r="344" spans="1:1" x14ac:dyDescent="0.25">
      <c r="A344" t="s">
        <v>408</v>
      </c>
    </row>
    <row r="345" spans="1:1" x14ac:dyDescent="0.25">
      <c r="A345" t="s">
        <v>409</v>
      </c>
    </row>
    <row r="346" spans="1:1" x14ac:dyDescent="0.25">
      <c r="A346" t="s">
        <v>410</v>
      </c>
    </row>
    <row r="347" spans="1:1" x14ac:dyDescent="0.25">
      <c r="A347" t="s">
        <v>411</v>
      </c>
    </row>
    <row r="348" spans="1:1" x14ac:dyDescent="0.25">
      <c r="A348" t="s">
        <v>412</v>
      </c>
    </row>
    <row r="349" spans="1:1" x14ac:dyDescent="0.25">
      <c r="A349" t="s">
        <v>413</v>
      </c>
    </row>
    <row r="350" spans="1:1" x14ac:dyDescent="0.25">
      <c r="A350" t="s">
        <v>414</v>
      </c>
    </row>
    <row r="351" spans="1:1" x14ac:dyDescent="0.25">
      <c r="A351" t="s">
        <v>415</v>
      </c>
    </row>
    <row r="352" spans="1:1" x14ac:dyDescent="0.25">
      <c r="A352" t="s">
        <v>416</v>
      </c>
    </row>
    <row r="353" spans="1:1" x14ac:dyDescent="0.25">
      <c r="A353" t="s">
        <v>417</v>
      </c>
    </row>
    <row r="354" spans="1:1" x14ac:dyDescent="0.25">
      <c r="A354" t="s">
        <v>418</v>
      </c>
    </row>
    <row r="355" spans="1:1" x14ac:dyDescent="0.25">
      <c r="A355" t="s">
        <v>419</v>
      </c>
    </row>
    <row r="356" spans="1:1" x14ac:dyDescent="0.25">
      <c r="A356" t="s">
        <v>420</v>
      </c>
    </row>
    <row r="357" spans="1:1" x14ac:dyDescent="0.25">
      <c r="A357" t="s">
        <v>421</v>
      </c>
    </row>
    <row r="358" spans="1:1" x14ac:dyDescent="0.25">
      <c r="A358" t="s">
        <v>422</v>
      </c>
    </row>
    <row r="359" spans="1:1" x14ac:dyDescent="0.25">
      <c r="A359" t="s">
        <v>423</v>
      </c>
    </row>
    <row r="360" spans="1:1" x14ac:dyDescent="0.25">
      <c r="A360" t="s">
        <v>424</v>
      </c>
    </row>
    <row r="361" spans="1:1" x14ac:dyDescent="0.25">
      <c r="A361" t="s">
        <v>425</v>
      </c>
    </row>
    <row r="362" spans="1:1" x14ac:dyDescent="0.25">
      <c r="A362" t="s">
        <v>426</v>
      </c>
    </row>
    <row r="363" spans="1:1" x14ac:dyDescent="0.25">
      <c r="A363" t="s">
        <v>427</v>
      </c>
    </row>
    <row r="364" spans="1:1" x14ac:dyDescent="0.25">
      <c r="A364" t="s">
        <v>428</v>
      </c>
    </row>
    <row r="365" spans="1:1" x14ac:dyDescent="0.25">
      <c r="A365" t="s">
        <v>429</v>
      </c>
    </row>
    <row r="366" spans="1:1" x14ac:dyDescent="0.25">
      <c r="A366" t="s">
        <v>430</v>
      </c>
    </row>
    <row r="367" spans="1:1" x14ac:dyDescent="0.25">
      <c r="A367" t="s">
        <v>431</v>
      </c>
    </row>
    <row r="368" spans="1:1" x14ac:dyDescent="0.25">
      <c r="A368" t="s">
        <v>432</v>
      </c>
    </row>
    <row r="369" spans="1:1" x14ac:dyDescent="0.25">
      <c r="A369" t="s">
        <v>433</v>
      </c>
    </row>
    <row r="370" spans="1:1" x14ac:dyDescent="0.25">
      <c r="A370" t="s">
        <v>434</v>
      </c>
    </row>
    <row r="371" spans="1:1" x14ac:dyDescent="0.25">
      <c r="A371" t="s">
        <v>435</v>
      </c>
    </row>
    <row r="372" spans="1:1" x14ac:dyDescent="0.25">
      <c r="A372" t="s">
        <v>436</v>
      </c>
    </row>
    <row r="373" spans="1:1" x14ac:dyDescent="0.25">
      <c r="A373" t="s">
        <v>437</v>
      </c>
    </row>
    <row r="374" spans="1:1" x14ac:dyDescent="0.25">
      <c r="A374" t="s">
        <v>438</v>
      </c>
    </row>
    <row r="375" spans="1:1" x14ac:dyDescent="0.25">
      <c r="A375" t="s">
        <v>439</v>
      </c>
    </row>
    <row r="376" spans="1:1" x14ac:dyDescent="0.25">
      <c r="A376" t="s">
        <v>440</v>
      </c>
    </row>
    <row r="377" spans="1:1" x14ac:dyDescent="0.25">
      <c r="A377" t="s">
        <v>441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450</v>
      </c>
    </row>
    <row r="387" spans="1:1" x14ac:dyDescent="0.25">
      <c r="A387" t="s">
        <v>451</v>
      </c>
    </row>
    <row r="388" spans="1:1" x14ac:dyDescent="0.25">
      <c r="A388" t="s">
        <v>452</v>
      </c>
    </row>
    <row r="389" spans="1:1" x14ac:dyDescent="0.25">
      <c r="A389" t="s">
        <v>453</v>
      </c>
    </row>
    <row r="390" spans="1:1" x14ac:dyDescent="0.25">
      <c r="A390" t="s">
        <v>454</v>
      </c>
    </row>
    <row r="391" spans="1:1" x14ac:dyDescent="0.25">
      <c r="A391" t="s">
        <v>455</v>
      </c>
    </row>
    <row r="392" spans="1:1" x14ac:dyDescent="0.25">
      <c r="A392" t="s">
        <v>456</v>
      </c>
    </row>
    <row r="393" spans="1:1" x14ac:dyDescent="0.25">
      <c r="A393" t="s">
        <v>457</v>
      </c>
    </row>
    <row r="394" spans="1:1" x14ac:dyDescent="0.25">
      <c r="A394" t="s">
        <v>458</v>
      </c>
    </row>
    <row r="395" spans="1:1" x14ac:dyDescent="0.25">
      <c r="A395" t="s">
        <v>459</v>
      </c>
    </row>
    <row r="396" spans="1:1" x14ac:dyDescent="0.25">
      <c r="A396" t="s">
        <v>460</v>
      </c>
    </row>
    <row r="397" spans="1:1" x14ac:dyDescent="0.25">
      <c r="A397" t="s">
        <v>461</v>
      </c>
    </row>
    <row r="398" spans="1:1" x14ac:dyDescent="0.25">
      <c r="A398" t="s">
        <v>462</v>
      </c>
    </row>
    <row r="399" spans="1:1" x14ac:dyDescent="0.25">
      <c r="A399" t="s">
        <v>463</v>
      </c>
    </row>
    <row r="400" spans="1:1" x14ac:dyDescent="0.25">
      <c r="A400" t="s">
        <v>464</v>
      </c>
    </row>
    <row r="401" spans="1:1" x14ac:dyDescent="0.25">
      <c r="A401" t="s">
        <v>465</v>
      </c>
    </row>
    <row r="402" spans="1:1" x14ac:dyDescent="0.25">
      <c r="A402" t="s">
        <v>466</v>
      </c>
    </row>
    <row r="403" spans="1:1" x14ac:dyDescent="0.25">
      <c r="A403" t="s">
        <v>467</v>
      </c>
    </row>
    <row r="404" spans="1:1" x14ac:dyDescent="0.25">
      <c r="A404" t="s">
        <v>468</v>
      </c>
    </row>
    <row r="405" spans="1:1" x14ac:dyDescent="0.25">
      <c r="A405" t="s">
        <v>469</v>
      </c>
    </row>
    <row r="406" spans="1:1" x14ac:dyDescent="0.25">
      <c r="A406" t="s">
        <v>470</v>
      </c>
    </row>
    <row r="407" spans="1:1" x14ac:dyDescent="0.25">
      <c r="A407" t="s">
        <v>471</v>
      </c>
    </row>
    <row r="408" spans="1:1" x14ac:dyDescent="0.25">
      <c r="A408" t="s">
        <v>472</v>
      </c>
    </row>
    <row r="409" spans="1:1" x14ac:dyDescent="0.25">
      <c r="A409" t="s">
        <v>473</v>
      </c>
    </row>
    <row r="410" spans="1:1" x14ac:dyDescent="0.25">
      <c r="A410" t="s">
        <v>474</v>
      </c>
    </row>
    <row r="411" spans="1:1" x14ac:dyDescent="0.25">
      <c r="A411" t="s">
        <v>475</v>
      </c>
    </row>
    <row r="412" spans="1:1" x14ac:dyDescent="0.25">
      <c r="A412" t="s">
        <v>476</v>
      </c>
    </row>
    <row r="413" spans="1:1" x14ac:dyDescent="0.25">
      <c r="A413" t="s">
        <v>477</v>
      </c>
    </row>
    <row r="414" spans="1:1" x14ac:dyDescent="0.25">
      <c r="A414" t="s">
        <v>478</v>
      </c>
    </row>
    <row r="415" spans="1:1" x14ac:dyDescent="0.25">
      <c r="A415" t="s">
        <v>479</v>
      </c>
    </row>
    <row r="416" spans="1:1" x14ac:dyDescent="0.25">
      <c r="A416" t="s">
        <v>480</v>
      </c>
    </row>
    <row r="417" spans="1:1" x14ac:dyDescent="0.25">
      <c r="A417" t="s">
        <v>481</v>
      </c>
    </row>
    <row r="418" spans="1:1" x14ac:dyDescent="0.25">
      <c r="A418" t="s">
        <v>482</v>
      </c>
    </row>
    <row r="419" spans="1:1" x14ac:dyDescent="0.25">
      <c r="A419" t="s">
        <v>483</v>
      </c>
    </row>
    <row r="420" spans="1:1" x14ac:dyDescent="0.25">
      <c r="A420" t="s">
        <v>484</v>
      </c>
    </row>
    <row r="421" spans="1:1" x14ac:dyDescent="0.25">
      <c r="A421" t="s">
        <v>485</v>
      </c>
    </row>
    <row r="422" spans="1:1" x14ac:dyDescent="0.25">
      <c r="A422" t="s">
        <v>486</v>
      </c>
    </row>
    <row r="423" spans="1:1" x14ac:dyDescent="0.25">
      <c r="A423" t="s">
        <v>487</v>
      </c>
    </row>
    <row r="424" spans="1:1" x14ac:dyDescent="0.25">
      <c r="A424" t="s">
        <v>488</v>
      </c>
    </row>
    <row r="425" spans="1:1" x14ac:dyDescent="0.25">
      <c r="A425" t="s">
        <v>489</v>
      </c>
    </row>
    <row r="426" spans="1:1" x14ac:dyDescent="0.25">
      <c r="A426" t="s">
        <v>490</v>
      </c>
    </row>
    <row r="427" spans="1:1" x14ac:dyDescent="0.25">
      <c r="A427" t="s">
        <v>491</v>
      </c>
    </row>
    <row r="428" spans="1:1" x14ac:dyDescent="0.25">
      <c r="A428" t="s">
        <v>492</v>
      </c>
    </row>
    <row r="429" spans="1:1" x14ac:dyDescent="0.25">
      <c r="A429" t="s">
        <v>493</v>
      </c>
    </row>
    <row r="430" spans="1:1" x14ac:dyDescent="0.25">
      <c r="A430" t="s">
        <v>494</v>
      </c>
    </row>
    <row r="431" spans="1:1" x14ac:dyDescent="0.25">
      <c r="A431" t="s">
        <v>495</v>
      </c>
    </row>
    <row r="432" spans="1:1" x14ac:dyDescent="0.25">
      <c r="A432" t="s">
        <v>496</v>
      </c>
    </row>
    <row r="433" spans="1:1" x14ac:dyDescent="0.25">
      <c r="A433" t="s">
        <v>497</v>
      </c>
    </row>
    <row r="434" spans="1:1" x14ac:dyDescent="0.25">
      <c r="A434" t="s">
        <v>498</v>
      </c>
    </row>
    <row r="435" spans="1:1" x14ac:dyDescent="0.25">
      <c r="A435" t="s">
        <v>499</v>
      </c>
    </row>
    <row r="436" spans="1:1" x14ac:dyDescent="0.25">
      <c r="A436" t="s">
        <v>500</v>
      </c>
    </row>
    <row r="437" spans="1:1" x14ac:dyDescent="0.25">
      <c r="A437" t="s">
        <v>501</v>
      </c>
    </row>
    <row r="438" spans="1:1" x14ac:dyDescent="0.25">
      <c r="A438" t="s">
        <v>502</v>
      </c>
    </row>
    <row r="439" spans="1:1" x14ac:dyDescent="0.25">
      <c r="A439" t="s">
        <v>503</v>
      </c>
    </row>
    <row r="440" spans="1:1" x14ac:dyDescent="0.25">
      <c r="A440" t="s">
        <v>504</v>
      </c>
    </row>
    <row r="441" spans="1:1" x14ac:dyDescent="0.25">
      <c r="A441" t="s">
        <v>505</v>
      </c>
    </row>
    <row r="442" spans="1:1" x14ac:dyDescent="0.25">
      <c r="A442" t="s">
        <v>506</v>
      </c>
    </row>
    <row r="443" spans="1:1" x14ac:dyDescent="0.25">
      <c r="A443" t="s">
        <v>507</v>
      </c>
    </row>
    <row r="444" spans="1:1" x14ac:dyDescent="0.25">
      <c r="A444" t="s">
        <v>508</v>
      </c>
    </row>
    <row r="445" spans="1:1" x14ac:dyDescent="0.25">
      <c r="A445" t="s">
        <v>509</v>
      </c>
    </row>
    <row r="446" spans="1:1" x14ac:dyDescent="0.25">
      <c r="A446" t="s">
        <v>510</v>
      </c>
    </row>
    <row r="447" spans="1:1" x14ac:dyDescent="0.25">
      <c r="A447" t="s">
        <v>511</v>
      </c>
    </row>
    <row r="448" spans="1:1" x14ac:dyDescent="0.25">
      <c r="A448" t="s">
        <v>512</v>
      </c>
    </row>
    <row r="449" spans="1:1" x14ac:dyDescent="0.25">
      <c r="A449" t="s">
        <v>513</v>
      </c>
    </row>
    <row r="450" spans="1:1" x14ac:dyDescent="0.25">
      <c r="A450" t="s">
        <v>514</v>
      </c>
    </row>
    <row r="451" spans="1:1" x14ac:dyDescent="0.25">
      <c r="A451" t="s">
        <v>515</v>
      </c>
    </row>
    <row r="452" spans="1:1" x14ac:dyDescent="0.25">
      <c r="A452" t="s">
        <v>516</v>
      </c>
    </row>
    <row r="453" spans="1:1" x14ac:dyDescent="0.25">
      <c r="A453" t="s">
        <v>517</v>
      </c>
    </row>
    <row r="454" spans="1:1" x14ac:dyDescent="0.25">
      <c r="A454" t="s">
        <v>518</v>
      </c>
    </row>
    <row r="455" spans="1:1" x14ac:dyDescent="0.25">
      <c r="A455" t="s">
        <v>519</v>
      </c>
    </row>
    <row r="456" spans="1:1" x14ac:dyDescent="0.25">
      <c r="A456" t="s">
        <v>520</v>
      </c>
    </row>
    <row r="457" spans="1:1" x14ac:dyDescent="0.25">
      <c r="A457" t="s">
        <v>521</v>
      </c>
    </row>
    <row r="458" spans="1:1" x14ac:dyDescent="0.25">
      <c r="A458" t="s">
        <v>522</v>
      </c>
    </row>
    <row r="459" spans="1:1" x14ac:dyDescent="0.25">
      <c r="A459" t="s">
        <v>523</v>
      </c>
    </row>
    <row r="460" spans="1:1" x14ac:dyDescent="0.25">
      <c r="A460" t="s">
        <v>524</v>
      </c>
    </row>
    <row r="461" spans="1:1" x14ac:dyDescent="0.25">
      <c r="A461" t="s">
        <v>525</v>
      </c>
    </row>
    <row r="462" spans="1:1" x14ac:dyDescent="0.25">
      <c r="A462" t="s">
        <v>526</v>
      </c>
    </row>
    <row r="463" spans="1:1" x14ac:dyDescent="0.25">
      <c r="A463" t="s">
        <v>527</v>
      </c>
    </row>
    <row r="464" spans="1:1" x14ac:dyDescent="0.25">
      <c r="A464" t="s">
        <v>528</v>
      </c>
    </row>
    <row r="465" spans="1:1" x14ac:dyDescent="0.25">
      <c r="A465" t="s">
        <v>529</v>
      </c>
    </row>
    <row r="466" spans="1:1" x14ac:dyDescent="0.25">
      <c r="A466" t="s">
        <v>530</v>
      </c>
    </row>
    <row r="467" spans="1:1" x14ac:dyDescent="0.25">
      <c r="A467" t="s">
        <v>531</v>
      </c>
    </row>
    <row r="468" spans="1:1" x14ac:dyDescent="0.25">
      <c r="A468" t="s">
        <v>532</v>
      </c>
    </row>
    <row r="469" spans="1:1" x14ac:dyDescent="0.25">
      <c r="A469" t="s">
        <v>533</v>
      </c>
    </row>
    <row r="470" spans="1:1" x14ac:dyDescent="0.25">
      <c r="A470" t="s">
        <v>534</v>
      </c>
    </row>
    <row r="471" spans="1:1" x14ac:dyDescent="0.25">
      <c r="A471" t="s">
        <v>535</v>
      </c>
    </row>
    <row r="472" spans="1:1" x14ac:dyDescent="0.25">
      <c r="A472" t="s">
        <v>536</v>
      </c>
    </row>
    <row r="473" spans="1:1" x14ac:dyDescent="0.25">
      <c r="A473" t="s">
        <v>537</v>
      </c>
    </row>
    <row r="474" spans="1:1" x14ac:dyDescent="0.25">
      <c r="A474" t="s">
        <v>538</v>
      </c>
    </row>
    <row r="475" spans="1:1" x14ac:dyDescent="0.25">
      <c r="A475" t="s">
        <v>539</v>
      </c>
    </row>
    <row r="476" spans="1:1" x14ac:dyDescent="0.25">
      <c r="A476" t="s">
        <v>540</v>
      </c>
    </row>
    <row r="477" spans="1:1" x14ac:dyDescent="0.25">
      <c r="A477" t="s">
        <v>541</v>
      </c>
    </row>
    <row r="478" spans="1:1" x14ac:dyDescent="0.25">
      <c r="A478" t="s">
        <v>542</v>
      </c>
    </row>
    <row r="479" spans="1:1" x14ac:dyDescent="0.25">
      <c r="A479" t="s">
        <v>543</v>
      </c>
    </row>
    <row r="480" spans="1:1" x14ac:dyDescent="0.25">
      <c r="A480" t="s">
        <v>544</v>
      </c>
    </row>
    <row r="481" spans="1:1" x14ac:dyDescent="0.25">
      <c r="A481" t="s">
        <v>545</v>
      </c>
    </row>
    <row r="482" spans="1:1" x14ac:dyDescent="0.25">
      <c r="A482" t="s">
        <v>546</v>
      </c>
    </row>
    <row r="483" spans="1:1" x14ac:dyDescent="0.25">
      <c r="A483" t="s">
        <v>547</v>
      </c>
    </row>
    <row r="484" spans="1:1" x14ac:dyDescent="0.25">
      <c r="A484" t="s">
        <v>548</v>
      </c>
    </row>
    <row r="485" spans="1:1" x14ac:dyDescent="0.25">
      <c r="A485" t="s">
        <v>549</v>
      </c>
    </row>
    <row r="486" spans="1:1" x14ac:dyDescent="0.25">
      <c r="A486" t="s">
        <v>550</v>
      </c>
    </row>
    <row r="487" spans="1:1" x14ac:dyDescent="0.25">
      <c r="A487" t="s">
        <v>551</v>
      </c>
    </row>
    <row r="488" spans="1:1" x14ac:dyDescent="0.25">
      <c r="A488" t="s">
        <v>552</v>
      </c>
    </row>
    <row r="489" spans="1:1" x14ac:dyDescent="0.25">
      <c r="A489" t="s">
        <v>553</v>
      </c>
    </row>
    <row r="490" spans="1:1" x14ac:dyDescent="0.25">
      <c r="A490" t="s">
        <v>554</v>
      </c>
    </row>
    <row r="491" spans="1:1" x14ac:dyDescent="0.25">
      <c r="A491" t="s">
        <v>555</v>
      </c>
    </row>
    <row r="492" spans="1:1" x14ac:dyDescent="0.25">
      <c r="A492" t="s">
        <v>556</v>
      </c>
    </row>
    <row r="493" spans="1:1" x14ac:dyDescent="0.25">
      <c r="A493" t="s">
        <v>557</v>
      </c>
    </row>
    <row r="494" spans="1:1" x14ac:dyDescent="0.25">
      <c r="A494" t="s">
        <v>558</v>
      </c>
    </row>
    <row r="495" spans="1:1" x14ac:dyDescent="0.25">
      <c r="A495" t="s">
        <v>559</v>
      </c>
    </row>
    <row r="496" spans="1:1" x14ac:dyDescent="0.25">
      <c r="A496" t="s">
        <v>560</v>
      </c>
    </row>
    <row r="497" spans="1:1" x14ac:dyDescent="0.25">
      <c r="A497" t="s">
        <v>561</v>
      </c>
    </row>
    <row r="498" spans="1:1" x14ac:dyDescent="0.25">
      <c r="A498" t="s">
        <v>562</v>
      </c>
    </row>
    <row r="499" spans="1:1" x14ac:dyDescent="0.25">
      <c r="A499" t="s">
        <v>563</v>
      </c>
    </row>
    <row r="500" spans="1:1" x14ac:dyDescent="0.25">
      <c r="A500" t="s">
        <v>564</v>
      </c>
    </row>
    <row r="501" spans="1:1" x14ac:dyDescent="0.25">
      <c r="A501" t="s">
        <v>565</v>
      </c>
    </row>
    <row r="502" spans="1:1" x14ac:dyDescent="0.25">
      <c r="A502" t="s">
        <v>566</v>
      </c>
    </row>
    <row r="503" spans="1:1" x14ac:dyDescent="0.25">
      <c r="A503" t="s">
        <v>567</v>
      </c>
    </row>
    <row r="504" spans="1:1" x14ac:dyDescent="0.25">
      <c r="A504" t="s">
        <v>568</v>
      </c>
    </row>
    <row r="505" spans="1:1" x14ac:dyDescent="0.25">
      <c r="A505" t="s">
        <v>569</v>
      </c>
    </row>
    <row r="506" spans="1:1" x14ac:dyDescent="0.25">
      <c r="A506" t="s">
        <v>570</v>
      </c>
    </row>
    <row r="507" spans="1:1" x14ac:dyDescent="0.25">
      <c r="A507" t="s">
        <v>571</v>
      </c>
    </row>
    <row r="508" spans="1:1" x14ac:dyDescent="0.25">
      <c r="A508" t="s">
        <v>572</v>
      </c>
    </row>
    <row r="509" spans="1:1" x14ac:dyDescent="0.25">
      <c r="A509" t="s">
        <v>573</v>
      </c>
    </row>
    <row r="510" spans="1:1" x14ac:dyDescent="0.25">
      <c r="A510" t="s">
        <v>574</v>
      </c>
    </row>
    <row r="511" spans="1:1" x14ac:dyDescent="0.25">
      <c r="A511" t="s">
        <v>575</v>
      </c>
    </row>
    <row r="512" spans="1:1" x14ac:dyDescent="0.25">
      <c r="A512" t="s">
        <v>576</v>
      </c>
    </row>
    <row r="513" spans="1:1" x14ac:dyDescent="0.25">
      <c r="A513" t="s">
        <v>577</v>
      </c>
    </row>
    <row r="514" spans="1:1" x14ac:dyDescent="0.25">
      <c r="A514" t="s">
        <v>578</v>
      </c>
    </row>
    <row r="515" spans="1:1" x14ac:dyDescent="0.25">
      <c r="A515" t="s">
        <v>579</v>
      </c>
    </row>
    <row r="516" spans="1:1" x14ac:dyDescent="0.25">
      <c r="A516" t="s">
        <v>580</v>
      </c>
    </row>
    <row r="517" spans="1:1" x14ac:dyDescent="0.25">
      <c r="A517" t="s">
        <v>581</v>
      </c>
    </row>
    <row r="518" spans="1:1" x14ac:dyDescent="0.25">
      <c r="A518" t="s">
        <v>582</v>
      </c>
    </row>
    <row r="519" spans="1:1" x14ac:dyDescent="0.25">
      <c r="A519" t="s">
        <v>583</v>
      </c>
    </row>
    <row r="520" spans="1:1" x14ac:dyDescent="0.25">
      <c r="A520" t="s">
        <v>584</v>
      </c>
    </row>
    <row r="521" spans="1:1" x14ac:dyDescent="0.25">
      <c r="A521" t="s">
        <v>585</v>
      </c>
    </row>
    <row r="522" spans="1:1" x14ac:dyDescent="0.25">
      <c r="A522" t="s">
        <v>586</v>
      </c>
    </row>
    <row r="523" spans="1:1" x14ac:dyDescent="0.25">
      <c r="A523" t="s">
        <v>587</v>
      </c>
    </row>
    <row r="524" spans="1:1" x14ac:dyDescent="0.25">
      <c r="A524" t="s">
        <v>588</v>
      </c>
    </row>
    <row r="525" spans="1:1" x14ac:dyDescent="0.25">
      <c r="A525" t="s">
        <v>589</v>
      </c>
    </row>
    <row r="526" spans="1:1" x14ac:dyDescent="0.25">
      <c r="A526" t="s">
        <v>590</v>
      </c>
    </row>
    <row r="527" spans="1:1" x14ac:dyDescent="0.25">
      <c r="A527" t="s">
        <v>591</v>
      </c>
    </row>
    <row r="528" spans="1:1" x14ac:dyDescent="0.25">
      <c r="A528" t="s">
        <v>592</v>
      </c>
    </row>
    <row r="529" spans="1:1" x14ac:dyDescent="0.25">
      <c r="A529" t="s">
        <v>593</v>
      </c>
    </row>
    <row r="530" spans="1:1" x14ac:dyDescent="0.25">
      <c r="A530" t="s">
        <v>594</v>
      </c>
    </row>
    <row r="531" spans="1:1" x14ac:dyDescent="0.25">
      <c r="A531" t="s">
        <v>595</v>
      </c>
    </row>
    <row r="532" spans="1:1" x14ac:dyDescent="0.25">
      <c r="A532" t="s">
        <v>596</v>
      </c>
    </row>
    <row r="533" spans="1:1" x14ac:dyDescent="0.25">
      <c r="A533" t="s">
        <v>597</v>
      </c>
    </row>
    <row r="534" spans="1:1" x14ac:dyDescent="0.25">
      <c r="A534" t="s">
        <v>598</v>
      </c>
    </row>
    <row r="535" spans="1:1" x14ac:dyDescent="0.25">
      <c r="A535" t="s">
        <v>599</v>
      </c>
    </row>
    <row r="536" spans="1:1" x14ac:dyDescent="0.25">
      <c r="A536" t="s">
        <v>600</v>
      </c>
    </row>
    <row r="537" spans="1:1" x14ac:dyDescent="0.25">
      <c r="A537" t="s">
        <v>601</v>
      </c>
    </row>
    <row r="538" spans="1:1" x14ac:dyDescent="0.25">
      <c r="A538" t="s">
        <v>602</v>
      </c>
    </row>
    <row r="539" spans="1:1" x14ac:dyDescent="0.25">
      <c r="A539" t="s">
        <v>603</v>
      </c>
    </row>
    <row r="540" spans="1:1" x14ac:dyDescent="0.25">
      <c r="A540" t="s">
        <v>604</v>
      </c>
    </row>
    <row r="541" spans="1:1" x14ac:dyDescent="0.25">
      <c r="A541" t="s">
        <v>605</v>
      </c>
    </row>
    <row r="542" spans="1:1" x14ac:dyDescent="0.25">
      <c r="A542" t="s">
        <v>606</v>
      </c>
    </row>
    <row r="543" spans="1:1" x14ac:dyDescent="0.25">
      <c r="A543" t="s">
        <v>607</v>
      </c>
    </row>
    <row r="544" spans="1:1" x14ac:dyDescent="0.25">
      <c r="A544" t="s">
        <v>608</v>
      </c>
    </row>
    <row r="545" spans="1:1" x14ac:dyDescent="0.25">
      <c r="A545" t="s">
        <v>609</v>
      </c>
    </row>
    <row r="546" spans="1:1" x14ac:dyDescent="0.25">
      <c r="A546" t="s">
        <v>610</v>
      </c>
    </row>
    <row r="547" spans="1:1" x14ac:dyDescent="0.25">
      <c r="A547" t="s">
        <v>611</v>
      </c>
    </row>
    <row r="548" spans="1:1" x14ac:dyDescent="0.25">
      <c r="A548" t="s">
        <v>612</v>
      </c>
    </row>
    <row r="549" spans="1:1" x14ac:dyDescent="0.25">
      <c r="A549" t="s">
        <v>613</v>
      </c>
    </row>
    <row r="550" spans="1:1" x14ac:dyDescent="0.25">
      <c r="A550" t="s">
        <v>614</v>
      </c>
    </row>
    <row r="551" spans="1:1" x14ac:dyDescent="0.25">
      <c r="A551" t="s">
        <v>615</v>
      </c>
    </row>
    <row r="552" spans="1:1" x14ac:dyDescent="0.25">
      <c r="A552" t="s">
        <v>616</v>
      </c>
    </row>
    <row r="553" spans="1:1" x14ac:dyDescent="0.25">
      <c r="A553" t="s">
        <v>617</v>
      </c>
    </row>
    <row r="554" spans="1:1" x14ac:dyDescent="0.25">
      <c r="A554" t="s">
        <v>618</v>
      </c>
    </row>
    <row r="555" spans="1:1" x14ac:dyDescent="0.25">
      <c r="A555" t="s">
        <v>619</v>
      </c>
    </row>
    <row r="556" spans="1:1" x14ac:dyDescent="0.25">
      <c r="A556" t="s">
        <v>620</v>
      </c>
    </row>
    <row r="557" spans="1:1" x14ac:dyDescent="0.25">
      <c r="A557" t="s">
        <v>621</v>
      </c>
    </row>
    <row r="558" spans="1:1" x14ac:dyDescent="0.25">
      <c r="A558" t="s">
        <v>622</v>
      </c>
    </row>
    <row r="559" spans="1:1" x14ac:dyDescent="0.25">
      <c r="A559" t="s">
        <v>623</v>
      </c>
    </row>
    <row r="560" spans="1:1" x14ac:dyDescent="0.25">
      <c r="A560" t="s">
        <v>624</v>
      </c>
    </row>
    <row r="561" spans="1:1" x14ac:dyDescent="0.25">
      <c r="A561" t="s">
        <v>625</v>
      </c>
    </row>
    <row r="562" spans="1:1" x14ac:dyDescent="0.25">
      <c r="A562" t="s">
        <v>626</v>
      </c>
    </row>
    <row r="563" spans="1:1" x14ac:dyDescent="0.25">
      <c r="A563" t="s">
        <v>627</v>
      </c>
    </row>
    <row r="564" spans="1:1" x14ac:dyDescent="0.25">
      <c r="A564" t="s">
        <v>628</v>
      </c>
    </row>
    <row r="565" spans="1:1" x14ac:dyDescent="0.25">
      <c r="A565" t="s">
        <v>629</v>
      </c>
    </row>
    <row r="566" spans="1:1" x14ac:dyDescent="0.25">
      <c r="A566" t="s">
        <v>630</v>
      </c>
    </row>
    <row r="567" spans="1:1" x14ac:dyDescent="0.25">
      <c r="A567" t="s">
        <v>631</v>
      </c>
    </row>
    <row r="568" spans="1:1" x14ac:dyDescent="0.25">
      <c r="A568" t="s">
        <v>632</v>
      </c>
    </row>
    <row r="569" spans="1:1" x14ac:dyDescent="0.25">
      <c r="A569" t="s">
        <v>633</v>
      </c>
    </row>
    <row r="570" spans="1:1" x14ac:dyDescent="0.25">
      <c r="A570" t="s">
        <v>634</v>
      </c>
    </row>
    <row r="571" spans="1:1" x14ac:dyDescent="0.25">
      <c r="A571" t="s">
        <v>635</v>
      </c>
    </row>
    <row r="572" spans="1:1" x14ac:dyDescent="0.25">
      <c r="A572" t="s">
        <v>636</v>
      </c>
    </row>
    <row r="573" spans="1:1" x14ac:dyDescent="0.25">
      <c r="A573" t="s">
        <v>637</v>
      </c>
    </row>
    <row r="574" spans="1:1" x14ac:dyDescent="0.25">
      <c r="A574" t="s">
        <v>638</v>
      </c>
    </row>
    <row r="575" spans="1:1" x14ac:dyDescent="0.25">
      <c r="A575" t="s">
        <v>639</v>
      </c>
    </row>
    <row r="576" spans="1:1" x14ac:dyDescent="0.25">
      <c r="A576" t="s">
        <v>640</v>
      </c>
    </row>
    <row r="577" spans="1:1" x14ac:dyDescent="0.25">
      <c r="A577" t="s">
        <v>641</v>
      </c>
    </row>
    <row r="578" spans="1:1" x14ac:dyDescent="0.25">
      <c r="A578" t="s">
        <v>642</v>
      </c>
    </row>
    <row r="579" spans="1:1" x14ac:dyDescent="0.25">
      <c r="A579" t="s">
        <v>643</v>
      </c>
    </row>
    <row r="580" spans="1:1" x14ac:dyDescent="0.25">
      <c r="A580" t="s">
        <v>644</v>
      </c>
    </row>
    <row r="581" spans="1:1" x14ac:dyDescent="0.25">
      <c r="A581" t="s">
        <v>645</v>
      </c>
    </row>
    <row r="582" spans="1:1" x14ac:dyDescent="0.25">
      <c r="A582" t="s">
        <v>646</v>
      </c>
    </row>
    <row r="583" spans="1:1" x14ac:dyDescent="0.25">
      <c r="A583" t="s">
        <v>647</v>
      </c>
    </row>
    <row r="584" spans="1:1" x14ac:dyDescent="0.25">
      <c r="A584" t="s">
        <v>648</v>
      </c>
    </row>
    <row r="585" spans="1:1" x14ac:dyDescent="0.25">
      <c r="A585" t="s">
        <v>649</v>
      </c>
    </row>
    <row r="586" spans="1:1" x14ac:dyDescent="0.25">
      <c r="A586" t="s">
        <v>650</v>
      </c>
    </row>
    <row r="587" spans="1:1" x14ac:dyDescent="0.25">
      <c r="A587" t="s">
        <v>651</v>
      </c>
    </row>
    <row r="588" spans="1:1" x14ac:dyDescent="0.25">
      <c r="A588" t="s">
        <v>652</v>
      </c>
    </row>
    <row r="589" spans="1:1" x14ac:dyDescent="0.25">
      <c r="A589" t="s">
        <v>653</v>
      </c>
    </row>
    <row r="590" spans="1:1" x14ac:dyDescent="0.25">
      <c r="A590" t="s">
        <v>654</v>
      </c>
    </row>
    <row r="591" spans="1:1" x14ac:dyDescent="0.25">
      <c r="A591" t="s">
        <v>655</v>
      </c>
    </row>
    <row r="592" spans="1:1" x14ac:dyDescent="0.25">
      <c r="A592" t="s">
        <v>656</v>
      </c>
    </row>
    <row r="593" spans="1:1" x14ac:dyDescent="0.25">
      <c r="A593" t="s">
        <v>657</v>
      </c>
    </row>
    <row r="594" spans="1:1" x14ac:dyDescent="0.25">
      <c r="A594" t="s">
        <v>658</v>
      </c>
    </row>
    <row r="595" spans="1:1" x14ac:dyDescent="0.25">
      <c r="A595" t="s">
        <v>659</v>
      </c>
    </row>
    <row r="596" spans="1:1" x14ac:dyDescent="0.25">
      <c r="A596" t="s">
        <v>660</v>
      </c>
    </row>
    <row r="597" spans="1:1" x14ac:dyDescent="0.25">
      <c r="A597" t="s">
        <v>661</v>
      </c>
    </row>
    <row r="598" spans="1:1" x14ac:dyDescent="0.25">
      <c r="A598" t="s">
        <v>662</v>
      </c>
    </row>
    <row r="599" spans="1:1" x14ac:dyDescent="0.25">
      <c r="A599" t="s">
        <v>663</v>
      </c>
    </row>
    <row r="600" spans="1:1" x14ac:dyDescent="0.25">
      <c r="A600" t="s">
        <v>664</v>
      </c>
    </row>
    <row r="601" spans="1:1" x14ac:dyDescent="0.25">
      <c r="A601" t="s">
        <v>665</v>
      </c>
    </row>
    <row r="602" spans="1:1" x14ac:dyDescent="0.25">
      <c r="A602" t="s">
        <v>666</v>
      </c>
    </row>
    <row r="603" spans="1:1" x14ac:dyDescent="0.25">
      <c r="A603" t="s">
        <v>667</v>
      </c>
    </row>
    <row r="604" spans="1:1" x14ac:dyDescent="0.25">
      <c r="A604" t="s">
        <v>668</v>
      </c>
    </row>
    <row r="605" spans="1:1" x14ac:dyDescent="0.25">
      <c r="A605" t="s">
        <v>669</v>
      </c>
    </row>
    <row r="606" spans="1:1" x14ac:dyDescent="0.25">
      <c r="A606" t="s">
        <v>670</v>
      </c>
    </row>
    <row r="607" spans="1:1" x14ac:dyDescent="0.25">
      <c r="A607" t="s">
        <v>671</v>
      </c>
    </row>
    <row r="608" spans="1:1" x14ac:dyDescent="0.25">
      <c r="A608" t="s">
        <v>672</v>
      </c>
    </row>
    <row r="609" spans="1:1" x14ac:dyDescent="0.25">
      <c r="A609" t="s">
        <v>673</v>
      </c>
    </row>
    <row r="610" spans="1:1" x14ac:dyDescent="0.25">
      <c r="A610" t="s">
        <v>674</v>
      </c>
    </row>
    <row r="611" spans="1:1" x14ac:dyDescent="0.25">
      <c r="A611" t="s">
        <v>675</v>
      </c>
    </row>
    <row r="612" spans="1:1" x14ac:dyDescent="0.25">
      <c r="A612" t="s">
        <v>676</v>
      </c>
    </row>
    <row r="613" spans="1:1" x14ac:dyDescent="0.25">
      <c r="A613" t="s">
        <v>677</v>
      </c>
    </row>
    <row r="614" spans="1:1" x14ac:dyDescent="0.25">
      <c r="A614" t="s">
        <v>678</v>
      </c>
    </row>
    <row r="615" spans="1:1" x14ac:dyDescent="0.25">
      <c r="A615" t="s">
        <v>679</v>
      </c>
    </row>
    <row r="616" spans="1:1" x14ac:dyDescent="0.25">
      <c r="A616" t="s">
        <v>680</v>
      </c>
    </row>
    <row r="617" spans="1:1" x14ac:dyDescent="0.25">
      <c r="A617" t="s">
        <v>681</v>
      </c>
    </row>
    <row r="618" spans="1:1" x14ac:dyDescent="0.25">
      <c r="A618" t="s">
        <v>682</v>
      </c>
    </row>
    <row r="619" spans="1:1" x14ac:dyDescent="0.25">
      <c r="A619" t="s">
        <v>683</v>
      </c>
    </row>
    <row r="620" spans="1:1" x14ac:dyDescent="0.25">
      <c r="A620" t="s">
        <v>684</v>
      </c>
    </row>
    <row r="621" spans="1:1" x14ac:dyDescent="0.25">
      <c r="A621" t="s">
        <v>685</v>
      </c>
    </row>
    <row r="622" spans="1:1" x14ac:dyDescent="0.25">
      <c r="A622" t="s">
        <v>686</v>
      </c>
    </row>
    <row r="623" spans="1:1" x14ac:dyDescent="0.25">
      <c r="A623" t="s">
        <v>687</v>
      </c>
    </row>
    <row r="624" spans="1:1" x14ac:dyDescent="0.25">
      <c r="A624" t="s">
        <v>688</v>
      </c>
    </row>
    <row r="625" spans="1:1" x14ac:dyDescent="0.25">
      <c r="A625" t="s">
        <v>689</v>
      </c>
    </row>
    <row r="626" spans="1:1" x14ac:dyDescent="0.25">
      <c r="A626" t="s">
        <v>690</v>
      </c>
    </row>
    <row r="627" spans="1:1" x14ac:dyDescent="0.25">
      <c r="A627" t="s">
        <v>691</v>
      </c>
    </row>
    <row r="628" spans="1:1" x14ac:dyDescent="0.25">
      <c r="A628" t="s">
        <v>692</v>
      </c>
    </row>
    <row r="629" spans="1:1" x14ac:dyDescent="0.25">
      <c r="A629" t="s">
        <v>693</v>
      </c>
    </row>
    <row r="630" spans="1:1" x14ac:dyDescent="0.25">
      <c r="A630" t="s">
        <v>694</v>
      </c>
    </row>
    <row r="631" spans="1:1" x14ac:dyDescent="0.25">
      <c r="A631" t="s">
        <v>695</v>
      </c>
    </row>
    <row r="632" spans="1:1" x14ac:dyDescent="0.25">
      <c r="A632" t="s">
        <v>696</v>
      </c>
    </row>
    <row r="633" spans="1:1" x14ac:dyDescent="0.25">
      <c r="A633" t="s">
        <v>697</v>
      </c>
    </row>
    <row r="634" spans="1:1" x14ac:dyDescent="0.25">
      <c r="A634" t="s">
        <v>698</v>
      </c>
    </row>
    <row r="635" spans="1:1" x14ac:dyDescent="0.25">
      <c r="A635" t="s">
        <v>699</v>
      </c>
    </row>
    <row r="636" spans="1:1" x14ac:dyDescent="0.25">
      <c r="A636" t="s">
        <v>700</v>
      </c>
    </row>
    <row r="637" spans="1:1" x14ac:dyDescent="0.25">
      <c r="A637" t="s">
        <v>701</v>
      </c>
    </row>
    <row r="638" spans="1:1" x14ac:dyDescent="0.25">
      <c r="A638" t="s">
        <v>702</v>
      </c>
    </row>
    <row r="639" spans="1:1" x14ac:dyDescent="0.25">
      <c r="A639" t="s">
        <v>703</v>
      </c>
    </row>
    <row r="640" spans="1:1" x14ac:dyDescent="0.25">
      <c r="A640" t="s">
        <v>704</v>
      </c>
    </row>
    <row r="641" spans="1:1" x14ac:dyDescent="0.25">
      <c r="A641" t="s">
        <v>705</v>
      </c>
    </row>
    <row r="642" spans="1:1" x14ac:dyDescent="0.25">
      <c r="A642" t="s">
        <v>706</v>
      </c>
    </row>
    <row r="643" spans="1:1" x14ac:dyDescent="0.25">
      <c r="A643" t="s">
        <v>707</v>
      </c>
    </row>
    <row r="644" spans="1:1" x14ac:dyDescent="0.25">
      <c r="A644" t="s">
        <v>708</v>
      </c>
    </row>
    <row r="645" spans="1:1" x14ac:dyDescent="0.25">
      <c r="A645" t="s">
        <v>709</v>
      </c>
    </row>
    <row r="646" spans="1:1" x14ac:dyDescent="0.25">
      <c r="A646" t="s">
        <v>710</v>
      </c>
    </row>
    <row r="647" spans="1:1" x14ac:dyDescent="0.25">
      <c r="A647" t="s">
        <v>711</v>
      </c>
    </row>
    <row r="648" spans="1:1" x14ac:dyDescent="0.25">
      <c r="A648" t="s">
        <v>712</v>
      </c>
    </row>
    <row r="649" spans="1:1" x14ac:dyDescent="0.25">
      <c r="A649" t="s">
        <v>713</v>
      </c>
    </row>
    <row r="650" spans="1:1" x14ac:dyDescent="0.25">
      <c r="A650" t="s">
        <v>714</v>
      </c>
    </row>
    <row r="651" spans="1:1" x14ac:dyDescent="0.25">
      <c r="A651" t="s">
        <v>715</v>
      </c>
    </row>
    <row r="652" spans="1:1" x14ac:dyDescent="0.25">
      <c r="A652" t="s">
        <v>716</v>
      </c>
    </row>
    <row r="653" spans="1:1" x14ac:dyDescent="0.25">
      <c r="A653" t="s">
        <v>717</v>
      </c>
    </row>
    <row r="654" spans="1:1" x14ac:dyDescent="0.25">
      <c r="A654" t="s">
        <v>718</v>
      </c>
    </row>
    <row r="655" spans="1:1" x14ac:dyDescent="0.25">
      <c r="A655" t="s">
        <v>719</v>
      </c>
    </row>
    <row r="656" spans="1:1" x14ac:dyDescent="0.25">
      <c r="A656" t="s">
        <v>720</v>
      </c>
    </row>
    <row r="657" spans="1:1" x14ac:dyDescent="0.25">
      <c r="A657" t="s">
        <v>721</v>
      </c>
    </row>
    <row r="658" spans="1:1" x14ac:dyDescent="0.25">
      <c r="A658" t="s">
        <v>722</v>
      </c>
    </row>
    <row r="659" spans="1:1" x14ac:dyDescent="0.25">
      <c r="A659" t="s">
        <v>723</v>
      </c>
    </row>
    <row r="660" spans="1:1" x14ac:dyDescent="0.25">
      <c r="A660" t="s">
        <v>724</v>
      </c>
    </row>
    <row r="661" spans="1:1" x14ac:dyDescent="0.25">
      <c r="A661" t="s">
        <v>725</v>
      </c>
    </row>
    <row r="662" spans="1:1" x14ac:dyDescent="0.25">
      <c r="A662" t="s">
        <v>726</v>
      </c>
    </row>
    <row r="663" spans="1:1" x14ac:dyDescent="0.25">
      <c r="A663" t="s">
        <v>727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733</v>
      </c>
    </row>
    <row r="670" spans="1:1" x14ac:dyDescent="0.25">
      <c r="A670" t="s">
        <v>734</v>
      </c>
    </row>
    <row r="671" spans="1:1" x14ac:dyDescent="0.25">
      <c r="A671" t="s">
        <v>735</v>
      </c>
    </row>
    <row r="672" spans="1:1" x14ac:dyDescent="0.25">
      <c r="A672" t="s">
        <v>736</v>
      </c>
    </row>
    <row r="673" spans="1:1" x14ac:dyDescent="0.25">
      <c r="A673" t="s">
        <v>737</v>
      </c>
    </row>
    <row r="674" spans="1:1" x14ac:dyDescent="0.25">
      <c r="A674" t="s">
        <v>738</v>
      </c>
    </row>
    <row r="675" spans="1:1" x14ac:dyDescent="0.25">
      <c r="A675" t="s">
        <v>739</v>
      </c>
    </row>
    <row r="676" spans="1:1" x14ac:dyDescent="0.25">
      <c r="A676" t="s">
        <v>740</v>
      </c>
    </row>
    <row r="677" spans="1:1" x14ac:dyDescent="0.25">
      <c r="A677" t="s">
        <v>741</v>
      </c>
    </row>
    <row r="678" spans="1:1" x14ac:dyDescent="0.25">
      <c r="A678" t="s">
        <v>742</v>
      </c>
    </row>
    <row r="679" spans="1:1" x14ac:dyDescent="0.25">
      <c r="A679" t="s">
        <v>743</v>
      </c>
    </row>
    <row r="680" spans="1:1" x14ac:dyDescent="0.25">
      <c r="A680" t="s">
        <v>744</v>
      </c>
    </row>
    <row r="681" spans="1:1" x14ac:dyDescent="0.25">
      <c r="A681" t="s">
        <v>745</v>
      </c>
    </row>
    <row r="682" spans="1:1" x14ac:dyDescent="0.25">
      <c r="A682" t="s">
        <v>746</v>
      </c>
    </row>
    <row r="683" spans="1:1" x14ac:dyDescent="0.25">
      <c r="A683" t="s">
        <v>747</v>
      </c>
    </row>
    <row r="684" spans="1:1" x14ac:dyDescent="0.25">
      <c r="A684" t="s">
        <v>748</v>
      </c>
    </row>
    <row r="685" spans="1:1" x14ac:dyDescent="0.25">
      <c r="A685" t="s">
        <v>749</v>
      </c>
    </row>
    <row r="686" spans="1:1" x14ac:dyDescent="0.25">
      <c r="A686" t="s">
        <v>750</v>
      </c>
    </row>
    <row r="687" spans="1:1" x14ac:dyDescent="0.25">
      <c r="A687" t="s">
        <v>751</v>
      </c>
    </row>
    <row r="688" spans="1:1" x14ac:dyDescent="0.25">
      <c r="A688" t="s">
        <v>752</v>
      </c>
    </row>
    <row r="689" spans="1:1" x14ac:dyDescent="0.25">
      <c r="A689" t="s">
        <v>753</v>
      </c>
    </row>
    <row r="690" spans="1:1" x14ac:dyDescent="0.25">
      <c r="A690" t="s">
        <v>754</v>
      </c>
    </row>
    <row r="691" spans="1:1" x14ac:dyDescent="0.25">
      <c r="A691" t="s">
        <v>755</v>
      </c>
    </row>
    <row r="692" spans="1:1" x14ac:dyDescent="0.25">
      <c r="A692" t="s">
        <v>756</v>
      </c>
    </row>
    <row r="693" spans="1:1" x14ac:dyDescent="0.25">
      <c r="A693" t="s">
        <v>757</v>
      </c>
    </row>
    <row r="694" spans="1:1" x14ac:dyDescent="0.25">
      <c r="A694" t="s">
        <v>758</v>
      </c>
    </row>
    <row r="695" spans="1:1" x14ac:dyDescent="0.25">
      <c r="A695" t="s">
        <v>759</v>
      </c>
    </row>
    <row r="696" spans="1:1" x14ac:dyDescent="0.25">
      <c r="A696" t="s">
        <v>760</v>
      </c>
    </row>
    <row r="697" spans="1:1" x14ac:dyDescent="0.25">
      <c r="A697" t="s">
        <v>761</v>
      </c>
    </row>
    <row r="698" spans="1:1" x14ac:dyDescent="0.25">
      <c r="A698" t="s">
        <v>762</v>
      </c>
    </row>
    <row r="699" spans="1:1" x14ac:dyDescent="0.25">
      <c r="A699" t="s">
        <v>763</v>
      </c>
    </row>
    <row r="700" spans="1:1" x14ac:dyDescent="0.25">
      <c r="A700" t="s">
        <v>764</v>
      </c>
    </row>
    <row r="701" spans="1:1" x14ac:dyDescent="0.25">
      <c r="A701" t="s">
        <v>765</v>
      </c>
    </row>
    <row r="702" spans="1:1" x14ac:dyDescent="0.25">
      <c r="A702" t="s">
        <v>766</v>
      </c>
    </row>
    <row r="703" spans="1:1" x14ac:dyDescent="0.25">
      <c r="A703" t="s">
        <v>767</v>
      </c>
    </row>
    <row r="704" spans="1:1" x14ac:dyDescent="0.25">
      <c r="A704" t="s">
        <v>768</v>
      </c>
    </row>
    <row r="705" spans="1:1" x14ac:dyDescent="0.25">
      <c r="A705" t="s">
        <v>769</v>
      </c>
    </row>
    <row r="706" spans="1:1" x14ac:dyDescent="0.25">
      <c r="A706" t="s">
        <v>770</v>
      </c>
    </row>
    <row r="707" spans="1:1" x14ac:dyDescent="0.25">
      <c r="A707" t="s">
        <v>771</v>
      </c>
    </row>
    <row r="708" spans="1:1" x14ac:dyDescent="0.25">
      <c r="A708" t="s">
        <v>772</v>
      </c>
    </row>
    <row r="709" spans="1:1" x14ac:dyDescent="0.25">
      <c r="A709" t="s">
        <v>773</v>
      </c>
    </row>
    <row r="710" spans="1:1" x14ac:dyDescent="0.25">
      <c r="A710" t="s">
        <v>774</v>
      </c>
    </row>
    <row r="711" spans="1:1" x14ac:dyDescent="0.25">
      <c r="A711" t="s">
        <v>775</v>
      </c>
    </row>
    <row r="712" spans="1:1" x14ac:dyDescent="0.25">
      <c r="A712" t="s">
        <v>776</v>
      </c>
    </row>
    <row r="713" spans="1:1" x14ac:dyDescent="0.25">
      <c r="A713" t="s">
        <v>777</v>
      </c>
    </row>
    <row r="714" spans="1:1" x14ac:dyDescent="0.25">
      <c r="A714" t="s">
        <v>778</v>
      </c>
    </row>
    <row r="715" spans="1:1" x14ac:dyDescent="0.25">
      <c r="A715" t="s">
        <v>779</v>
      </c>
    </row>
    <row r="716" spans="1:1" x14ac:dyDescent="0.25">
      <c r="A716" t="s">
        <v>780</v>
      </c>
    </row>
    <row r="717" spans="1:1" x14ac:dyDescent="0.25">
      <c r="A717" t="s">
        <v>781</v>
      </c>
    </row>
    <row r="718" spans="1:1" x14ac:dyDescent="0.25">
      <c r="A718" t="s">
        <v>782</v>
      </c>
    </row>
    <row r="719" spans="1:1" x14ac:dyDescent="0.25">
      <c r="A719" t="s">
        <v>783</v>
      </c>
    </row>
    <row r="720" spans="1:1" x14ac:dyDescent="0.25">
      <c r="A720" t="s">
        <v>784</v>
      </c>
    </row>
    <row r="721" spans="1:1" x14ac:dyDescent="0.25">
      <c r="A721" t="s">
        <v>785</v>
      </c>
    </row>
    <row r="722" spans="1:1" x14ac:dyDescent="0.25">
      <c r="A722" t="s">
        <v>786</v>
      </c>
    </row>
    <row r="723" spans="1:1" x14ac:dyDescent="0.25">
      <c r="A723" t="s">
        <v>787</v>
      </c>
    </row>
    <row r="724" spans="1:1" x14ac:dyDescent="0.25">
      <c r="A724" t="s">
        <v>788</v>
      </c>
    </row>
    <row r="725" spans="1:1" x14ac:dyDescent="0.25">
      <c r="A725" t="s">
        <v>789</v>
      </c>
    </row>
    <row r="726" spans="1:1" x14ac:dyDescent="0.25">
      <c r="A726" t="s">
        <v>790</v>
      </c>
    </row>
    <row r="727" spans="1:1" x14ac:dyDescent="0.25">
      <c r="A727" t="s">
        <v>791</v>
      </c>
    </row>
    <row r="728" spans="1:1" x14ac:dyDescent="0.25">
      <c r="A728" t="s">
        <v>792</v>
      </c>
    </row>
    <row r="729" spans="1:1" x14ac:dyDescent="0.25">
      <c r="A729" t="s">
        <v>793</v>
      </c>
    </row>
    <row r="730" spans="1:1" x14ac:dyDescent="0.25">
      <c r="A730" t="s">
        <v>794</v>
      </c>
    </row>
    <row r="731" spans="1:1" x14ac:dyDescent="0.25">
      <c r="A731" t="s">
        <v>795</v>
      </c>
    </row>
    <row r="732" spans="1:1" x14ac:dyDescent="0.25">
      <c r="A732" t="s">
        <v>796</v>
      </c>
    </row>
    <row r="733" spans="1:1" x14ac:dyDescent="0.25">
      <c r="A733" t="s">
        <v>797</v>
      </c>
    </row>
    <row r="734" spans="1:1" x14ac:dyDescent="0.25">
      <c r="A734" t="s">
        <v>798</v>
      </c>
    </row>
    <row r="735" spans="1:1" x14ac:dyDescent="0.25">
      <c r="A735" t="s">
        <v>799</v>
      </c>
    </row>
    <row r="736" spans="1:1" x14ac:dyDescent="0.25">
      <c r="A736" t="s">
        <v>800</v>
      </c>
    </row>
    <row r="737" spans="1:1" x14ac:dyDescent="0.25">
      <c r="A737" t="s">
        <v>801</v>
      </c>
    </row>
    <row r="738" spans="1:1" x14ac:dyDescent="0.25">
      <c r="A738" t="s">
        <v>802</v>
      </c>
    </row>
    <row r="739" spans="1:1" x14ac:dyDescent="0.25">
      <c r="A739" t="s">
        <v>803</v>
      </c>
    </row>
    <row r="740" spans="1:1" x14ac:dyDescent="0.25">
      <c r="A740" t="s">
        <v>804</v>
      </c>
    </row>
    <row r="741" spans="1:1" x14ac:dyDescent="0.25">
      <c r="A741" t="s">
        <v>805</v>
      </c>
    </row>
    <row r="742" spans="1:1" x14ac:dyDescent="0.25">
      <c r="A742" t="s">
        <v>806</v>
      </c>
    </row>
    <row r="743" spans="1:1" x14ac:dyDescent="0.25">
      <c r="A743" t="s">
        <v>807</v>
      </c>
    </row>
    <row r="744" spans="1:1" x14ac:dyDescent="0.25">
      <c r="A744" t="s">
        <v>808</v>
      </c>
    </row>
    <row r="745" spans="1:1" x14ac:dyDescent="0.25">
      <c r="A745" t="s">
        <v>809</v>
      </c>
    </row>
    <row r="746" spans="1:1" x14ac:dyDescent="0.25">
      <c r="A746" t="s">
        <v>810</v>
      </c>
    </row>
    <row r="747" spans="1:1" x14ac:dyDescent="0.25">
      <c r="A747" t="s">
        <v>811</v>
      </c>
    </row>
    <row r="748" spans="1:1" x14ac:dyDescent="0.25">
      <c r="A748" t="s">
        <v>812</v>
      </c>
    </row>
    <row r="749" spans="1:1" x14ac:dyDescent="0.25">
      <c r="A749" t="s">
        <v>813</v>
      </c>
    </row>
    <row r="750" spans="1:1" x14ac:dyDescent="0.25">
      <c r="A750" t="s">
        <v>814</v>
      </c>
    </row>
    <row r="751" spans="1:1" x14ac:dyDescent="0.25">
      <c r="A751" t="s">
        <v>815</v>
      </c>
    </row>
    <row r="752" spans="1:1" x14ac:dyDescent="0.25">
      <c r="A752" t="s">
        <v>816</v>
      </c>
    </row>
    <row r="753" spans="1:1" x14ac:dyDescent="0.25">
      <c r="A753" t="s">
        <v>817</v>
      </c>
    </row>
    <row r="754" spans="1:1" x14ac:dyDescent="0.25">
      <c r="A754" t="s">
        <v>818</v>
      </c>
    </row>
    <row r="755" spans="1:1" x14ac:dyDescent="0.25">
      <c r="A755" t="s">
        <v>819</v>
      </c>
    </row>
    <row r="756" spans="1:1" x14ac:dyDescent="0.25">
      <c r="A756" t="s">
        <v>820</v>
      </c>
    </row>
    <row r="757" spans="1:1" x14ac:dyDescent="0.25">
      <c r="A757" t="s">
        <v>821</v>
      </c>
    </row>
    <row r="758" spans="1:1" x14ac:dyDescent="0.25">
      <c r="A758" t="s">
        <v>822</v>
      </c>
    </row>
    <row r="759" spans="1:1" x14ac:dyDescent="0.25">
      <c r="A759" t="s">
        <v>823</v>
      </c>
    </row>
    <row r="760" spans="1:1" x14ac:dyDescent="0.25">
      <c r="A760" t="s">
        <v>824</v>
      </c>
    </row>
    <row r="761" spans="1:1" x14ac:dyDescent="0.25">
      <c r="A761" t="s">
        <v>825</v>
      </c>
    </row>
    <row r="762" spans="1:1" x14ac:dyDescent="0.25">
      <c r="A762" t="s">
        <v>826</v>
      </c>
    </row>
    <row r="763" spans="1:1" x14ac:dyDescent="0.25">
      <c r="A763" t="s">
        <v>827</v>
      </c>
    </row>
    <row r="764" spans="1:1" x14ac:dyDescent="0.25">
      <c r="A764" t="s">
        <v>828</v>
      </c>
    </row>
    <row r="765" spans="1:1" x14ac:dyDescent="0.25">
      <c r="A765" t="s">
        <v>829</v>
      </c>
    </row>
    <row r="766" spans="1:1" x14ac:dyDescent="0.25">
      <c r="A766" t="s">
        <v>830</v>
      </c>
    </row>
    <row r="767" spans="1:1" x14ac:dyDescent="0.25">
      <c r="A767" t="s">
        <v>831</v>
      </c>
    </row>
    <row r="768" spans="1:1" x14ac:dyDescent="0.25">
      <c r="A768" t="s">
        <v>832</v>
      </c>
    </row>
    <row r="769" spans="1:1" x14ac:dyDescent="0.25">
      <c r="A769" t="s">
        <v>833</v>
      </c>
    </row>
    <row r="770" spans="1:1" x14ac:dyDescent="0.25">
      <c r="A770" t="s">
        <v>834</v>
      </c>
    </row>
    <row r="771" spans="1:1" x14ac:dyDescent="0.25">
      <c r="A771" t="s">
        <v>835</v>
      </c>
    </row>
    <row r="772" spans="1:1" x14ac:dyDescent="0.25">
      <c r="A772" t="s">
        <v>836</v>
      </c>
    </row>
    <row r="773" spans="1:1" x14ac:dyDescent="0.25">
      <c r="A773" t="s">
        <v>837</v>
      </c>
    </row>
    <row r="774" spans="1:1" x14ac:dyDescent="0.25">
      <c r="A774" t="s">
        <v>838</v>
      </c>
    </row>
    <row r="775" spans="1:1" x14ac:dyDescent="0.25">
      <c r="A775" t="s">
        <v>839</v>
      </c>
    </row>
    <row r="776" spans="1:1" x14ac:dyDescent="0.25">
      <c r="A776" t="s">
        <v>840</v>
      </c>
    </row>
    <row r="777" spans="1:1" x14ac:dyDescent="0.25">
      <c r="A777" t="s">
        <v>841</v>
      </c>
    </row>
    <row r="778" spans="1:1" x14ac:dyDescent="0.25">
      <c r="A778" t="s">
        <v>842</v>
      </c>
    </row>
    <row r="779" spans="1:1" x14ac:dyDescent="0.25">
      <c r="A779" t="s">
        <v>843</v>
      </c>
    </row>
    <row r="780" spans="1:1" x14ac:dyDescent="0.25">
      <c r="A780" t="s">
        <v>844</v>
      </c>
    </row>
    <row r="781" spans="1:1" x14ac:dyDescent="0.25">
      <c r="A781" t="s">
        <v>845</v>
      </c>
    </row>
    <row r="782" spans="1:1" x14ac:dyDescent="0.25">
      <c r="A782" t="s">
        <v>846</v>
      </c>
    </row>
    <row r="783" spans="1:1" x14ac:dyDescent="0.25">
      <c r="A783" t="s">
        <v>847</v>
      </c>
    </row>
    <row r="784" spans="1:1" x14ac:dyDescent="0.25">
      <c r="A784" t="s">
        <v>848</v>
      </c>
    </row>
    <row r="785" spans="1:1" x14ac:dyDescent="0.25">
      <c r="A785" t="s">
        <v>849</v>
      </c>
    </row>
    <row r="786" spans="1:1" x14ac:dyDescent="0.25">
      <c r="A786" t="s">
        <v>850</v>
      </c>
    </row>
    <row r="787" spans="1:1" x14ac:dyDescent="0.25">
      <c r="A787" t="s">
        <v>851</v>
      </c>
    </row>
    <row r="788" spans="1:1" x14ac:dyDescent="0.25">
      <c r="A788" t="s">
        <v>852</v>
      </c>
    </row>
    <row r="789" spans="1:1" x14ac:dyDescent="0.25">
      <c r="A789" t="s">
        <v>853</v>
      </c>
    </row>
    <row r="790" spans="1:1" x14ac:dyDescent="0.25">
      <c r="A790" t="s">
        <v>854</v>
      </c>
    </row>
    <row r="791" spans="1:1" x14ac:dyDescent="0.25">
      <c r="A791" t="s">
        <v>855</v>
      </c>
    </row>
    <row r="792" spans="1:1" x14ac:dyDescent="0.25">
      <c r="A792" t="s">
        <v>856</v>
      </c>
    </row>
    <row r="793" spans="1:1" x14ac:dyDescent="0.25">
      <c r="A793" t="s">
        <v>857</v>
      </c>
    </row>
    <row r="794" spans="1:1" x14ac:dyDescent="0.25">
      <c r="A794" t="s">
        <v>858</v>
      </c>
    </row>
    <row r="795" spans="1:1" x14ac:dyDescent="0.25">
      <c r="A795" t="s">
        <v>859</v>
      </c>
    </row>
    <row r="796" spans="1:1" x14ac:dyDescent="0.25">
      <c r="A796" t="s">
        <v>860</v>
      </c>
    </row>
    <row r="797" spans="1:1" x14ac:dyDescent="0.25">
      <c r="A797" t="s">
        <v>861</v>
      </c>
    </row>
    <row r="798" spans="1:1" x14ac:dyDescent="0.25">
      <c r="A798" t="s">
        <v>862</v>
      </c>
    </row>
    <row r="799" spans="1:1" x14ac:dyDescent="0.25">
      <c r="A799" t="s">
        <v>863</v>
      </c>
    </row>
    <row r="800" spans="1:1" x14ac:dyDescent="0.25">
      <c r="A800" t="s">
        <v>864</v>
      </c>
    </row>
    <row r="801" spans="1:1" x14ac:dyDescent="0.25">
      <c r="A801" t="s">
        <v>865</v>
      </c>
    </row>
    <row r="802" spans="1:1" x14ac:dyDescent="0.25">
      <c r="A802" t="s">
        <v>866</v>
      </c>
    </row>
    <row r="803" spans="1:1" x14ac:dyDescent="0.25">
      <c r="A803" t="s">
        <v>867</v>
      </c>
    </row>
    <row r="804" spans="1:1" x14ac:dyDescent="0.25">
      <c r="A804" t="s">
        <v>868</v>
      </c>
    </row>
    <row r="805" spans="1:1" x14ac:dyDescent="0.25">
      <c r="A805" t="s">
        <v>869</v>
      </c>
    </row>
    <row r="806" spans="1:1" x14ac:dyDescent="0.25">
      <c r="A806" t="s">
        <v>870</v>
      </c>
    </row>
    <row r="807" spans="1:1" x14ac:dyDescent="0.25">
      <c r="A807" t="s">
        <v>871</v>
      </c>
    </row>
    <row r="808" spans="1:1" x14ac:dyDescent="0.25">
      <c r="A808" t="s">
        <v>872</v>
      </c>
    </row>
    <row r="809" spans="1:1" x14ac:dyDescent="0.25">
      <c r="A809" t="s">
        <v>873</v>
      </c>
    </row>
    <row r="810" spans="1:1" x14ac:dyDescent="0.25">
      <c r="A810" t="s">
        <v>874</v>
      </c>
    </row>
    <row r="811" spans="1:1" x14ac:dyDescent="0.25">
      <c r="A811" t="s">
        <v>875</v>
      </c>
    </row>
    <row r="812" spans="1:1" x14ac:dyDescent="0.25">
      <c r="A812" t="s">
        <v>876</v>
      </c>
    </row>
    <row r="813" spans="1:1" x14ac:dyDescent="0.25">
      <c r="A813" t="s">
        <v>877</v>
      </c>
    </row>
    <row r="814" spans="1:1" x14ac:dyDescent="0.25">
      <c r="A814" t="s">
        <v>878</v>
      </c>
    </row>
    <row r="815" spans="1:1" x14ac:dyDescent="0.25">
      <c r="A815" t="s">
        <v>879</v>
      </c>
    </row>
    <row r="816" spans="1:1" x14ac:dyDescent="0.25">
      <c r="A816" t="s">
        <v>880</v>
      </c>
    </row>
    <row r="817" spans="1:1" x14ac:dyDescent="0.25">
      <c r="A817" t="s">
        <v>881</v>
      </c>
    </row>
    <row r="818" spans="1:1" x14ac:dyDescent="0.25">
      <c r="A818" t="s">
        <v>882</v>
      </c>
    </row>
    <row r="819" spans="1:1" x14ac:dyDescent="0.25">
      <c r="A819" t="s">
        <v>883</v>
      </c>
    </row>
    <row r="820" spans="1:1" x14ac:dyDescent="0.25">
      <c r="A820" t="s">
        <v>884</v>
      </c>
    </row>
    <row r="821" spans="1:1" x14ac:dyDescent="0.25">
      <c r="A821" t="s">
        <v>885</v>
      </c>
    </row>
    <row r="822" spans="1:1" x14ac:dyDescent="0.25">
      <c r="A822" t="s">
        <v>886</v>
      </c>
    </row>
    <row r="823" spans="1:1" x14ac:dyDescent="0.25">
      <c r="A823" t="s">
        <v>887</v>
      </c>
    </row>
    <row r="824" spans="1:1" x14ac:dyDescent="0.25">
      <c r="A824" t="s">
        <v>888</v>
      </c>
    </row>
    <row r="825" spans="1:1" x14ac:dyDescent="0.25">
      <c r="A825" t="s">
        <v>889</v>
      </c>
    </row>
    <row r="826" spans="1:1" x14ac:dyDescent="0.25">
      <c r="A826" t="s">
        <v>890</v>
      </c>
    </row>
    <row r="827" spans="1:1" x14ac:dyDescent="0.25">
      <c r="A827" t="s">
        <v>891</v>
      </c>
    </row>
    <row r="828" spans="1:1" x14ac:dyDescent="0.25">
      <c r="A828" t="s">
        <v>892</v>
      </c>
    </row>
    <row r="829" spans="1:1" x14ac:dyDescent="0.25">
      <c r="A829" t="s">
        <v>893</v>
      </c>
    </row>
    <row r="830" spans="1:1" x14ac:dyDescent="0.25">
      <c r="A830" t="s">
        <v>894</v>
      </c>
    </row>
    <row r="831" spans="1:1" x14ac:dyDescent="0.25">
      <c r="A831" t="s">
        <v>895</v>
      </c>
    </row>
    <row r="832" spans="1:1" x14ac:dyDescent="0.25">
      <c r="A832" t="s">
        <v>896</v>
      </c>
    </row>
    <row r="833" spans="1:1" x14ac:dyDescent="0.25">
      <c r="A833" t="s">
        <v>897</v>
      </c>
    </row>
    <row r="834" spans="1:1" x14ac:dyDescent="0.25">
      <c r="A834" t="s">
        <v>898</v>
      </c>
    </row>
    <row r="835" spans="1:1" x14ac:dyDescent="0.25">
      <c r="A835" t="s">
        <v>899</v>
      </c>
    </row>
    <row r="836" spans="1:1" x14ac:dyDescent="0.25">
      <c r="A836" t="s">
        <v>900</v>
      </c>
    </row>
    <row r="837" spans="1:1" x14ac:dyDescent="0.25">
      <c r="A837" t="s">
        <v>901</v>
      </c>
    </row>
    <row r="838" spans="1:1" x14ac:dyDescent="0.25">
      <c r="A838" t="s">
        <v>902</v>
      </c>
    </row>
    <row r="839" spans="1:1" x14ac:dyDescent="0.25">
      <c r="A839" t="s">
        <v>903</v>
      </c>
    </row>
    <row r="840" spans="1:1" x14ac:dyDescent="0.25">
      <c r="A840" t="s">
        <v>904</v>
      </c>
    </row>
    <row r="841" spans="1:1" x14ac:dyDescent="0.25">
      <c r="A841" t="s">
        <v>905</v>
      </c>
    </row>
    <row r="842" spans="1:1" x14ac:dyDescent="0.25">
      <c r="A842" t="s">
        <v>906</v>
      </c>
    </row>
    <row r="843" spans="1:1" x14ac:dyDescent="0.25">
      <c r="A843" t="s">
        <v>907</v>
      </c>
    </row>
    <row r="844" spans="1:1" x14ac:dyDescent="0.25">
      <c r="A844" t="s">
        <v>908</v>
      </c>
    </row>
    <row r="845" spans="1:1" x14ac:dyDescent="0.25">
      <c r="A845" t="s">
        <v>909</v>
      </c>
    </row>
    <row r="846" spans="1:1" x14ac:dyDescent="0.25">
      <c r="A846" t="s">
        <v>910</v>
      </c>
    </row>
    <row r="847" spans="1:1" x14ac:dyDescent="0.25">
      <c r="A847" t="s">
        <v>911</v>
      </c>
    </row>
    <row r="848" spans="1:1" x14ac:dyDescent="0.25">
      <c r="A848" t="s">
        <v>912</v>
      </c>
    </row>
    <row r="849" spans="1:1" x14ac:dyDescent="0.25">
      <c r="A849" t="s">
        <v>913</v>
      </c>
    </row>
    <row r="850" spans="1:1" x14ac:dyDescent="0.25">
      <c r="A850" t="s">
        <v>914</v>
      </c>
    </row>
    <row r="851" spans="1:1" x14ac:dyDescent="0.25">
      <c r="A851" t="s">
        <v>915</v>
      </c>
    </row>
    <row r="852" spans="1:1" x14ac:dyDescent="0.25">
      <c r="A852" t="s">
        <v>916</v>
      </c>
    </row>
    <row r="853" spans="1:1" x14ac:dyDescent="0.25">
      <c r="A853" t="s">
        <v>917</v>
      </c>
    </row>
    <row r="854" spans="1:1" x14ac:dyDescent="0.25">
      <c r="A854" t="s">
        <v>918</v>
      </c>
    </row>
    <row r="855" spans="1:1" x14ac:dyDescent="0.25">
      <c r="A855" t="s">
        <v>919</v>
      </c>
    </row>
    <row r="856" spans="1:1" x14ac:dyDescent="0.25">
      <c r="A856" t="s">
        <v>920</v>
      </c>
    </row>
    <row r="857" spans="1:1" x14ac:dyDescent="0.25">
      <c r="A857" t="s">
        <v>921</v>
      </c>
    </row>
    <row r="858" spans="1:1" x14ac:dyDescent="0.25">
      <c r="A858" t="s">
        <v>922</v>
      </c>
    </row>
    <row r="859" spans="1:1" x14ac:dyDescent="0.25">
      <c r="A859" t="s">
        <v>923</v>
      </c>
    </row>
    <row r="860" spans="1:1" x14ac:dyDescent="0.25">
      <c r="A860" t="s">
        <v>924</v>
      </c>
    </row>
    <row r="861" spans="1:1" x14ac:dyDescent="0.25">
      <c r="A861" t="s">
        <v>925</v>
      </c>
    </row>
    <row r="862" spans="1:1" x14ac:dyDescent="0.25">
      <c r="A862" t="s">
        <v>926</v>
      </c>
    </row>
    <row r="863" spans="1:1" x14ac:dyDescent="0.25">
      <c r="A863" t="s">
        <v>927</v>
      </c>
    </row>
    <row r="864" spans="1:1" x14ac:dyDescent="0.25">
      <c r="A864" t="s">
        <v>928</v>
      </c>
    </row>
    <row r="865" spans="1:1" x14ac:dyDescent="0.25">
      <c r="A865" t="s">
        <v>929</v>
      </c>
    </row>
    <row r="866" spans="1:1" x14ac:dyDescent="0.25">
      <c r="A866" t="s">
        <v>930</v>
      </c>
    </row>
    <row r="867" spans="1:1" x14ac:dyDescent="0.25">
      <c r="A867" t="s">
        <v>931</v>
      </c>
    </row>
    <row r="868" spans="1:1" x14ac:dyDescent="0.25">
      <c r="A868" t="s">
        <v>932</v>
      </c>
    </row>
    <row r="869" spans="1:1" x14ac:dyDescent="0.25">
      <c r="A869" t="s">
        <v>933</v>
      </c>
    </row>
    <row r="870" spans="1:1" x14ac:dyDescent="0.25">
      <c r="A870" t="s">
        <v>934</v>
      </c>
    </row>
    <row r="871" spans="1:1" x14ac:dyDescent="0.25">
      <c r="A871" t="s">
        <v>935</v>
      </c>
    </row>
    <row r="872" spans="1:1" x14ac:dyDescent="0.25">
      <c r="A872" t="s">
        <v>936</v>
      </c>
    </row>
    <row r="873" spans="1:1" x14ac:dyDescent="0.25">
      <c r="A873" t="s">
        <v>937</v>
      </c>
    </row>
    <row r="874" spans="1:1" x14ac:dyDescent="0.25">
      <c r="A874" t="s">
        <v>938</v>
      </c>
    </row>
    <row r="875" spans="1:1" x14ac:dyDescent="0.25">
      <c r="A875" t="s">
        <v>939</v>
      </c>
    </row>
    <row r="876" spans="1:1" x14ac:dyDescent="0.25">
      <c r="A876" t="s">
        <v>940</v>
      </c>
    </row>
    <row r="877" spans="1:1" x14ac:dyDescent="0.25">
      <c r="A877" t="s">
        <v>941</v>
      </c>
    </row>
    <row r="878" spans="1:1" x14ac:dyDescent="0.25">
      <c r="A878" t="s">
        <v>942</v>
      </c>
    </row>
    <row r="879" spans="1:1" x14ac:dyDescent="0.25">
      <c r="A879" t="s">
        <v>943</v>
      </c>
    </row>
    <row r="880" spans="1:1" x14ac:dyDescent="0.25">
      <c r="A880" t="s">
        <v>944</v>
      </c>
    </row>
    <row r="881" spans="1:1" x14ac:dyDescent="0.25">
      <c r="A881" t="s">
        <v>945</v>
      </c>
    </row>
    <row r="882" spans="1:1" x14ac:dyDescent="0.25">
      <c r="A882" t="s">
        <v>946</v>
      </c>
    </row>
    <row r="883" spans="1:1" x14ac:dyDescent="0.25">
      <c r="A883" t="s">
        <v>947</v>
      </c>
    </row>
    <row r="884" spans="1:1" x14ac:dyDescent="0.25">
      <c r="A884" t="s">
        <v>948</v>
      </c>
    </row>
    <row r="885" spans="1:1" x14ac:dyDescent="0.25">
      <c r="A885" t="s">
        <v>949</v>
      </c>
    </row>
    <row r="886" spans="1:1" x14ac:dyDescent="0.25">
      <c r="A886" t="s">
        <v>950</v>
      </c>
    </row>
    <row r="887" spans="1:1" x14ac:dyDescent="0.25">
      <c r="A887" t="s">
        <v>951</v>
      </c>
    </row>
    <row r="888" spans="1:1" x14ac:dyDescent="0.25">
      <c r="A888" t="s">
        <v>952</v>
      </c>
    </row>
    <row r="889" spans="1:1" x14ac:dyDescent="0.25">
      <c r="A889" t="s">
        <v>953</v>
      </c>
    </row>
    <row r="890" spans="1:1" x14ac:dyDescent="0.25">
      <c r="A890" t="s">
        <v>954</v>
      </c>
    </row>
    <row r="891" spans="1:1" x14ac:dyDescent="0.25">
      <c r="A891" t="s">
        <v>955</v>
      </c>
    </row>
    <row r="892" spans="1:1" x14ac:dyDescent="0.25">
      <c r="A892" t="s">
        <v>956</v>
      </c>
    </row>
    <row r="893" spans="1:1" x14ac:dyDescent="0.25">
      <c r="A893" t="s">
        <v>957</v>
      </c>
    </row>
    <row r="894" spans="1:1" x14ac:dyDescent="0.25">
      <c r="A894" t="s">
        <v>958</v>
      </c>
    </row>
    <row r="895" spans="1:1" x14ac:dyDescent="0.25">
      <c r="A895" t="s">
        <v>959</v>
      </c>
    </row>
    <row r="896" spans="1:1" x14ac:dyDescent="0.25">
      <c r="A896" t="s">
        <v>960</v>
      </c>
    </row>
    <row r="897" spans="1:1" x14ac:dyDescent="0.25">
      <c r="A897" t="s">
        <v>961</v>
      </c>
    </row>
    <row r="898" spans="1:1" x14ac:dyDescent="0.25">
      <c r="A898" t="s">
        <v>962</v>
      </c>
    </row>
    <row r="899" spans="1:1" x14ac:dyDescent="0.25">
      <c r="A899" t="s">
        <v>963</v>
      </c>
    </row>
    <row r="900" spans="1:1" x14ac:dyDescent="0.25">
      <c r="A900" t="s">
        <v>964</v>
      </c>
    </row>
    <row r="901" spans="1:1" x14ac:dyDescent="0.25">
      <c r="A901" t="s">
        <v>965</v>
      </c>
    </row>
    <row r="902" spans="1:1" x14ac:dyDescent="0.25">
      <c r="A902" t="s">
        <v>966</v>
      </c>
    </row>
    <row r="903" spans="1:1" x14ac:dyDescent="0.25">
      <c r="A903" t="s">
        <v>967</v>
      </c>
    </row>
    <row r="904" spans="1:1" x14ac:dyDescent="0.25">
      <c r="A904" t="s">
        <v>968</v>
      </c>
    </row>
    <row r="905" spans="1:1" x14ac:dyDescent="0.25">
      <c r="A905" t="s">
        <v>969</v>
      </c>
    </row>
    <row r="906" spans="1:1" x14ac:dyDescent="0.25">
      <c r="A906" t="s">
        <v>970</v>
      </c>
    </row>
    <row r="907" spans="1:1" x14ac:dyDescent="0.25">
      <c r="A907" t="s">
        <v>971</v>
      </c>
    </row>
    <row r="908" spans="1:1" x14ac:dyDescent="0.25">
      <c r="A908" t="s">
        <v>972</v>
      </c>
    </row>
    <row r="909" spans="1:1" x14ac:dyDescent="0.25">
      <c r="A909" t="s">
        <v>973</v>
      </c>
    </row>
    <row r="910" spans="1:1" x14ac:dyDescent="0.25">
      <c r="A910" t="s">
        <v>974</v>
      </c>
    </row>
    <row r="911" spans="1:1" x14ac:dyDescent="0.25">
      <c r="A911" t="s">
        <v>975</v>
      </c>
    </row>
    <row r="912" spans="1:1" x14ac:dyDescent="0.25">
      <c r="A912" t="s">
        <v>976</v>
      </c>
    </row>
    <row r="913" spans="1:1" x14ac:dyDescent="0.25">
      <c r="A913" t="s">
        <v>977</v>
      </c>
    </row>
    <row r="914" spans="1:1" x14ac:dyDescent="0.25">
      <c r="A914" t="s">
        <v>978</v>
      </c>
    </row>
    <row r="915" spans="1:1" x14ac:dyDescent="0.25">
      <c r="A915" t="s">
        <v>979</v>
      </c>
    </row>
    <row r="916" spans="1:1" x14ac:dyDescent="0.25">
      <c r="A916" t="s">
        <v>980</v>
      </c>
    </row>
    <row r="917" spans="1:1" x14ac:dyDescent="0.25">
      <c r="A917" t="s">
        <v>981</v>
      </c>
    </row>
    <row r="918" spans="1:1" x14ac:dyDescent="0.25">
      <c r="A918" t="s">
        <v>982</v>
      </c>
    </row>
    <row r="919" spans="1:1" x14ac:dyDescent="0.25">
      <c r="A919" t="s">
        <v>983</v>
      </c>
    </row>
    <row r="920" spans="1:1" x14ac:dyDescent="0.25">
      <c r="A920" t="s">
        <v>984</v>
      </c>
    </row>
    <row r="921" spans="1:1" x14ac:dyDescent="0.25">
      <c r="A921" t="s">
        <v>985</v>
      </c>
    </row>
    <row r="922" spans="1:1" x14ac:dyDescent="0.25">
      <c r="A922" t="s">
        <v>986</v>
      </c>
    </row>
    <row r="923" spans="1:1" x14ac:dyDescent="0.25">
      <c r="A923" t="s">
        <v>987</v>
      </c>
    </row>
    <row r="924" spans="1:1" x14ac:dyDescent="0.25">
      <c r="A924" t="s">
        <v>988</v>
      </c>
    </row>
    <row r="925" spans="1:1" x14ac:dyDescent="0.25">
      <c r="A925" t="s">
        <v>989</v>
      </c>
    </row>
    <row r="926" spans="1:1" x14ac:dyDescent="0.25">
      <c r="A926" t="s">
        <v>990</v>
      </c>
    </row>
    <row r="927" spans="1:1" x14ac:dyDescent="0.25">
      <c r="A927" t="s">
        <v>991</v>
      </c>
    </row>
    <row r="928" spans="1:1" x14ac:dyDescent="0.25">
      <c r="A928" t="s">
        <v>992</v>
      </c>
    </row>
    <row r="929" spans="1:1" x14ac:dyDescent="0.25">
      <c r="A929" t="s">
        <v>993</v>
      </c>
    </row>
    <row r="930" spans="1:1" x14ac:dyDescent="0.25">
      <c r="A930" t="s">
        <v>994</v>
      </c>
    </row>
    <row r="931" spans="1:1" x14ac:dyDescent="0.25">
      <c r="A931" t="s">
        <v>995</v>
      </c>
    </row>
    <row r="932" spans="1:1" x14ac:dyDescent="0.25">
      <c r="A932" t="s">
        <v>996</v>
      </c>
    </row>
    <row r="933" spans="1:1" x14ac:dyDescent="0.25">
      <c r="A933" t="s">
        <v>997</v>
      </c>
    </row>
    <row r="934" spans="1:1" x14ac:dyDescent="0.25">
      <c r="A934" t="s">
        <v>998</v>
      </c>
    </row>
    <row r="935" spans="1:1" x14ac:dyDescent="0.25">
      <c r="A935" t="s">
        <v>999</v>
      </c>
    </row>
    <row r="936" spans="1:1" x14ac:dyDescent="0.25">
      <c r="A936" t="s">
        <v>1000</v>
      </c>
    </row>
    <row r="937" spans="1:1" x14ac:dyDescent="0.25">
      <c r="A937" t="s">
        <v>1001</v>
      </c>
    </row>
    <row r="938" spans="1:1" x14ac:dyDescent="0.25">
      <c r="A938" t="s">
        <v>1002</v>
      </c>
    </row>
    <row r="939" spans="1:1" x14ac:dyDescent="0.25">
      <c r="A939" t="s">
        <v>1003</v>
      </c>
    </row>
    <row r="940" spans="1:1" x14ac:dyDescent="0.25">
      <c r="A940" t="s">
        <v>1004</v>
      </c>
    </row>
    <row r="941" spans="1:1" x14ac:dyDescent="0.25">
      <c r="A941" t="s">
        <v>1005</v>
      </c>
    </row>
    <row r="942" spans="1:1" x14ac:dyDescent="0.25">
      <c r="A942" t="s">
        <v>1006</v>
      </c>
    </row>
    <row r="943" spans="1:1" x14ac:dyDescent="0.25">
      <c r="A943" t="s">
        <v>1007</v>
      </c>
    </row>
    <row r="944" spans="1:1" x14ac:dyDescent="0.25">
      <c r="A944" t="s">
        <v>1008</v>
      </c>
    </row>
    <row r="945" spans="1:1" x14ac:dyDescent="0.25">
      <c r="A945" t="s">
        <v>1009</v>
      </c>
    </row>
    <row r="946" spans="1:1" x14ac:dyDescent="0.25">
      <c r="A946" t="s">
        <v>1010</v>
      </c>
    </row>
    <row r="947" spans="1:1" x14ac:dyDescent="0.25">
      <c r="A947" t="s">
        <v>1011</v>
      </c>
    </row>
    <row r="948" spans="1:1" x14ac:dyDescent="0.25">
      <c r="A948" t="s">
        <v>1012</v>
      </c>
    </row>
    <row r="949" spans="1:1" x14ac:dyDescent="0.25">
      <c r="A949" t="s">
        <v>1013</v>
      </c>
    </row>
    <row r="950" spans="1:1" x14ac:dyDescent="0.25">
      <c r="A950" t="s">
        <v>1014</v>
      </c>
    </row>
    <row r="951" spans="1:1" x14ac:dyDescent="0.25">
      <c r="A951" t="s">
        <v>1015</v>
      </c>
    </row>
    <row r="952" spans="1:1" x14ac:dyDescent="0.25">
      <c r="A952" t="s">
        <v>1016</v>
      </c>
    </row>
    <row r="953" spans="1:1" x14ac:dyDescent="0.25">
      <c r="A953" t="s">
        <v>1017</v>
      </c>
    </row>
    <row r="954" spans="1:1" x14ac:dyDescent="0.25">
      <c r="A954" t="s">
        <v>1018</v>
      </c>
    </row>
    <row r="955" spans="1:1" x14ac:dyDescent="0.25">
      <c r="A955" t="s">
        <v>1019</v>
      </c>
    </row>
    <row r="956" spans="1:1" x14ac:dyDescent="0.25">
      <c r="A956" t="s">
        <v>1020</v>
      </c>
    </row>
    <row r="957" spans="1:1" x14ac:dyDescent="0.25">
      <c r="A957" t="s">
        <v>1021</v>
      </c>
    </row>
    <row r="958" spans="1:1" x14ac:dyDescent="0.25">
      <c r="A958" t="s">
        <v>1022</v>
      </c>
    </row>
    <row r="959" spans="1:1" x14ac:dyDescent="0.25">
      <c r="A959" t="s">
        <v>1023</v>
      </c>
    </row>
    <row r="960" spans="1:1" x14ac:dyDescent="0.25">
      <c r="A960" t="s">
        <v>1024</v>
      </c>
    </row>
    <row r="961" spans="1:1" x14ac:dyDescent="0.25">
      <c r="A961" t="s">
        <v>1025</v>
      </c>
    </row>
    <row r="962" spans="1:1" x14ac:dyDescent="0.25">
      <c r="A962" t="s">
        <v>1026</v>
      </c>
    </row>
    <row r="963" spans="1:1" x14ac:dyDescent="0.25">
      <c r="A963" t="s">
        <v>1027</v>
      </c>
    </row>
    <row r="964" spans="1:1" x14ac:dyDescent="0.25">
      <c r="A964" t="s">
        <v>1028</v>
      </c>
    </row>
    <row r="965" spans="1:1" x14ac:dyDescent="0.25">
      <c r="A965" t="s">
        <v>1029</v>
      </c>
    </row>
    <row r="966" spans="1:1" x14ac:dyDescent="0.25">
      <c r="A966" t="s">
        <v>1030</v>
      </c>
    </row>
    <row r="967" spans="1:1" x14ac:dyDescent="0.25">
      <c r="A967" t="s">
        <v>1031</v>
      </c>
    </row>
    <row r="968" spans="1:1" x14ac:dyDescent="0.25">
      <c r="A968" t="s">
        <v>1032</v>
      </c>
    </row>
    <row r="969" spans="1:1" x14ac:dyDescent="0.25">
      <c r="A969" t="s">
        <v>1033</v>
      </c>
    </row>
    <row r="970" spans="1:1" x14ac:dyDescent="0.25">
      <c r="A970" t="s">
        <v>1034</v>
      </c>
    </row>
    <row r="971" spans="1:1" x14ac:dyDescent="0.25">
      <c r="A971" t="s">
        <v>1035</v>
      </c>
    </row>
    <row r="972" spans="1:1" x14ac:dyDescent="0.25">
      <c r="A972" t="s">
        <v>1036</v>
      </c>
    </row>
    <row r="973" spans="1:1" x14ac:dyDescent="0.25">
      <c r="A973" t="s">
        <v>1037</v>
      </c>
    </row>
    <row r="974" spans="1:1" x14ac:dyDescent="0.25">
      <c r="A974" t="s">
        <v>1038</v>
      </c>
    </row>
    <row r="975" spans="1:1" x14ac:dyDescent="0.25">
      <c r="A975" t="s">
        <v>1039</v>
      </c>
    </row>
    <row r="976" spans="1:1" x14ac:dyDescent="0.25">
      <c r="A976" t="s">
        <v>1040</v>
      </c>
    </row>
    <row r="977" spans="1:1" x14ac:dyDescent="0.25">
      <c r="A977" t="s">
        <v>1041</v>
      </c>
    </row>
    <row r="978" spans="1:1" x14ac:dyDescent="0.25">
      <c r="A978" t="s">
        <v>1042</v>
      </c>
    </row>
    <row r="979" spans="1:1" x14ac:dyDescent="0.25">
      <c r="A979" t="s">
        <v>1043</v>
      </c>
    </row>
    <row r="980" spans="1:1" x14ac:dyDescent="0.25">
      <c r="A980" t="s">
        <v>1044</v>
      </c>
    </row>
    <row r="981" spans="1:1" x14ac:dyDescent="0.25">
      <c r="A981" t="s">
        <v>1045</v>
      </c>
    </row>
    <row r="982" spans="1:1" x14ac:dyDescent="0.25">
      <c r="A982" t="s">
        <v>1046</v>
      </c>
    </row>
    <row r="983" spans="1:1" x14ac:dyDescent="0.25">
      <c r="A983" t="s">
        <v>1047</v>
      </c>
    </row>
    <row r="984" spans="1:1" x14ac:dyDescent="0.25">
      <c r="A984" t="s">
        <v>1048</v>
      </c>
    </row>
    <row r="985" spans="1:1" x14ac:dyDescent="0.25">
      <c r="A985" t="s">
        <v>1049</v>
      </c>
    </row>
    <row r="986" spans="1:1" x14ac:dyDescent="0.25">
      <c r="A986" t="s">
        <v>1050</v>
      </c>
    </row>
    <row r="987" spans="1:1" x14ac:dyDescent="0.25">
      <c r="A987" t="s">
        <v>1051</v>
      </c>
    </row>
    <row r="988" spans="1:1" x14ac:dyDescent="0.25">
      <c r="A988" t="s">
        <v>1052</v>
      </c>
    </row>
    <row r="989" spans="1:1" x14ac:dyDescent="0.25">
      <c r="A989" t="s">
        <v>1053</v>
      </c>
    </row>
    <row r="990" spans="1:1" x14ac:dyDescent="0.25">
      <c r="A990" t="s">
        <v>1054</v>
      </c>
    </row>
    <row r="991" spans="1:1" x14ac:dyDescent="0.25">
      <c r="A991" t="s">
        <v>1055</v>
      </c>
    </row>
    <row r="992" spans="1:1" x14ac:dyDescent="0.25">
      <c r="A992" t="s">
        <v>1056</v>
      </c>
    </row>
    <row r="993" spans="1:1" x14ac:dyDescent="0.25">
      <c r="A993" t="s">
        <v>1057</v>
      </c>
    </row>
    <row r="994" spans="1:1" x14ac:dyDescent="0.25">
      <c r="A994" t="s">
        <v>1058</v>
      </c>
    </row>
    <row r="995" spans="1:1" x14ac:dyDescent="0.25">
      <c r="A995" t="s">
        <v>1059</v>
      </c>
    </row>
    <row r="996" spans="1:1" x14ac:dyDescent="0.25">
      <c r="A996" t="s">
        <v>1060</v>
      </c>
    </row>
    <row r="997" spans="1:1" x14ac:dyDescent="0.25">
      <c r="A997" t="s">
        <v>1061</v>
      </c>
    </row>
    <row r="998" spans="1:1" x14ac:dyDescent="0.25">
      <c r="A998" t="s">
        <v>1062</v>
      </c>
    </row>
    <row r="999" spans="1:1" x14ac:dyDescent="0.25">
      <c r="A999" t="s">
        <v>1063</v>
      </c>
    </row>
    <row r="1000" spans="1:1" x14ac:dyDescent="0.25">
      <c r="A1000" t="s">
        <v>1064</v>
      </c>
    </row>
    <row r="1001" spans="1:1" x14ac:dyDescent="0.25">
      <c r="A1001" t="s">
        <v>1065</v>
      </c>
    </row>
    <row r="1002" spans="1:1" x14ac:dyDescent="0.25">
      <c r="A1002" t="s">
        <v>1066</v>
      </c>
    </row>
    <row r="1003" spans="1:1" x14ac:dyDescent="0.25">
      <c r="A1003" t="s">
        <v>1067</v>
      </c>
    </row>
    <row r="1004" spans="1:1" x14ac:dyDescent="0.25">
      <c r="A1004" t="s">
        <v>1068</v>
      </c>
    </row>
    <row r="1005" spans="1:1" x14ac:dyDescent="0.25">
      <c r="A1005" t="s">
        <v>1069</v>
      </c>
    </row>
    <row r="1006" spans="1:1" x14ac:dyDescent="0.25">
      <c r="A1006" t="s">
        <v>1070</v>
      </c>
    </row>
    <row r="1007" spans="1:1" x14ac:dyDescent="0.25">
      <c r="A1007" t="s">
        <v>1071</v>
      </c>
    </row>
    <row r="1008" spans="1:1" x14ac:dyDescent="0.25">
      <c r="A1008" t="s">
        <v>1072</v>
      </c>
    </row>
    <row r="1009" spans="1:1" x14ac:dyDescent="0.25">
      <c r="A1009" t="s">
        <v>1073</v>
      </c>
    </row>
    <row r="1010" spans="1:1" x14ac:dyDescent="0.25">
      <c r="A1010" t="s">
        <v>1074</v>
      </c>
    </row>
    <row r="1011" spans="1:1" x14ac:dyDescent="0.25">
      <c r="A1011" t="s">
        <v>1075</v>
      </c>
    </row>
    <row r="1012" spans="1:1" x14ac:dyDescent="0.25">
      <c r="A1012" t="s">
        <v>1076</v>
      </c>
    </row>
    <row r="1013" spans="1:1" x14ac:dyDescent="0.25">
      <c r="A1013" t="s">
        <v>1077</v>
      </c>
    </row>
    <row r="1014" spans="1:1" x14ac:dyDescent="0.25">
      <c r="A1014" t="s">
        <v>1078</v>
      </c>
    </row>
    <row r="1015" spans="1:1" x14ac:dyDescent="0.25">
      <c r="A1015" t="s">
        <v>1079</v>
      </c>
    </row>
    <row r="1016" spans="1:1" x14ac:dyDescent="0.25">
      <c r="A1016" t="s">
        <v>1080</v>
      </c>
    </row>
    <row r="1017" spans="1:1" x14ac:dyDescent="0.25">
      <c r="A1017" t="s">
        <v>1081</v>
      </c>
    </row>
    <row r="1018" spans="1:1" x14ac:dyDescent="0.25">
      <c r="A1018" t="s">
        <v>1082</v>
      </c>
    </row>
    <row r="1019" spans="1:1" x14ac:dyDescent="0.25">
      <c r="A1019" t="s">
        <v>1083</v>
      </c>
    </row>
    <row r="1020" spans="1:1" x14ac:dyDescent="0.25">
      <c r="A1020" t="s">
        <v>1084</v>
      </c>
    </row>
    <row r="1021" spans="1:1" x14ac:dyDescent="0.25">
      <c r="A1021" t="s">
        <v>1085</v>
      </c>
    </row>
    <row r="1022" spans="1:1" x14ac:dyDescent="0.25">
      <c r="A1022" t="s">
        <v>1086</v>
      </c>
    </row>
    <row r="1023" spans="1:1" x14ac:dyDescent="0.25">
      <c r="A1023" t="s">
        <v>1087</v>
      </c>
    </row>
    <row r="1024" spans="1:1" x14ac:dyDescent="0.25">
      <c r="A1024" t="s">
        <v>1088</v>
      </c>
    </row>
    <row r="1025" spans="1:1" x14ac:dyDescent="0.25">
      <c r="A1025" t="s">
        <v>1089</v>
      </c>
    </row>
    <row r="1026" spans="1:1" x14ac:dyDescent="0.25">
      <c r="A1026" t="s">
        <v>1090</v>
      </c>
    </row>
    <row r="1027" spans="1:1" x14ac:dyDescent="0.25">
      <c r="A1027" t="s">
        <v>1091</v>
      </c>
    </row>
    <row r="1028" spans="1:1" x14ac:dyDescent="0.25">
      <c r="A1028" t="s">
        <v>1092</v>
      </c>
    </row>
    <row r="1029" spans="1:1" x14ac:dyDescent="0.25">
      <c r="A1029" t="s">
        <v>1093</v>
      </c>
    </row>
    <row r="1030" spans="1:1" x14ac:dyDescent="0.25">
      <c r="A1030" t="s">
        <v>1094</v>
      </c>
    </row>
    <row r="1031" spans="1:1" x14ac:dyDescent="0.25">
      <c r="A1031" t="s">
        <v>1095</v>
      </c>
    </row>
    <row r="1032" spans="1:1" x14ac:dyDescent="0.25">
      <c r="A1032" t="s">
        <v>1096</v>
      </c>
    </row>
    <row r="1033" spans="1:1" x14ac:dyDescent="0.25">
      <c r="A1033" t="s">
        <v>1097</v>
      </c>
    </row>
    <row r="1034" spans="1:1" x14ac:dyDescent="0.25">
      <c r="A1034" t="s">
        <v>1098</v>
      </c>
    </row>
    <row r="1035" spans="1:1" x14ac:dyDescent="0.25">
      <c r="A1035" t="s">
        <v>1099</v>
      </c>
    </row>
    <row r="1036" spans="1:1" x14ac:dyDescent="0.25">
      <c r="A1036" t="s">
        <v>1100</v>
      </c>
    </row>
    <row r="1037" spans="1:1" x14ac:dyDescent="0.25">
      <c r="A1037" t="s">
        <v>1101</v>
      </c>
    </row>
    <row r="1038" spans="1:1" x14ac:dyDescent="0.25">
      <c r="A1038" t="s">
        <v>1102</v>
      </c>
    </row>
    <row r="1039" spans="1:1" x14ac:dyDescent="0.25">
      <c r="A1039" t="s">
        <v>1103</v>
      </c>
    </row>
    <row r="1040" spans="1:1" x14ac:dyDescent="0.25">
      <c r="A1040" t="s">
        <v>1104</v>
      </c>
    </row>
    <row r="1041" spans="1:1" x14ac:dyDescent="0.25">
      <c r="A1041" t="s">
        <v>1105</v>
      </c>
    </row>
    <row r="1042" spans="1:1" x14ac:dyDescent="0.25">
      <c r="A1042" t="s">
        <v>1106</v>
      </c>
    </row>
    <row r="1043" spans="1:1" x14ac:dyDescent="0.25">
      <c r="A1043" t="s">
        <v>1107</v>
      </c>
    </row>
    <row r="1044" spans="1:1" x14ac:dyDescent="0.25">
      <c r="A1044" t="s">
        <v>1108</v>
      </c>
    </row>
    <row r="1045" spans="1:1" x14ac:dyDescent="0.25">
      <c r="A1045" t="s">
        <v>1109</v>
      </c>
    </row>
    <row r="1046" spans="1:1" x14ac:dyDescent="0.25">
      <c r="A1046" t="s">
        <v>1110</v>
      </c>
    </row>
    <row r="1047" spans="1:1" x14ac:dyDescent="0.25">
      <c r="A1047" t="s">
        <v>1111</v>
      </c>
    </row>
    <row r="1048" spans="1:1" x14ac:dyDescent="0.25">
      <c r="A1048" t="s">
        <v>1112</v>
      </c>
    </row>
    <row r="1049" spans="1:1" x14ac:dyDescent="0.25">
      <c r="A1049" t="s">
        <v>1113</v>
      </c>
    </row>
    <row r="1050" spans="1:1" x14ac:dyDescent="0.25">
      <c r="A1050" t="s">
        <v>1114</v>
      </c>
    </row>
    <row r="1051" spans="1:1" x14ac:dyDescent="0.25">
      <c r="A1051" t="s">
        <v>1115</v>
      </c>
    </row>
    <row r="1052" spans="1:1" x14ac:dyDescent="0.25">
      <c r="A1052" t="s">
        <v>1116</v>
      </c>
    </row>
    <row r="1053" spans="1:1" x14ac:dyDescent="0.25">
      <c r="A1053" t="s">
        <v>1117</v>
      </c>
    </row>
    <row r="1054" spans="1:1" x14ac:dyDescent="0.25">
      <c r="A1054" t="s">
        <v>1118</v>
      </c>
    </row>
    <row r="1055" spans="1:1" x14ac:dyDescent="0.25">
      <c r="A1055" t="s">
        <v>1119</v>
      </c>
    </row>
    <row r="1056" spans="1:1" x14ac:dyDescent="0.25">
      <c r="A1056" t="s">
        <v>1120</v>
      </c>
    </row>
    <row r="1057" spans="1:1" x14ac:dyDescent="0.25">
      <c r="A1057" t="s">
        <v>1121</v>
      </c>
    </row>
    <row r="1058" spans="1:1" x14ac:dyDescent="0.25">
      <c r="A1058" t="s">
        <v>1122</v>
      </c>
    </row>
    <row r="1059" spans="1:1" x14ac:dyDescent="0.25">
      <c r="A1059" t="s">
        <v>1123</v>
      </c>
    </row>
    <row r="1060" spans="1:1" x14ac:dyDescent="0.25">
      <c r="A1060" t="s">
        <v>1124</v>
      </c>
    </row>
    <row r="1061" spans="1:1" x14ac:dyDescent="0.25">
      <c r="A1061" t="s">
        <v>1125</v>
      </c>
    </row>
    <row r="1062" spans="1:1" x14ac:dyDescent="0.25">
      <c r="A1062" t="s">
        <v>1126</v>
      </c>
    </row>
    <row r="1063" spans="1:1" x14ac:dyDescent="0.25">
      <c r="A1063" t="s">
        <v>1127</v>
      </c>
    </row>
    <row r="1064" spans="1:1" x14ac:dyDescent="0.25">
      <c r="A1064" t="s">
        <v>1128</v>
      </c>
    </row>
    <row r="1065" spans="1:1" x14ac:dyDescent="0.25">
      <c r="A1065" t="s">
        <v>1129</v>
      </c>
    </row>
    <row r="1066" spans="1:1" x14ac:dyDescent="0.25">
      <c r="A1066" t="s">
        <v>1130</v>
      </c>
    </row>
    <row r="1067" spans="1:1" x14ac:dyDescent="0.25">
      <c r="A1067" t="s">
        <v>1131</v>
      </c>
    </row>
    <row r="1068" spans="1:1" x14ac:dyDescent="0.25">
      <c r="A1068" t="s">
        <v>1132</v>
      </c>
    </row>
    <row r="1069" spans="1:1" x14ac:dyDescent="0.25">
      <c r="A1069" t="s">
        <v>1133</v>
      </c>
    </row>
    <row r="1070" spans="1:1" x14ac:dyDescent="0.25">
      <c r="A1070" t="s">
        <v>1134</v>
      </c>
    </row>
    <row r="1071" spans="1:1" x14ac:dyDescent="0.25">
      <c r="A1071" t="s">
        <v>1135</v>
      </c>
    </row>
    <row r="1072" spans="1:1" x14ac:dyDescent="0.25">
      <c r="A1072" t="s">
        <v>1136</v>
      </c>
    </row>
    <row r="1073" spans="1:1" x14ac:dyDescent="0.25">
      <c r="A1073" t="s">
        <v>1137</v>
      </c>
    </row>
    <row r="1074" spans="1:1" x14ac:dyDescent="0.25">
      <c r="A1074" t="s">
        <v>1138</v>
      </c>
    </row>
    <row r="1075" spans="1:1" x14ac:dyDescent="0.25">
      <c r="A1075" t="s">
        <v>1139</v>
      </c>
    </row>
    <row r="1076" spans="1:1" x14ac:dyDescent="0.25">
      <c r="A1076" t="s">
        <v>1140</v>
      </c>
    </row>
    <row r="1077" spans="1:1" x14ac:dyDescent="0.25">
      <c r="A1077" t="s">
        <v>1141</v>
      </c>
    </row>
    <row r="1078" spans="1:1" x14ac:dyDescent="0.25">
      <c r="A1078" t="s">
        <v>1142</v>
      </c>
    </row>
    <row r="1079" spans="1:1" x14ac:dyDescent="0.25">
      <c r="A1079" t="s">
        <v>1143</v>
      </c>
    </row>
    <row r="1080" spans="1:1" x14ac:dyDescent="0.25">
      <c r="A1080" t="s">
        <v>1144</v>
      </c>
    </row>
    <row r="1081" spans="1:1" x14ac:dyDescent="0.25">
      <c r="A1081" t="s">
        <v>1145</v>
      </c>
    </row>
    <row r="1082" spans="1:1" x14ac:dyDescent="0.25">
      <c r="A1082" t="s">
        <v>1146</v>
      </c>
    </row>
    <row r="1083" spans="1:1" x14ac:dyDescent="0.25">
      <c r="A1083" t="s">
        <v>1147</v>
      </c>
    </row>
    <row r="1084" spans="1:1" x14ac:dyDescent="0.25">
      <c r="A1084" t="s">
        <v>1148</v>
      </c>
    </row>
    <row r="1085" spans="1:1" x14ac:dyDescent="0.25">
      <c r="A1085" t="s">
        <v>1149</v>
      </c>
    </row>
    <row r="1086" spans="1:1" x14ac:dyDescent="0.25">
      <c r="A1086" t="s">
        <v>1150</v>
      </c>
    </row>
    <row r="1087" spans="1:1" x14ac:dyDescent="0.25">
      <c r="A1087" t="s">
        <v>1151</v>
      </c>
    </row>
    <row r="1088" spans="1:1" x14ac:dyDescent="0.25">
      <c r="A1088" t="s">
        <v>1152</v>
      </c>
    </row>
    <row r="1089" spans="1:1" x14ac:dyDescent="0.25">
      <c r="A1089" t="s">
        <v>1153</v>
      </c>
    </row>
    <row r="1090" spans="1:1" x14ac:dyDescent="0.25">
      <c r="A1090" t="s">
        <v>1154</v>
      </c>
    </row>
    <row r="1091" spans="1:1" x14ac:dyDescent="0.25">
      <c r="A1091" t="s">
        <v>1155</v>
      </c>
    </row>
    <row r="1092" spans="1:1" x14ac:dyDescent="0.25">
      <c r="A1092" t="s">
        <v>1156</v>
      </c>
    </row>
    <row r="1093" spans="1:1" x14ac:dyDescent="0.25">
      <c r="A1093" t="s">
        <v>1157</v>
      </c>
    </row>
    <row r="1094" spans="1:1" x14ac:dyDescent="0.25">
      <c r="A1094" t="s">
        <v>1158</v>
      </c>
    </row>
    <row r="1095" spans="1:1" x14ac:dyDescent="0.25">
      <c r="A1095" t="s">
        <v>1159</v>
      </c>
    </row>
    <row r="1096" spans="1:1" x14ac:dyDescent="0.25">
      <c r="A1096" t="s">
        <v>1160</v>
      </c>
    </row>
    <row r="1097" spans="1:1" x14ac:dyDescent="0.25">
      <c r="A1097" t="s">
        <v>1161</v>
      </c>
    </row>
    <row r="1098" spans="1:1" x14ac:dyDescent="0.25">
      <c r="A1098" t="s">
        <v>1162</v>
      </c>
    </row>
    <row r="1099" spans="1:1" x14ac:dyDescent="0.25">
      <c r="A1099" t="s">
        <v>1163</v>
      </c>
    </row>
    <row r="1100" spans="1:1" x14ac:dyDescent="0.25">
      <c r="A1100" t="s">
        <v>1164</v>
      </c>
    </row>
    <row r="1101" spans="1:1" x14ac:dyDescent="0.25">
      <c r="A1101" t="s">
        <v>1165</v>
      </c>
    </row>
    <row r="1102" spans="1:1" x14ac:dyDescent="0.25">
      <c r="A1102" t="s">
        <v>1166</v>
      </c>
    </row>
    <row r="1103" spans="1:1" x14ac:dyDescent="0.25">
      <c r="A1103" t="s">
        <v>1167</v>
      </c>
    </row>
    <row r="1104" spans="1:1" x14ac:dyDescent="0.25">
      <c r="A1104" t="s">
        <v>1168</v>
      </c>
    </row>
    <row r="1105" spans="1:1" x14ac:dyDescent="0.25">
      <c r="A1105" t="s">
        <v>1169</v>
      </c>
    </row>
    <row r="1106" spans="1:1" x14ac:dyDescent="0.25">
      <c r="A1106" t="s">
        <v>1170</v>
      </c>
    </row>
    <row r="1107" spans="1:1" x14ac:dyDescent="0.25">
      <c r="A1107" t="s">
        <v>1171</v>
      </c>
    </row>
    <row r="1108" spans="1:1" x14ac:dyDescent="0.25">
      <c r="A1108" t="s">
        <v>1172</v>
      </c>
    </row>
    <row r="1109" spans="1:1" x14ac:dyDescent="0.25">
      <c r="A1109" t="s">
        <v>1173</v>
      </c>
    </row>
    <row r="1110" spans="1:1" x14ac:dyDescent="0.25">
      <c r="A1110" t="s">
        <v>1174</v>
      </c>
    </row>
    <row r="1111" spans="1:1" x14ac:dyDescent="0.25">
      <c r="A1111" t="s">
        <v>1175</v>
      </c>
    </row>
    <row r="1112" spans="1:1" x14ac:dyDescent="0.25">
      <c r="A1112" t="s">
        <v>1176</v>
      </c>
    </row>
    <row r="1113" spans="1:1" x14ac:dyDescent="0.25">
      <c r="A1113" t="s">
        <v>1177</v>
      </c>
    </row>
    <row r="1114" spans="1:1" x14ac:dyDescent="0.25">
      <c r="A1114" t="s">
        <v>1178</v>
      </c>
    </row>
    <row r="1115" spans="1:1" x14ac:dyDescent="0.25">
      <c r="A1115" t="s">
        <v>1179</v>
      </c>
    </row>
    <row r="1116" spans="1:1" x14ac:dyDescent="0.25">
      <c r="A1116" t="s">
        <v>1180</v>
      </c>
    </row>
    <row r="1117" spans="1:1" x14ac:dyDescent="0.25">
      <c r="A1117" t="s">
        <v>1181</v>
      </c>
    </row>
    <row r="1118" spans="1:1" x14ac:dyDescent="0.25">
      <c r="A1118" t="s">
        <v>1182</v>
      </c>
    </row>
    <row r="1119" spans="1:1" x14ac:dyDescent="0.25">
      <c r="A1119" t="s">
        <v>1183</v>
      </c>
    </row>
    <row r="1120" spans="1:1" x14ac:dyDescent="0.25">
      <c r="A1120" t="s">
        <v>1184</v>
      </c>
    </row>
    <row r="1121" spans="1:1" x14ac:dyDescent="0.25">
      <c r="A1121" t="s">
        <v>1185</v>
      </c>
    </row>
    <row r="1122" spans="1:1" x14ac:dyDescent="0.25">
      <c r="A1122" t="s">
        <v>1186</v>
      </c>
    </row>
    <row r="1123" spans="1:1" x14ac:dyDescent="0.25">
      <c r="A1123" t="s">
        <v>1187</v>
      </c>
    </row>
    <row r="1124" spans="1:1" x14ac:dyDescent="0.25">
      <c r="A1124" t="s">
        <v>1188</v>
      </c>
    </row>
    <row r="1125" spans="1:1" x14ac:dyDescent="0.25">
      <c r="A1125" t="s">
        <v>1189</v>
      </c>
    </row>
    <row r="1126" spans="1:1" x14ac:dyDescent="0.25">
      <c r="A1126" t="s">
        <v>1190</v>
      </c>
    </row>
    <row r="1127" spans="1:1" x14ac:dyDescent="0.25">
      <c r="A1127" t="s">
        <v>1191</v>
      </c>
    </row>
    <row r="1128" spans="1:1" x14ac:dyDescent="0.25">
      <c r="A1128" t="s">
        <v>1192</v>
      </c>
    </row>
    <row r="1129" spans="1:1" x14ac:dyDescent="0.25">
      <c r="A1129" t="s">
        <v>1193</v>
      </c>
    </row>
    <row r="1130" spans="1:1" x14ac:dyDescent="0.25">
      <c r="A1130" t="s">
        <v>1194</v>
      </c>
    </row>
    <row r="1131" spans="1:1" x14ac:dyDescent="0.25">
      <c r="A1131" t="s">
        <v>1195</v>
      </c>
    </row>
    <row r="1132" spans="1:1" x14ac:dyDescent="0.25">
      <c r="A1132" t="s">
        <v>1196</v>
      </c>
    </row>
    <row r="1133" spans="1:1" x14ac:dyDescent="0.25">
      <c r="A1133" t="s">
        <v>1197</v>
      </c>
    </row>
    <row r="1134" spans="1:1" x14ac:dyDescent="0.25">
      <c r="A1134" t="s">
        <v>1198</v>
      </c>
    </row>
    <row r="1135" spans="1:1" x14ac:dyDescent="0.25">
      <c r="A1135" t="s">
        <v>1199</v>
      </c>
    </row>
    <row r="1136" spans="1:1" x14ac:dyDescent="0.25">
      <c r="A1136" t="s">
        <v>1200</v>
      </c>
    </row>
    <row r="1137" spans="1:1" x14ac:dyDescent="0.25">
      <c r="A1137" t="s">
        <v>1201</v>
      </c>
    </row>
    <row r="1138" spans="1:1" x14ac:dyDescent="0.25">
      <c r="A1138" t="s">
        <v>1202</v>
      </c>
    </row>
    <row r="1139" spans="1:1" x14ac:dyDescent="0.25">
      <c r="A1139" t="s">
        <v>1203</v>
      </c>
    </row>
    <row r="1140" spans="1:1" x14ac:dyDescent="0.25">
      <c r="A1140" t="s">
        <v>1204</v>
      </c>
    </row>
    <row r="1141" spans="1:1" x14ac:dyDescent="0.25">
      <c r="A1141" t="s">
        <v>1205</v>
      </c>
    </row>
    <row r="1142" spans="1:1" x14ac:dyDescent="0.25">
      <c r="A1142" t="s">
        <v>1206</v>
      </c>
    </row>
    <row r="1143" spans="1:1" x14ac:dyDescent="0.25">
      <c r="A1143" t="s">
        <v>1207</v>
      </c>
    </row>
    <row r="1144" spans="1:1" x14ac:dyDescent="0.25">
      <c r="A1144" t="s">
        <v>1208</v>
      </c>
    </row>
    <row r="1145" spans="1:1" x14ac:dyDescent="0.25">
      <c r="A1145" t="s">
        <v>1209</v>
      </c>
    </row>
    <row r="1146" spans="1:1" x14ac:dyDescent="0.25">
      <c r="A1146" t="s">
        <v>1210</v>
      </c>
    </row>
    <row r="1147" spans="1:1" x14ac:dyDescent="0.25">
      <c r="A1147" t="s">
        <v>1211</v>
      </c>
    </row>
    <row r="1148" spans="1:1" x14ac:dyDescent="0.25">
      <c r="A1148" t="s">
        <v>1212</v>
      </c>
    </row>
    <row r="1149" spans="1:1" x14ac:dyDescent="0.25">
      <c r="A1149" t="s">
        <v>1213</v>
      </c>
    </row>
    <row r="1150" spans="1:1" x14ac:dyDescent="0.25">
      <c r="A1150" t="s">
        <v>1214</v>
      </c>
    </row>
    <row r="1151" spans="1:1" x14ac:dyDescent="0.25">
      <c r="A1151" t="s">
        <v>1215</v>
      </c>
    </row>
    <row r="1152" spans="1:1" x14ac:dyDescent="0.25">
      <c r="A1152" t="s">
        <v>1216</v>
      </c>
    </row>
    <row r="1153" spans="1:1" x14ac:dyDescent="0.25">
      <c r="A1153" t="s">
        <v>1217</v>
      </c>
    </row>
    <row r="1154" spans="1:1" x14ac:dyDescent="0.25">
      <c r="A1154" t="s">
        <v>1218</v>
      </c>
    </row>
    <row r="1155" spans="1:1" x14ac:dyDescent="0.25">
      <c r="A1155" t="s">
        <v>1219</v>
      </c>
    </row>
    <row r="1156" spans="1:1" x14ac:dyDescent="0.25">
      <c r="A1156" t="s">
        <v>1220</v>
      </c>
    </row>
    <row r="1157" spans="1:1" x14ac:dyDescent="0.25">
      <c r="A1157" t="s">
        <v>1221</v>
      </c>
    </row>
    <row r="1158" spans="1:1" x14ac:dyDescent="0.25">
      <c r="A1158" t="s">
        <v>1222</v>
      </c>
    </row>
    <row r="1159" spans="1:1" x14ac:dyDescent="0.25">
      <c r="A1159" t="s">
        <v>1223</v>
      </c>
    </row>
    <row r="1160" spans="1:1" x14ac:dyDescent="0.25">
      <c r="A1160" t="s">
        <v>1224</v>
      </c>
    </row>
    <row r="1161" spans="1:1" x14ac:dyDescent="0.25">
      <c r="A1161" t="s">
        <v>1225</v>
      </c>
    </row>
    <row r="1162" spans="1:1" x14ac:dyDescent="0.25">
      <c r="A1162" t="s">
        <v>1226</v>
      </c>
    </row>
    <row r="1163" spans="1:1" x14ac:dyDescent="0.25">
      <c r="A1163" t="s">
        <v>1227</v>
      </c>
    </row>
    <row r="1164" spans="1:1" x14ac:dyDescent="0.25">
      <c r="A1164" t="s">
        <v>1228</v>
      </c>
    </row>
    <row r="1165" spans="1:1" x14ac:dyDescent="0.25">
      <c r="A1165" t="s">
        <v>1229</v>
      </c>
    </row>
    <row r="1166" spans="1:1" x14ac:dyDescent="0.25">
      <c r="A1166" t="s">
        <v>1230</v>
      </c>
    </row>
    <row r="1167" spans="1:1" x14ac:dyDescent="0.25">
      <c r="A1167" t="s">
        <v>1231</v>
      </c>
    </row>
    <row r="1168" spans="1:1" x14ac:dyDescent="0.25">
      <c r="A1168" t="s">
        <v>1232</v>
      </c>
    </row>
    <row r="1169" spans="1:1" x14ac:dyDescent="0.25">
      <c r="A1169" t="s">
        <v>1233</v>
      </c>
    </row>
    <row r="1170" spans="1:1" x14ac:dyDescent="0.25">
      <c r="A1170" t="s">
        <v>1234</v>
      </c>
    </row>
    <row r="1171" spans="1:1" x14ac:dyDescent="0.25">
      <c r="A1171" t="s">
        <v>1235</v>
      </c>
    </row>
    <row r="1172" spans="1:1" x14ac:dyDescent="0.25">
      <c r="A1172" t="s">
        <v>1236</v>
      </c>
    </row>
    <row r="1173" spans="1:1" x14ac:dyDescent="0.25">
      <c r="A1173" t="s">
        <v>1237</v>
      </c>
    </row>
    <row r="1174" spans="1:1" x14ac:dyDescent="0.25">
      <c r="A1174" t="s">
        <v>1238</v>
      </c>
    </row>
    <row r="1175" spans="1:1" x14ac:dyDescent="0.25">
      <c r="A1175" t="s">
        <v>1239</v>
      </c>
    </row>
    <row r="1176" spans="1:1" x14ac:dyDescent="0.25">
      <c r="A1176" t="s">
        <v>1240</v>
      </c>
    </row>
    <row r="1177" spans="1:1" x14ac:dyDescent="0.25">
      <c r="A1177" t="s">
        <v>1241</v>
      </c>
    </row>
    <row r="1178" spans="1:1" x14ac:dyDescent="0.25">
      <c r="A1178" t="s">
        <v>1242</v>
      </c>
    </row>
    <row r="1179" spans="1:1" x14ac:dyDescent="0.25">
      <c r="A1179" t="s">
        <v>1243</v>
      </c>
    </row>
    <row r="1180" spans="1:1" x14ac:dyDescent="0.25">
      <c r="A1180" t="s">
        <v>1244</v>
      </c>
    </row>
    <row r="1181" spans="1:1" x14ac:dyDescent="0.25">
      <c r="A1181" t="s">
        <v>1245</v>
      </c>
    </row>
    <row r="1182" spans="1:1" x14ac:dyDescent="0.25">
      <c r="A1182" t="s">
        <v>1246</v>
      </c>
    </row>
    <row r="1183" spans="1:1" x14ac:dyDescent="0.25">
      <c r="A1183" t="s">
        <v>1247</v>
      </c>
    </row>
    <row r="1184" spans="1:1" x14ac:dyDescent="0.25">
      <c r="A1184" t="s">
        <v>1248</v>
      </c>
    </row>
    <row r="1185" spans="1:1" x14ac:dyDescent="0.25">
      <c r="A1185" t="s">
        <v>1249</v>
      </c>
    </row>
    <row r="1186" spans="1:1" x14ac:dyDescent="0.25">
      <c r="A1186" t="s">
        <v>1250</v>
      </c>
    </row>
    <row r="1187" spans="1:1" x14ac:dyDescent="0.25">
      <c r="A1187" t="s">
        <v>1251</v>
      </c>
    </row>
    <row r="1188" spans="1:1" x14ac:dyDescent="0.25">
      <c r="A1188" t="s">
        <v>1252</v>
      </c>
    </row>
    <row r="1189" spans="1:1" x14ac:dyDescent="0.25">
      <c r="A1189" t="s">
        <v>1253</v>
      </c>
    </row>
    <row r="1190" spans="1:1" x14ac:dyDescent="0.25">
      <c r="A1190" t="s">
        <v>1254</v>
      </c>
    </row>
    <row r="1191" spans="1:1" x14ac:dyDescent="0.25">
      <c r="A1191" t="s">
        <v>1255</v>
      </c>
    </row>
    <row r="1192" spans="1:1" x14ac:dyDescent="0.25">
      <c r="A1192" t="s">
        <v>1256</v>
      </c>
    </row>
    <row r="1193" spans="1:1" x14ac:dyDescent="0.25">
      <c r="A1193" t="s">
        <v>1257</v>
      </c>
    </row>
    <row r="1194" spans="1:1" x14ac:dyDescent="0.25">
      <c r="A1194" t="s">
        <v>1258</v>
      </c>
    </row>
    <row r="1195" spans="1:1" x14ac:dyDescent="0.25">
      <c r="A1195" t="s">
        <v>1259</v>
      </c>
    </row>
    <row r="1196" spans="1:1" x14ac:dyDescent="0.25">
      <c r="A1196" t="s">
        <v>1260</v>
      </c>
    </row>
    <row r="1197" spans="1:1" x14ac:dyDescent="0.25">
      <c r="A1197" t="s">
        <v>1261</v>
      </c>
    </row>
    <row r="1198" spans="1:1" x14ac:dyDescent="0.25">
      <c r="A1198" t="s">
        <v>1262</v>
      </c>
    </row>
    <row r="1199" spans="1:1" x14ac:dyDescent="0.25">
      <c r="A1199" t="s">
        <v>1263</v>
      </c>
    </row>
    <row r="1200" spans="1:1" x14ac:dyDescent="0.25">
      <c r="A1200" t="s">
        <v>1264</v>
      </c>
    </row>
    <row r="1201" spans="1:1" x14ac:dyDescent="0.25">
      <c r="A1201" t="s">
        <v>1265</v>
      </c>
    </row>
    <row r="1202" spans="1:1" x14ac:dyDescent="0.25">
      <c r="A1202" t="s">
        <v>1266</v>
      </c>
    </row>
    <row r="1203" spans="1:1" x14ac:dyDescent="0.25">
      <c r="A1203" t="s">
        <v>1267</v>
      </c>
    </row>
    <row r="1204" spans="1:1" x14ac:dyDescent="0.25">
      <c r="A1204" t="s">
        <v>1268</v>
      </c>
    </row>
    <row r="1205" spans="1:1" x14ac:dyDescent="0.25">
      <c r="A1205" t="s">
        <v>1269</v>
      </c>
    </row>
    <row r="1206" spans="1:1" x14ac:dyDescent="0.25">
      <c r="A1206" t="s">
        <v>1270</v>
      </c>
    </row>
    <row r="1207" spans="1:1" x14ac:dyDescent="0.25">
      <c r="A1207" t="s">
        <v>1271</v>
      </c>
    </row>
    <row r="1208" spans="1:1" x14ac:dyDescent="0.25">
      <c r="A1208" t="s">
        <v>1272</v>
      </c>
    </row>
    <row r="1209" spans="1:1" x14ac:dyDescent="0.25">
      <c r="A1209" t="s">
        <v>1273</v>
      </c>
    </row>
    <row r="1210" spans="1:1" x14ac:dyDescent="0.25">
      <c r="A1210" t="s">
        <v>1274</v>
      </c>
    </row>
    <row r="1211" spans="1:1" x14ac:dyDescent="0.25">
      <c r="A1211" t="s">
        <v>1275</v>
      </c>
    </row>
    <row r="1212" spans="1:1" x14ac:dyDescent="0.25">
      <c r="A1212" t="s">
        <v>1276</v>
      </c>
    </row>
    <row r="1213" spans="1:1" x14ac:dyDescent="0.25">
      <c r="A1213" t="s">
        <v>1277</v>
      </c>
    </row>
    <row r="1214" spans="1:1" x14ac:dyDescent="0.25">
      <c r="A1214" t="s">
        <v>1278</v>
      </c>
    </row>
    <row r="1215" spans="1:1" x14ac:dyDescent="0.25">
      <c r="A1215" t="s">
        <v>1279</v>
      </c>
    </row>
    <row r="1216" spans="1:1" x14ac:dyDescent="0.25">
      <c r="A1216" t="s">
        <v>1280</v>
      </c>
    </row>
    <row r="1217" spans="1:1" x14ac:dyDescent="0.25">
      <c r="A1217" t="s">
        <v>1281</v>
      </c>
    </row>
    <row r="1218" spans="1:1" x14ac:dyDescent="0.25">
      <c r="A1218" t="s">
        <v>1282</v>
      </c>
    </row>
    <row r="1219" spans="1:1" x14ac:dyDescent="0.25">
      <c r="A1219" t="s">
        <v>1283</v>
      </c>
    </row>
    <row r="1220" spans="1:1" x14ac:dyDescent="0.25">
      <c r="A1220" t="s">
        <v>1284</v>
      </c>
    </row>
    <row r="1221" spans="1:1" x14ac:dyDescent="0.25">
      <c r="A1221" t="s">
        <v>1285</v>
      </c>
    </row>
    <row r="1222" spans="1:1" x14ac:dyDescent="0.25">
      <c r="A1222" t="s">
        <v>1286</v>
      </c>
    </row>
    <row r="1223" spans="1:1" x14ac:dyDescent="0.25">
      <c r="A1223" t="s">
        <v>1287</v>
      </c>
    </row>
    <row r="1224" spans="1:1" x14ac:dyDescent="0.25">
      <c r="A1224" t="s">
        <v>1288</v>
      </c>
    </row>
    <row r="1225" spans="1:1" x14ac:dyDescent="0.25">
      <c r="A1225" t="s">
        <v>1289</v>
      </c>
    </row>
    <row r="1226" spans="1:1" x14ac:dyDescent="0.25">
      <c r="A1226" t="s">
        <v>1290</v>
      </c>
    </row>
    <row r="1227" spans="1:1" x14ac:dyDescent="0.25">
      <c r="A1227" t="s">
        <v>1291</v>
      </c>
    </row>
    <row r="1228" spans="1:1" x14ac:dyDescent="0.25">
      <c r="A1228" t="s">
        <v>1292</v>
      </c>
    </row>
    <row r="1229" spans="1:1" x14ac:dyDescent="0.25">
      <c r="A1229" t="s">
        <v>1293</v>
      </c>
    </row>
    <row r="1230" spans="1:1" x14ac:dyDescent="0.25">
      <c r="A1230" t="s">
        <v>1294</v>
      </c>
    </row>
    <row r="1231" spans="1:1" x14ac:dyDescent="0.25">
      <c r="A1231" t="s">
        <v>1295</v>
      </c>
    </row>
    <row r="1232" spans="1:1" x14ac:dyDescent="0.25">
      <c r="A1232" t="s">
        <v>1296</v>
      </c>
    </row>
    <row r="1233" spans="1:1" x14ac:dyDescent="0.25">
      <c r="A1233" t="s">
        <v>1297</v>
      </c>
    </row>
    <row r="1234" spans="1:1" x14ac:dyDescent="0.25">
      <c r="A1234" t="s">
        <v>1298</v>
      </c>
    </row>
    <row r="1235" spans="1:1" x14ac:dyDescent="0.25">
      <c r="A1235" t="s">
        <v>1299</v>
      </c>
    </row>
    <row r="1236" spans="1:1" x14ac:dyDescent="0.25">
      <c r="A1236" t="s">
        <v>1300</v>
      </c>
    </row>
    <row r="1237" spans="1:1" x14ac:dyDescent="0.25">
      <c r="A1237" t="s">
        <v>1301</v>
      </c>
    </row>
    <row r="1238" spans="1:1" x14ac:dyDescent="0.25">
      <c r="A1238" t="s">
        <v>1302</v>
      </c>
    </row>
    <row r="1239" spans="1:1" x14ac:dyDescent="0.25">
      <c r="A1239" t="s">
        <v>1303</v>
      </c>
    </row>
    <row r="1240" spans="1:1" x14ac:dyDescent="0.25">
      <c r="A1240" t="s">
        <v>1304</v>
      </c>
    </row>
    <row r="1241" spans="1:1" x14ac:dyDescent="0.25">
      <c r="A1241" t="s">
        <v>1305</v>
      </c>
    </row>
    <row r="1242" spans="1:1" x14ac:dyDescent="0.25">
      <c r="A1242" t="s">
        <v>1306</v>
      </c>
    </row>
    <row r="1243" spans="1:1" x14ac:dyDescent="0.25">
      <c r="A1243" t="s">
        <v>1307</v>
      </c>
    </row>
    <row r="1244" spans="1:1" x14ac:dyDescent="0.25">
      <c r="A1244" t="s">
        <v>1308</v>
      </c>
    </row>
    <row r="1245" spans="1:1" x14ac:dyDescent="0.25">
      <c r="A1245" t="s">
        <v>1309</v>
      </c>
    </row>
    <row r="1246" spans="1:1" x14ac:dyDescent="0.25">
      <c r="A1246" t="s">
        <v>1310</v>
      </c>
    </row>
    <row r="1247" spans="1:1" x14ac:dyDescent="0.25">
      <c r="A1247" t="s">
        <v>1311</v>
      </c>
    </row>
    <row r="1248" spans="1:1" x14ac:dyDescent="0.25">
      <c r="A1248" t="s">
        <v>1312</v>
      </c>
    </row>
    <row r="1249" spans="1:1" x14ac:dyDescent="0.25">
      <c r="A1249" t="s">
        <v>1313</v>
      </c>
    </row>
    <row r="1250" spans="1:1" x14ac:dyDescent="0.25">
      <c r="A1250" t="s">
        <v>1314</v>
      </c>
    </row>
    <row r="1251" spans="1:1" x14ac:dyDescent="0.25">
      <c r="A1251" t="s">
        <v>1315</v>
      </c>
    </row>
    <row r="1252" spans="1:1" x14ac:dyDescent="0.25">
      <c r="A1252" t="s">
        <v>1316</v>
      </c>
    </row>
    <row r="1253" spans="1:1" x14ac:dyDescent="0.25">
      <c r="A1253" t="s">
        <v>1317</v>
      </c>
    </row>
    <row r="1254" spans="1:1" x14ac:dyDescent="0.25">
      <c r="A1254" t="s">
        <v>1318</v>
      </c>
    </row>
    <row r="1255" spans="1:1" x14ac:dyDescent="0.25">
      <c r="A1255" t="s">
        <v>1319</v>
      </c>
    </row>
    <row r="1256" spans="1:1" x14ac:dyDescent="0.25">
      <c r="A1256" t="s">
        <v>1320</v>
      </c>
    </row>
    <row r="1257" spans="1:1" x14ac:dyDescent="0.25">
      <c r="A1257" t="s">
        <v>1321</v>
      </c>
    </row>
    <row r="1258" spans="1:1" x14ac:dyDescent="0.25">
      <c r="A1258" t="s">
        <v>1322</v>
      </c>
    </row>
    <row r="1259" spans="1:1" x14ac:dyDescent="0.25">
      <c r="A1259" t="s">
        <v>1323</v>
      </c>
    </row>
    <row r="1260" spans="1:1" x14ac:dyDescent="0.25">
      <c r="A1260" t="s">
        <v>1324</v>
      </c>
    </row>
    <row r="1261" spans="1:1" x14ac:dyDescent="0.25">
      <c r="A1261" t="s">
        <v>1325</v>
      </c>
    </row>
    <row r="1262" spans="1:1" x14ac:dyDescent="0.25">
      <c r="A1262" t="s">
        <v>1326</v>
      </c>
    </row>
    <row r="1263" spans="1:1" x14ac:dyDescent="0.25">
      <c r="A1263" t="s">
        <v>1327</v>
      </c>
    </row>
    <row r="1264" spans="1:1" x14ac:dyDescent="0.25">
      <c r="A1264" t="s">
        <v>1328</v>
      </c>
    </row>
    <row r="1265" spans="1:1" x14ac:dyDescent="0.25">
      <c r="A1265" t="s">
        <v>1329</v>
      </c>
    </row>
    <row r="1266" spans="1:1" x14ac:dyDescent="0.25">
      <c r="A1266" t="s">
        <v>1330</v>
      </c>
    </row>
    <row r="1267" spans="1:1" x14ac:dyDescent="0.25">
      <c r="A1267" t="s">
        <v>1331</v>
      </c>
    </row>
    <row r="1268" spans="1:1" x14ac:dyDescent="0.25">
      <c r="A1268" t="s">
        <v>1332</v>
      </c>
    </row>
    <row r="1269" spans="1:1" x14ac:dyDescent="0.25">
      <c r="A1269" t="s">
        <v>1333</v>
      </c>
    </row>
    <row r="1270" spans="1:1" x14ac:dyDescent="0.25">
      <c r="A1270" t="s">
        <v>1334</v>
      </c>
    </row>
    <row r="1271" spans="1:1" x14ac:dyDescent="0.25">
      <c r="A1271" t="s">
        <v>1335</v>
      </c>
    </row>
    <row r="1272" spans="1:1" x14ac:dyDescent="0.25">
      <c r="A1272" t="s">
        <v>1336</v>
      </c>
    </row>
    <row r="1273" spans="1:1" x14ac:dyDescent="0.25">
      <c r="A1273" t="s">
        <v>1337</v>
      </c>
    </row>
    <row r="1274" spans="1:1" x14ac:dyDescent="0.25">
      <c r="A1274" t="s">
        <v>1338</v>
      </c>
    </row>
    <row r="1275" spans="1:1" x14ac:dyDescent="0.25">
      <c r="A1275" t="s">
        <v>1339</v>
      </c>
    </row>
    <row r="1276" spans="1:1" x14ac:dyDescent="0.25">
      <c r="A1276" t="s">
        <v>1340</v>
      </c>
    </row>
    <row r="1277" spans="1:1" x14ac:dyDescent="0.25">
      <c r="A1277" t="s">
        <v>1341</v>
      </c>
    </row>
    <row r="1278" spans="1:1" x14ac:dyDescent="0.25">
      <c r="A1278" t="s">
        <v>1342</v>
      </c>
    </row>
    <row r="1279" spans="1:1" x14ac:dyDescent="0.25">
      <c r="A1279" t="s">
        <v>1343</v>
      </c>
    </row>
    <row r="1280" spans="1:1" x14ac:dyDescent="0.25">
      <c r="A1280" t="s">
        <v>1344</v>
      </c>
    </row>
    <row r="1281" spans="1:1" x14ac:dyDescent="0.25">
      <c r="A1281" t="s">
        <v>1345</v>
      </c>
    </row>
    <row r="1282" spans="1:1" x14ac:dyDescent="0.25">
      <c r="A1282" t="s">
        <v>1346</v>
      </c>
    </row>
    <row r="1283" spans="1:1" x14ac:dyDescent="0.25">
      <c r="A1283" t="s">
        <v>1347</v>
      </c>
    </row>
    <row r="1284" spans="1:1" x14ac:dyDescent="0.25">
      <c r="A1284" t="s">
        <v>1348</v>
      </c>
    </row>
    <row r="1285" spans="1:1" x14ac:dyDescent="0.25">
      <c r="A1285" t="s">
        <v>1349</v>
      </c>
    </row>
    <row r="1286" spans="1:1" x14ac:dyDescent="0.25">
      <c r="A1286" t="s">
        <v>1350</v>
      </c>
    </row>
    <row r="1287" spans="1:1" x14ac:dyDescent="0.25">
      <c r="A1287" t="s">
        <v>1351</v>
      </c>
    </row>
    <row r="1288" spans="1:1" x14ac:dyDescent="0.25">
      <c r="A1288" t="s">
        <v>1352</v>
      </c>
    </row>
    <row r="1289" spans="1:1" x14ac:dyDescent="0.25">
      <c r="A1289" t="s">
        <v>1353</v>
      </c>
    </row>
    <row r="1290" spans="1:1" x14ac:dyDescent="0.25">
      <c r="A1290" t="s">
        <v>1354</v>
      </c>
    </row>
    <row r="1291" spans="1:1" x14ac:dyDescent="0.25">
      <c r="A1291" t="s">
        <v>1355</v>
      </c>
    </row>
    <row r="1292" spans="1:1" x14ac:dyDescent="0.25">
      <c r="A1292" t="s">
        <v>1356</v>
      </c>
    </row>
    <row r="1293" spans="1:1" x14ac:dyDescent="0.25">
      <c r="A1293" t="s">
        <v>1357</v>
      </c>
    </row>
    <row r="1294" spans="1:1" x14ac:dyDescent="0.25">
      <c r="A1294" t="s">
        <v>1358</v>
      </c>
    </row>
    <row r="1295" spans="1:1" x14ac:dyDescent="0.25">
      <c r="A1295" t="s">
        <v>1359</v>
      </c>
    </row>
    <row r="1296" spans="1:1" x14ac:dyDescent="0.25">
      <c r="A1296" t="s">
        <v>1360</v>
      </c>
    </row>
    <row r="1297" spans="1:1" x14ac:dyDescent="0.25">
      <c r="A1297" t="s">
        <v>1361</v>
      </c>
    </row>
    <row r="1298" spans="1:1" x14ac:dyDescent="0.25">
      <c r="A1298" t="s">
        <v>1362</v>
      </c>
    </row>
    <row r="1299" spans="1:1" x14ac:dyDescent="0.25">
      <c r="A1299" t="s">
        <v>1363</v>
      </c>
    </row>
    <row r="1300" spans="1:1" x14ac:dyDescent="0.25">
      <c r="A1300" t="s">
        <v>1364</v>
      </c>
    </row>
    <row r="1301" spans="1:1" x14ac:dyDescent="0.25">
      <c r="A1301" t="s">
        <v>1365</v>
      </c>
    </row>
    <row r="1302" spans="1:1" x14ac:dyDescent="0.25">
      <c r="A1302" t="s">
        <v>1366</v>
      </c>
    </row>
    <row r="1303" spans="1:1" x14ac:dyDescent="0.25">
      <c r="A1303" t="s">
        <v>1367</v>
      </c>
    </row>
    <row r="1304" spans="1:1" x14ac:dyDescent="0.25">
      <c r="A1304" t="s">
        <v>1368</v>
      </c>
    </row>
    <row r="1305" spans="1:1" x14ac:dyDescent="0.25">
      <c r="A1305" t="s">
        <v>1369</v>
      </c>
    </row>
    <row r="1306" spans="1:1" x14ac:dyDescent="0.25">
      <c r="A1306" t="s">
        <v>1370</v>
      </c>
    </row>
    <row r="1307" spans="1:1" x14ac:dyDescent="0.25">
      <c r="A1307" t="s">
        <v>1371</v>
      </c>
    </row>
    <row r="1308" spans="1:1" x14ac:dyDescent="0.25">
      <c r="A1308" t="s">
        <v>1372</v>
      </c>
    </row>
    <row r="1309" spans="1:1" x14ac:dyDescent="0.25">
      <c r="A1309" t="s">
        <v>1373</v>
      </c>
    </row>
    <row r="1310" spans="1:1" x14ac:dyDescent="0.25">
      <c r="A1310" t="s">
        <v>1374</v>
      </c>
    </row>
    <row r="1311" spans="1:1" x14ac:dyDescent="0.25">
      <c r="A1311" t="s">
        <v>1375</v>
      </c>
    </row>
    <row r="1312" spans="1:1" x14ac:dyDescent="0.25">
      <c r="A1312" t="s">
        <v>1376</v>
      </c>
    </row>
    <row r="1313" spans="1:1" x14ac:dyDescent="0.25">
      <c r="A1313" t="s">
        <v>1377</v>
      </c>
    </row>
    <row r="1314" spans="1:1" x14ac:dyDescent="0.25">
      <c r="A1314" t="s">
        <v>1378</v>
      </c>
    </row>
    <row r="1315" spans="1:1" x14ac:dyDescent="0.25">
      <c r="A1315" t="s">
        <v>1379</v>
      </c>
    </row>
    <row r="1316" spans="1:1" x14ac:dyDescent="0.25">
      <c r="A1316" t="s">
        <v>1380</v>
      </c>
    </row>
    <row r="1317" spans="1:1" x14ac:dyDescent="0.25">
      <c r="A1317" t="s">
        <v>1381</v>
      </c>
    </row>
    <row r="1318" spans="1:1" x14ac:dyDescent="0.25">
      <c r="A1318" t="s">
        <v>1382</v>
      </c>
    </row>
    <row r="1319" spans="1:1" x14ac:dyDescent="0.25">
      <c r="A1319" t="s">
        <v>1383</v>
      </c>
    </row>
    <row r="1320" spans="1:1" x14ac:dyDescent="0.25">
      <c r="A1320" t="s">
        <v>1384</v>
      </c>
    </row>
    <row r="1321" spans="1:1" x14ac:dyDescent="0.25">
      <c r="A1321" t="s">
        <v>1385</v>
      </c>
    </row>
    <row r="1322" spans="1:1" x14ac:dyDescent="0.25">
      <c r="A1322" t="s">
        <v>1386</v>
      </c>
    </row>
    <row r="1323" spans="1:1" x14ac:dyDescent="0.25">
      <c r="A1323" t="s">
        <v>1387</v>
      </c>
    </row>
    <row r="1324" spans="1:1" x14ac:dyDescent="0.25">
      <c r="A1324" t="s">
        <v>1388</v>
      </c>
    </row>
    <row r="1325" spans="1:1" x14ac:dyDescent="0.25">
      <c r="A1325" t="s">
        <v>1389</v>
      </c>
    </row>
    <row r="1326" spans="1:1" x14ac:dyDescent="0.25">
      <c r="A1326" t="s">
        <v>1390</v>
      </c>
    </row>
    <row r="1327" spans="1:1" x14ac:dyDescent="0.25">
      <c r="A1327" t="s">
        <v>1391</v>
      </c>
    </row>
    <row r="1328" spans="1:1" x14ac:dyDescent="0.25">
      <c r="A1328" t="s">
        <v>1392</v>
      </c>
    </row>
    <row r="1329" spans="1:1" x14ac:dyDescent="0.25">
      <c r="A1329" t="s">
        <v>1393</v>
      </c>
    </row>
    <row r="1330" spans="1:1" x14ac:dyDescent="0.25">
      <c r="A1330" t="s">
        <v>1394</v>
      </c>
    </row>
    <row r="1331" spans="1:1" x14ac:dyDescent="0.25">
      <c r="A1331" t="s">
        <v>1395</v>
      </c>
    </row>
    <row r="1332" spans="1:1" x14ac:dyDescent="0.25">
      <c r="A1332" t="s">
        <v>1396</v>
      </c>
    </row>
    <row r="1333" spans="1:1" x14ac:dyDescent="0.25">
      <c r="A1333" t="s">
        <v>1397</v>
      </c>
    </row>
    <row r="1334" spans="1:1" x14ac:dyDescent="0.25">
      <c r="A1334" t="s">
        <v>1398</v>
      </c>
    </row>
    <row r="1335" spans="1:1" x14ac:dyDescent="0.25">
      <c r="A1335" t="s">
        <v>1399</v>
      </c>
    </row>
    <row r="1336" spans="1:1" x14ac:dyDescent="0.25">
      <c r="A1336" t="s">
        <v>1400</v>
      </c>
    </row>
    <row r="1337" spans="1:1" x14ac:dyDescent="0.25">
      <c r="A1337" t="s">
        <v>1401</v>
      </c>
    </row>
    <row r="1338" spans="1:1" x14ac:dyDescent="0.25">
      <c r="A1338" t="s">
        <v>1402</v>
      </c>
    </row>
    <row r="1339" spans="1:1" x14ac:dyDescent="0.25">
      <c r="A1339" t="s">
        <v>1403</v>
      </c>
    </row>
    <row r="1340" spans="1:1" x14ac:dyDescent="0.25">
      <c r="A1340" t="s">
        <v>1404</v>
      </c>
    </row>
    <row r="1341" spans="1:1" x14ac:dyDescent="0.25">
      <c r="A1341" t="s">
        <v>1405</v>
      </c>
    </row>
    <row r="1342" spans="1:1" x14ac:dyDescent="0.25">
      <c r="A1342" t="s">
        <v>1406</v>
      </c>
    </row>
    <row r="1343" spans="1:1" x14ac:dyDescent="0.25">
      <c r="A1343" t="s">
        <v>1407</v>
      </c>
    </row>
    <row r="1344" spans="1:1" x14ac:dyDescent="0.25">
      <c r="A1344" t="s">
        <v>1408</v>
      </c>
    </row>
    <row r="1345" spans="1:1" x14ac:dyDescent="0.25">
      <c r="A1345" t="s">
        <v>1409</v>
      </c>
    </row>
    <row r="1346" spans="1:1" x14ac:dyDescent="0.25">
      <c r="A1346" t="s">
        <v>1410</v>
      </c>
    </row>
    <row r="1347" spans="1:1" x14ac:dyDescent="0.25">
      <c r="A1347" t="s">
        <v>1411</v>
      </c>
    </row>
    <row r="1348" spans="1:1" x14ac:dyDescent="0.25">
      <c r="A1348" t="s">
        <v>1412</v>
      </c>
    </row>
    <row r="1349" spans="1:1" x14ac:dyDescent="0.25">
      <c r="A1349" t="s">
        <v>1413</v>
      </c>
    </row>
    <row r="1350" spans="1:1" x14ac:dyDescent="0.25">
      <c r="A1350" t="s">
        <v>1414</v>
      </c>
    </row>
    <row r="1351" spans="1:1" x14ac:dyDescent="0.25">
      <c r="A1351" t="s">
        <v>1415</v>
      </c>
    </row>
    <row r="1352" spans="1:1" x14ac:dyDescent="0.25">
      <c r="A1352" t="s">
        <v>1416</v>
      </c>
    </row>
    <row r="1353" spans="1:1" x14ac:dyDescent="0.25">
      <c r="A1353" t="s">
        <v>1417</v>
      </c>
    </row>
    <row r="1354" spans="1:1" x14ac:dyDescent="0.25">
      <c r="A1354" t="s">
        <v>1418</v>
      </c>
    </row>
    <row r="1355" spans="1:1" x14ac:dyDescent="0.25">
      <c r="A1355" t="s">
        <v>1419</v>
      </c>
    </row>
    <row r="1356" spans="1:1" x14ac:dyDescent="0.25">
      <c r="A1356" t="s">
        <v>1420</v>
      </c>
    </row>
    <row r="1357" spans="1:1" x14ac:dyDescent="0.25">
      <c r="A1357" t="s">
        <v>1421</v>
      </c>
    </row>
    <row r="1358" spans="1:1" x14ac:dyDescent="0.25">
      <c r="A1358" t="s">
        <v>1422</v>
      </c>
    </row>
    <row r="1359" spans="1:1" x14ac:dyDescent="0.25">
      <c r="A1359" t="s">
        <v>1423</v>
      </c>
    </row>
    <row r="1360" spans="1:1" x14ac:dyDescent="0.25">
      <c r="A1360" t="s">
        <v>1424</v>
      </c>
    </row>
    <row r="1361" spans="1:1" x14ac:dyDescent="0.25">
      <c r="A1361" t="s">
        <v>1425</v>
      </c>
    </row>
    <row r="1362" spans="1:1" x14ac:dyDescent="0.25">
      <c r="A1362" t="s">
        <v>1426</v>
      </c>
    </row>
    <row r="1363" spans="1:1" x14ac:dyDescent="0.25">
      <c r="A1363" t="s">
        <v>1427</v>
      </c>
    </row>
    <row r="1364" spans="1:1" x14ac:dyDescent="0.25">
      <c r="A1364" t="s">
        <v>1428</v>
      </c>
    </row>
    <row r="1365" spans="1:1" x14ac:dyDescent="0.25">
      <c r="A1365" t="s">
        <v>1429</v>
      </c>
    </row>
    <row r="1366" spans="1:1" x14ac:dyDescent="0.25">
      <c r="A1366" t="s">
        <v>1430</v>
      </c>
    </row>
    <row r="1367" spans="1:1" x14ac:dyDescent="0.25">
      <c r="A1367" t="s">
        <v>1431</v>
      </c>
    </row>
    <row r="1368" spans="1:1" x14ac:dyDescent="0.25">
      <c r="A1368" t="s">
        <v>1432</v>
      </c>
    </row>
    <row r="1369" spans="1:1" x14ac:dyDescent="0.25">
      <c r="A1369" t="s">
        <v>1433</v>
      </c>
    </row>
    <row r="1370" spans="1:1" x14ac:dyDescent="0.25">
      <c r="A1370" t="s">
        <v>1434</v>
      </c>
    </row>
    <row r="1371" spans="1:1" x14ac:dyDescent="0.25">
      <c r="A1371" t="s">
        <v>1435</v>
      </c>
    </row>
    <row r="1372" spans="1:1" x14ac:dyDescent="0.25">
      <c r="A1372" t="s">
        <v>1436</v>
      </c>
    </row>
    <row r="1373" spans="1:1" x14ac:dyDescent="0.25">
      <c r="A1373" t="s">
        <v>1437</v>
      </c>
    </row>
    <row r="1374" spans="1:1" x14ac:dyDescent="0.25">
      <c r="A1374" t="s">
        <v>1438</v>
      </c>
    </row>
    <row r="1375" spans="1:1" x14ac:dyDescent="0.25">
      <c r="A1375" t="s">
        <v>1439</v>
      </c>
    </row>
    <row r="1376" spans="1:1" x14ac:dyDescent="0.25">
      <c r="A1376" t="s">
        <v>1440</v>
      </c>
    </row>
    <row r="1377" spans="1:1" x14ac:dyDescent="0.25">
      <c r="A1377" t="s">
        <v>1441</v>
      </c>
    </row>
    <row r="1378" spans="1:1" x14ac:dyDescent="0.25">
      <c r="A1378" t="s">
        <v>1442</v>
      </c>
    </row>
    <row r="1379" spans="1:1" x14ac:dyDescent="0.25">
      <c r="A1379" t="s">
        <v>1443</v>
      </c>
    </row>
    <row r="1380" spans="1:1" x14ac:dyDescent="0.25">
      <c r="A1380" t="s">
        <v>1444</v>
      </c>
    </row>
    <row r="1381" spans="1:1" x14ac:dyDescent="0.25">
      <c r="A1381" t="s">
        <v>1445</v>
      </c>
    </row>
    <row r="1382" spans="1:1" x14ac:dyDescent="0.25">
      <c r="A1382" t="s">
        <v>1446</v>
      </c>
    </row>
    <row r="1383" spans="1:1" x14ac:dyDescent="0.25">
      <c r="A1383" t="s">
        <v>1447</v>
      </c>
    </row>
    <row r="1384" spans="1:1" x14ac:dyDescent="0.25">
      <c r="A1384" t="s">
        <v>1448</v>
      </c>
    </row>
    <row r="1385" spans="1:1" x14ac:dyDescent="0.25">
      <c r="A1385" t="s">
        <v>1449</v>
      </c>
    </row>
    <row r="1386" spans="1:1" x14ac:dyDescent="0.25">
      <c r="A1386" t="s">
        <v>1450</v>
      </c>
    </row>
    <row r="1387" spans="1:1" x14ac:dyDescent="0.25">
      <c r="A1387" t="s">
        <v>1451</v>
      </c>
    </row>
    <row r="1388" spans="1:1" x14ac:dyDescent="0.25">
      <c r="A1388" t="s">
        <v>1452</v>
      </c>
    </row>
    <row r="1389" spans="1:1" x14ac:dyDescent="0.25">
      <c r="A1389" t="s">
        <v>1453</v>
      </c>
    </row>
    <row r="1390" spans="1:1" x14ac:dyDescent="0.25">
      <c r="A1390" t="s">
        <v>1454</v>
      </c>
    </row>
    <row r="1391" spans="1:1" x14ac:dyDescent="0.25">
      <c r="A1391" t="s">
        <v>1455</v>
      </c>
    </row>
    <row r="1392" spans="1:1" x14ac:dyDescent="0.25">
      <c r="A1392" t="s">
        <v>1456</v>
      </c>
    </row>
    <row r="1393" spans="1:1" x14ac:dyDescent="0.25">
      <c r="A1393" t="s">
        <v>1457</v>
      </c>
    </row>
    <row r="1394" spans="1:1" x14ac:dyDescent="0.25">
      <c r="A1394" t="s">
        <v>1458</v>
      </c>
    </row>
    <row r="1395" spans="1:1" x14ac:dyDescent="0.25">
      <c r="A1395" t="s">
        <v>1459</v>
      </c>
    </row>
    <row r="1396" spans="1:1" x14ac:dyDescent="0.25">
      <c r="A1396" t="s">
        <v>1460</v>
      </c>
    </row>
    <row r="1397" spans="1:1" x14ac:dyDescent="0.25">
      <c r="A1397" t="s">
        <v>1461</v>
      </c>
    </row>
    <row r="1398" spans="1:1" x14ac:dyDescent="0.25">
      <c r="A1398" t="s">
        <v>1462</v>
      </c>
    </row>
    <row r="1399" spans="1:1" x14ac:dyDescent="0.25">
      <c r="A1399" t="s">
        <v>1463</v>
      </c>
    </row>
    <row r="1400" spans="1:1" x14ac:dyDescent="0.25">
      <c r="A1400" t="s">
        <v>1464</v>
      </c>
    </row>
    <row r="1401" spans="1:1" x14ac:dyDescent="0.25">
      <c r="A1401" t="s">
        <v>1465</v>
      </c>
    </row>
    <row r="1402" spans="1:1" x14ac:dyDescent="0.25">
      <c r="A1402" t="s">
        <v>1466</v>
      </c>
    </row>
    <row r="1403" spans="1:1" x14ac:dyDescent="0.25">
      <c r="A1403" t="s">
        <v>1467</v>
      </c>
    </row>
    <row r="1404" spans="1:1" x14ac:dyDescent="0.25">
      <c r="A1404" t="s">
        <v>1468</v>
      </c>
    </row>
    <row r="1405" spans="1:1" x14ac:dyDescent="0.25">
      <c r="A1405" t="s">
        <v>1469</v>
      </c>
    </row>
    <row r="1406" spans="1:1" x14ac:dyDescent="0.25">
      <c r="A1406" t="s">
        <v>1470</v>
      </c>
    </row>
    <row r="1407" spans="1:1" x14ac:dyDescent="0.25">
      <c r="A1407" t="s">
        <v>1471</v>
      </c>
    </row>
    <row r="1408" spans="1:1" x14ac:dyDescent="0.25">
      <c r="A1408" t="s">
        <v>1472</v>
      </c>
    </row>
    <row r="1409" spans="1:1" x14ac:dyDescent="0.25">
      <c r="A1409" t="s">
        <v>1473</v>
      </c>
    </row>
    <row r="1410" spans="1:1" x14ac:dyDescent="0.25">
      <c r="A1410" t="s">
        <v>1474</v>
      </c>
    </row>
    <row r="1411" spans="1:1" x14ac:dyDescent="0.25">
      <c r="A1411" t="s">
        <v>1475</v>
      </c>
    </row>
    <row r="1412" spans="1:1" x14ac:dyDescent="0.25">
      <c r="A1412" t="s">
        <v>1476</v>
      </c>
    </row>
    <row r="1413" spans="1:1" x14ac:dyDescent="0.25">
      <c r="A1413" t="s">
        <v>1477</v>
      </c>
    </row>
    <row r="1414" spans="1:1" x14ac:dyDescent="0.25">
      <c r="A1414" t="s">
        <v>1478</v>
      </c>
    </row>
    <row r="1415" spans="1:1" x14ac:dyDescent="0.25">
      <c r="A1415" t="s">
        <v>1479</v>
      </c>
    </row>
    <row r="1416" spans="1:1" x14ac:dyDescent="0.25">
      <c r="A1416" t="s">
        <v>1480</v>
      </c>
    </row>
    <row r="1417" spans="1:1" x14ac:dyDescent="0.25">
      <c r="A1417" t="s">
        <v>1481</v>
      </c>
    </row>
    <row r="1418" spans="1:1" x14ac:dyDescent="0.25">
      <c r="A1418" t="s">
        <v>1482</v>
      </c>
    </row>
    <row r="1419" spans="1:1" x14ac:dyDescent="0.25">
      <c r="A1419" t="s">
        <v>1483</v>
      </c>
    </row>
    <row r="1420" spans="1:1" x14ac:dyDescent="0.25">
      <c r="A1420" t="s">
        <v>1484</v>
      </c>
    </row>
    <row r="1421" spans="1:1" x14ac:dyDescent="0.25">
      <c r="A1421" t="s">
        <v>1485</v>
      </c>
    </row>
    <row r="1422" spans="1:1" x14ac:dyDescent="0.25">
      <c r="A1422" t="s">
        <v>1486</v>
      </c>
    </row>
    <row r="1423" spans="1:1" x14ac:dyDescent="0.25">
      <c r="A1423" t="s">
        <v>1487</v>
      </c>
    </row>
    <row r="1424" spans="1:1" x14ac:dyDescent="0.25">
      <c r="A1424" t="s">
        <v>1488</v>
      </c>
    </row>
    <row r="1425" spans="1:1" x14ac:dyDescent="0.25">
      <c r="A1425" t="s">
        <v>1489</v>
      </c>
    </row>
    <row r="1426" spans="1:1" x14ac:dyDescent="0.25">
      <c r="A1426" t="s">
        <v>1490</v>
      </c>
    </row>
    <row r="1427" spans="1:1" x14ac:dyDescent="0.25">
      <c r="A1427" t="s">
        <v>1491</v>
      </c>
    </row>
    <row r="1428" spans="1:1" x14ac:dyDescent="0.25">
      <c r="A1428" t="s">
        <v>1492</v>
      </c>
    </row>
    <row r="1429" spans="1:1" x14ac:dyDescent="0.25">
      <c r="A1429" t="s">
        <v>1493</v>
      </c>
    </row>
    <row r="1430" spans="1:1" x14ac:dyDescent="0.25">
      <c r="A1430" t="s">
        <v>1494</v>
      </c>
    </row>
    <row r="1431" spans="1:1" x14ac:dyDescent="0.25">
      <c r="A1431" t="s">
        <v>1495</v>
      </c>
    </row>
    <row r="1432" spans="1:1" x14ac:dyDescent="0.25">
      <c r="A1432" t="s">
        <v>1496</v>
      </c>
    </row>
    <row r="1433" spans="1:1" x14ac:dyDescent="0.25">
      <c r="A1433" t="s">
        <v>1497</v>
      </c>
    </row>
    <row r="1434" spans="1:1" x14ac:dyDescent="0.25">
      <c r="A1434" t="s">
        <v>1498</v>
      </c>
    </row>
    <row r="1435" spans="1:1" x14ac:dyDescent="0.25">
      <c r="A1435" t="s">
        <v>1499</v>
      </c>
    </row>
    <row r="1436" spans="1:1" x14ac:dyDescent="0.25">
      <c r="A1436" t="s">
        <v>1500</v>
      </c>
    </row>
    <row r="1437" spans="1:1" x14ac:dyDescent="0.25">
      <c r="A1437" t="s">
        <v>1501</v>
      </c>
    </row>
    <row r="1438" spans="1:1" x14ac:dyDescent="0.25">
      <c r="A1438" t="s">
        <v>1502</v>
      </c>
    </row>
    <row r="1439" spans="1:1" x14ac:dyDescent="0.25">
      <c r="A1439" t="s">
        <v>1503</v>
      </c>
    </row>
    <row r="1440" spans="1:1" x14ac:dyDescent="0.25">
      <c r="A1440" t="s">
        <v>1504</v>
      </c>
    </row>
    <row r="1441" spans="1:1" x14ac:dyDescent="0.25">
      <c r="A1441" t="s">
        <v>1505</v>
      </c>
    </row>
    <row r="1442" spans="1:1" x14ac:dyDescent="0.25">
      <c r="A1442" t="s">
        <v>1506</v>
      </c>
    </row>
    <row r="1443" spans="1:1" x14ac:dyDescent="0.25">
      <c r="A1443" t="s">
        <v>1507</v>
      </c>
    </row>
    <row r="1444" spans="1:1" x14ac:dyDescent="0.25">
      <c r="A1444" t="s">
        <v>1508</v>
      </c>
    </row>
    <row r="1445" spans="1:1" x14ac:dyDescent="0.25">
      <c r="A1445" t="s">
        <v>1509</v>
      </c>
    </row>
    <row r="1446" spans="1:1" x14ac:dyDescent="0.25">
      <c r="A1446" t="s">
        <v>1510</v>
      </c>
    </row>
    <row r="1447" spans="1:1" x14ac:dyDescent="0.25">
      <c r="A1447" t="s">
        <v>1511</v>
      </c>
    </row>
    <row r="1448" spans="1:1" x14ac:dyDescent="0.25">
      <c r="A1448" t="s">
        <v>1512</v>
      </c>
    </row>
    <row r="1449" spans="1:1" x14ac:dyDescent="0.25">
      <c r="A1449" t="s">
        <v>1513</v>
      </c>
    </row>
    <row r="1450" spans="1:1" x14ac:dyDescent="0.25">
      <c r="A1450" t="s">
        <v>1514</v>
      </c>
    </row>
    <row r="1451" spans="1:1" x14ac:dyDescent="0.25">
      <c r="A1451" t="s">
        <v>1515</v>
      </c>
    </row>
    <row r="1452" spans="1:1" x14ac:dyDescent="0.25">
      <c r="A1452" t="s">
        <v>1516</v>
      </c>
    </row>
    <row r="1453" spans="1:1" x14ac:dyDescent="0.25">
      <c r="A1453" t="s">
        <v>1517</v>
      </c>
    </row>
    <row r="1454" spans="1:1" x14ac:dyDescent="0.25">
      <c r="A1454" t="s">
        <v>1518</v>
      </c>
    </row>
    <row r="1455" spans="1:1" x14ac:dyDescent="0.25">
      <c r="A1455" t="s">
        <v>1519</v>
      </c>
    </row>
    <row r="1456" spans="1:1" x14ac:dyDescent="0.25">
      <c r="A1456" t="s">
        <v>1520</v>
      </c>
    </row>
    <row r="1457" spans="1:1" x14ac:dyDescent="0.25">
      <c r="A1457" t="s">
        <v>1521</v>
      </c>
    </row>
    <row r="1458" spans="1:1" x14ac:dyDescent="0.25">
      <c r="A1458" t="s">
        <v>1522</v>
      </c>
    </row>
    <row r="1459" spans="1:1" x14ac:dyDescent="0.25">
      <c r="A1459" t="s">
        <v>1523</v>
      </c>
    </row>
    <row r="1460" spans="1:1" x14ac:dyDescent="0.25">
      <c r="A1460" t="s">
        <v>1524</v>
      </c>
    </row>
    <row r="1461" spans="1:1" x14ac:dyDescent="0.25">
      <c r="A1461" t="s">
        <v>1525</v>
      </c>
    </row>
    <row r="1462" spans="1:1" x14ac:dyDescent="0.25">
      <c r="A1462" t="s">
        <v>1526</v>
      </c>
    </row>
    <row r="1463" spans="1:1" x14ac:dyDescent="0.25">
      <c r="A1463" t="s">
        <v>1527</v>
      </c>
    </row>
    <row r="1464" spans="1:1" x14ac:dyDescent="0.25">
      <c r="A1464" t="s">
        <v>1528</v>
      </c>
    </row>
    <row r="1465" spans="1:1" x14ac:dyDescent="0.25">
      <c r="A1465" t="s">
        <v>1529</v>
      </c>
    </row>
    <row r="1466" spans="1:1" x14ac:dyDescent="0.25">
      <c r="A1466" t="s">
        <v>1530</v>
      </c>
    </row>
    <row r="1467" spans="1:1" x14ac:dyDescent="0.25">
      <c r="A1467" t="s">
        <v>1531</v>
      </c>
    </row>
    <row r="1468" spans="1:1" x14ac:dyDescent="0.25">
      <c r="A1468" t="s">
        <v>1532</v>
      </c>
    </row>
    <row r="1469" spans="1:1" x14ac:dyDescent="0.25">
      <c r="A1469" t="s">
        <v>1533</v>
      </c>
    </row>
    <row r="1470" spans="1:1" x14ac:dyDescent="0.25">
      <c r="A1470" t="s">
        <v>1534</v>
      </c>
    </row>
    <row r="1471" spans="1:1" x14ac:dyDescent="0.25">
      <c r="A1471" t="s">
        <v>1535</v>
      </c>
    </row>
    <row r="1472" spans="1:1" x14ac:dyDescent="0.25">
      <c r="A1472" t="s">
        <v>1536</v>
      </c>
    </row>
    <row r="1473" spans="1:1" x14ac:dyDescent="0.25">
      <c r="A1473" t="s">
        <v>1537</v>
      </c>
    </row>
    <row r="1474" spans="1:1" x14ac:dyDescent="0.25">
      <c r="A1474" t="s">
        <v>1538</v>
      </c>
    </row>
    <row r="1475" spans="1:1" x14ac:dyDescent="0.25">
      <c r="A1475" t="s">
        <v>1539</v>
      </c>
    </row>
    <row r="1476" spans="1:1" x14ac:dyDescent="0.25">
      <c r="A1476" t="s">
        <v>1540</v>
      </c>
    </row>
    <row r="1477" spans="1:1" x14ac:dyDescent="0.25">
      <c r="A1477" t="s">
        <v>1541</v>
      </c>
    </row>
    <row r="1478" spans="1:1" x14ac:dyDescent="0.25">
      <c r="A1478" t="s">
        <v>1542</v>
      </c>
    </row>
    <row r="1479" spans="1:1" x14ac:dyDescent="0.25">
      <c r="A1479" t="s">
        <v>1543</v>
      </c>
    </row>
    <row r="1480" spans="1:1" x14ac:dyDescent="0.25">
      <c r="A1480" t="s">
        <v>1544</v>
      </c>
    </row>
    <row r="1481" spans="1:1" x14ac:dyDescent="0.25">
      <c r="A1481" t="s">
        <v>1545</v>
      </c>
    </row>
    <row r="1482" spans="1:1" x14ac:dyDescent="0.25">
      <c r="A1482" t="s">
        <v>1546</v>
      </c>
    </row>
    <row r="1483" spans="1:1" x14ac:dyDescent="0.25">
      <c r="A1483" t="s">
        <v>1547</v>
      </c>
    </row>
    <row r="1484" spans="1:1" x14ac:dyDescent="0.25">
      <c r="A1484" t="s">
        <v>1548</v>
      </c>
    </row>
    <row r="1485" spans="1:1" x14ac:dyDescent="0.25">
      <c r="A1485" t="s">
        <v>1549</v>
      </c>
    </row>
    <row r="1486" spans="1:1" x14ac:dyDescent="0.25">
      <c r="A1486" t="s">
        <v>1550</v>
      </c>
    </row>
    <row r="1487" spans="1:1" x14ac:dyDescent="0.25">
      <c r="A1487" t="s">
        <v>1551</v>
      </c>
    </row>
    <row r="1488" spans="1:1" x14ac:dyDescent="0.25">
      <c r="A1488" t="s">
        <v>1552</v>
      </c>
    </row>
    <row r="1489" spans="1:1" x14ac:dyDescent="0.25">
      <c r="A1489" t="s">
        <v>1553</v>
      </c>
    </row>
    <row r="1490" spans="1:1" x14ac:dyDescent="0.25">
      <c r="A1490" t="s">
        <v>1554</v>
      </c>
    </row>
    <row r="1491" spans="1:1" x14ac:dyDescent="0.25">
      <c r="A1491" t="s">
        <v>1555</v>
      </c>
    </row>
    <row r="1492" spans="1:1" x14ac:dyDescent="0.25">
      <c r="A1492" t="s">
        <v>1556</v>
      </c>
    </row>
    <row r="1493" spans="1:1" x14ac:dyDescent="0.25">
      <c r="A1493" t="s">
        <v>1557</v>
      </c>
    </row>
    <row r="1494" spans="1:1" x14ac:dyDescent="0.25">
      <c r="A1494" t="s">
        <v>1558</v>
      </c>
    </row>
    <row r="1495" spans="1:1" x14ac:dyDescent="0.25">
      <c r="A1495" t="s">
        <v>1559</v>
      </c>
    </row>
    <row r="1496" spans="1:1" x14ac:dyDescent="0.25">
      <c r="A1496" t="s">
        <v>1560</v>
      </c>
    </row>
    <row r="1497" spans="1:1" x14ac:dyDescent="0.25">
      <c r="A1497" t="s">
        <v>1561</v>
      </c>
    </row>
    <row r="1498" spans="1:1" x14ac:dyDescent="0.25">
      <c r="A1498" t="s">
        <v>1562</v>
      </c>
    </row>
    <row r="1499" spans="1:1" x14ac:dyDescent="0.25">
      <c r="A1499" t="s">
        <v>1563</v>
      </c>
    </row>
    <row r="1500" spans="1:1" x14ac:dyDescent="0.25">
      <c r="A1500" t="s">
        <v>1564</v>
      </c>
    </row>
    <row r="1501" spans="1:1" x14ac:dyDescent="0.25">
      <c r="A1501" t="s">
        <v>1565</v>
      </c>
    </row>
    <row r="1502" spans="1:1" x14ac:dyDescent="0.25">
      <c r="A1502" t="s">
        <v>1566</v>
      </c>
    </row>
    <row r="1503" spans="1:1" x14ac:dyDescent="0.25">
      <c r="A1503" t="s">
        <v>1567</v>
      </c>
    </row>
    <row r="1504" spans="1:1" x14ac:dyDescent="0.25">
      <c r="A1504" t="s">
        <v>1568</v>
      </c>
    </row>
    <row r="1505" spans="1:1" x14ac:dyDescent="0.25">
      <c r="A1505" t="s">
        <v>1569</v>
      </c>
    </row>
    <row r="1506" spans="1:1" x14ac:dyDescent="0.25">
      <c r="A1506" t="s">
        <v>1570</v>
      </c>
    </row>
    <row r="1507" spans="1:1" x14ac:dyDescent="0.25">
      <c r="A1507" t="s">
        <v>1571</v>
      </c>
    </row>
    <row r="1508" spans="1:1" x14ac:dyDescent="0.25">
      <c r="A1508" t="s">
        <v>1572</v>
      </c>
    </row>
    <row r="1509" spans="1:1" x14ac:dyDescent="0.25">
      <c r="A1509" t="s">
        <v>1573</v>
      </c>
    </row>
    <row r="1510" spans="1:1" x14ac:dyDescent="0.25">
      <c r="A1510" t="s">
        <v>1574</v>
      </c>
    </row>
    <row r="1511" spans="1:1" x14ac:dyDescent="0.25">
      <c r="A1511" t="s">
        <v>1575</v>
      </c>
    </row>
    <row r="1512" spans="1:1" x14ac:dyDescent="0.25">
      <c r="A1512" t="s">
        <v>1576</v>
      </c>
    </row>
    <row r="1513" spans="1:1" x14ac:dyDescent="0.25">
      <c r="A1513" t="s">
        <v>1577</v>
      </c>
    </row>
    <row r="1514" spans="1:1" x14ac:dyDescent="0.25">
      <c r="A1514" t="s">
        <v>1578</v>
      </c>
    </row>
    <row r="1515" spans="1:1" x14ac:dyDescent="0.25">
      <c r="A1515" t="s">
        <v>1579</v>
      </c>
    </row>
    <row r="1516" spans="1:1" x14ac:dyDescent="0.25">
      <c r="A1516" t="s">
        <v>1580</v>
      </c>
    </row>
    <row r="1517" spans="1:1" x14ac:dyDescent="0.25">
      <c r="A1517" t="s">
        <v>1581</v>
      </c>
    </row>
    <row r="1518" spans="1:1" x14ac:dyDescent="0.25">
      <c r="A1518" t="s">
        <v>1582</v>
      </c>
    </row>
    <row r="1519" spans="1:1" x14ac:dyDescent="0.25">
      <c r="A1519" t="s">
        <v>1583</v>
      </c>
    </row>
    <row r="1520" spans="1:1" x14ac:dyDescent="0.25">
      <c r="A1520" t="s">
        <v>1584</v>
      </c>
    </row>
    <row r="1521" spans="1:1" x14ac:dyDescent="0.25">
      <c r="A1521" t="s">
        <v>1585</v>
      </c>
    </row>
    <row r="1522" spans="1:1" x14ac:dyDescent="0.25">
      <c r="A1522" t="s">
        <v>1586</v>
      </c>
    </row>
    <row r="1523" spans="1:1" x14ac:dyDescent="0.25">
      <c r="A1523" t="s">
        <v>1587</v>
      </c>
    </row>
    <row r="1524" spans="1:1" x14ac:dyDescent="0.25">
      <c r="A1524" t="s">
        <v>1588</v>
      </c>
    </row>
    <row r="1525" spans="1:1" x14ac:dyDescent="0.25">
      <c r="A1525" t="s">
        <v>1589</v>
      </c>
    </row>
    <row r="1526" spans="1:1" x14ac:dyDescent="0.25">
      <c r="A1526" t="s">
        <v>1590</v>
      </c>
    </row>
    <row r="1527" spans="1:1" x14ac:dyDescent="0.25">
      <c r="A1527" t="s">
        <v>1591</v>
      </c>
    </row>
    <row r="1528" spans="1:1" x14ac:dyDescent="0.25">
      <c r="A1528" t="s">
        <v>1592</v>
      </c>
    </row>
    <row r="1529" spans="1:1" x14ac:dyDescent="0.25">
      <c r="A1529" t="s">
        <v>1593</v>
      </c>
    </row>
    <row r="1530" spans="1:1" x14ac:dyDescent="0.25">
      <c r="A1530" t="s">
        <v>1594</v>
      </c>
    </row>
    <row r="1531" spans="1:1" x14ac:dyDescent="0.25">
      <c r="A1531" t="s">
        <v>1595</v>
      </c>
    </row>
    <row r="1532" spans="1:1" x14ac:dyDescent="0.25">
      <c r="A1532" t="s">
        <v>1596</v>
      </c>
    </row>
    <row r="1533" spans="1:1" x14ac:dyDescent="0.25">
      <c r="A1533" t="s">
        <v>1597</v>
      </c>
    </row>
    <row r="1534" spans="1:1" x14ac:dyDescent="0.25">
      <c r="A1534" t="s">
        <v>1598</v>
      </c>
    </row>
    <row r="1535" spans="1:1" x14ac:dyDescent="0.25">
      <c r="A1535" t="s">
        <v>1599</v>
      </c>
    </row>
    <row r="1536" spans="1:1" x14ac:dyDescent="0.25">
      <c r="A1536" t="s">
        <v>1600</v>
      </c>
    </row>
    <row r="1537" spans="1:1" x14ac:dyDescent="0.25">
      <c r="A1537" t="s">
        <v>1601</v>
      </c>
    </row>
    <row r="1538" spans="1:1" x14ac:dyDescent="0.25">
      <c r="A1538" t="s">
        <v>1602</v>
      </c>
    </row>
    <row r="1539" spans="1:1" x14ac:dyDescent="0.25">
      <c r="A1539" t="s">
        <v>1603</v>
      </c>
    </row>
    <row r="1540" spans="1:1" x14ac:dyDescent="0.25">
      <c r="A1540" t="s">
        <v>1604</v>
      </c>
    </row>
    <row r="1541" spans="1:1" x14ac:dyDescent="0.25">
      <c r="A1541" t="s">
        <v>1605</v>
      </c>
    </row>
    <row r="1542" spans="1:1" x14ac:dyDescent="0.25">
      <c r="A1542" t="s">
        <v>1606</v>
      </c>
    </row>
    <row r="1543" spans="1:1" x14ac:dyDescent="0.25">
      <c r="A1543" t="s">
        <v>1607</v>
      </c>
    </row>
    <row r="1544" spans="1:1" x14ac:dyDescent="0.25">
      <c r="A1544" t="s">
        <v>1608</v>
      </c>
    </row>
    <row r="1545" spans="1:1" x14ac:dyDescent="0.25">
      <c r="A1545" t="s">
        <v>1609</v>
      </c>
    </row>
    <row r="1546" spans="1:1" x14ac:dyDescent="0.25">
      <c r="A1546" t="s">
        <v>1610</v>
      </c>
    </row>
    <row r="1547" spans="1:1" x14ac:dyDescent="0.25">
      <c r="A1547" t="s">
        <v>1611</v>
      </c>
    </row>
    <row r="1548" spans="1:1" x14ac:dyDescent="0.25">
      <c r="A1548" t="s">
        <v>1612</v>
      </c>
    </row>
    <row r="1549" spans="1:1" x14ac:dyDescent="0.25">
      <c r="A1549" t="s">
        <v>1613</v>
      </c>
    </row>
    <row r="1550" spans="1:1" x14ac:dyDescent="0.25">
      <c r="A1550" t="s">
        <v>1614</v>
      </c>
    </row>
    <row r="1551" spans="1:1" x14ac:dyDescent="0.25">
      <c r="A1551" t="s">
        <v>1615</v>
      </c>
    </row>
    <row r="1552" spans="1:1" x14ac:dyDescent="0.25">
      <c r="A1552" t="s">
        <v>1616</v>
      </c>
    </row>
    <row r="1553" spans="1:1" x14ac:dyDescent="0.25">
      <c r="A1553" t="s">
        <v>1617</v>
      </c>
    </row>
    <row r="1554" spans="1:1" x14ac:dyDescent="0.25">
      <c r="A1554" t="s">
        <v>1618</v>
      </c>
    </row>
    <row r="1555" spans="1:1" x14ac:dyDescent="0.25">
      <c r="A1555" t="s">
        <v>1619</v>
      </c>
    </row>
    <row r="1556" spans="1:1" x14ac:dyDescent="0.25">
      <c r="A1556" t="s">
        <v>1620</v>
      </c>
    </row>
    <row r="1557" spans="1:1" x14ac:dyDescent="0.25">
      <c r="A1557" t="s">
        <v>1621</v>
      </c>
    </row>
    <row r="1558" spans="1:1" x14ac:dyDescent="0.25">
      <c r="A1558" t="s">
        <v>1622</v>
      </c>
    </row>
    <row r="1559" spans="1:1" x14ac:dyDescent="0.25">
      <c r="A1559" t="s">
        <v>1623</v>
      </c>
    </row>
    <row r="1560" spans="1:1" x14ac:dyDescent="0.25">
      <c r="A1560" t="s">
        <v>1624</v>
      </c>
    </row>
    <row r="1561" spans="1:1" x14ac:dyDescent="0.25">
      <c r="A1561" t="s">
        <v>1625</v>
      </c>
    </row>
    <row r="1562" spans="1:1" x14ac:dyDescent="0.25">
      <c r="A1562" t="s">
        <v>1626</v>
      </c>
    </row>
    <row r="1563" spans="1:1" x14ac:dyDescent="0.25">
      <c r="A1563" t="s">
        <v>1627</v>
      </c>
    </row>
    <row r="1564" spans="1:1" x14ac:dyDescent="0.25">
      <c r="A1564" t="s">
        <v>1628</v>
      </c>
    </row>
    <row r="1565" spans="1:1" x14ac:dyDescent="0.25">
      <c r="A1565" t="s">
        <v>1629</v>
      </c>
    </row>
    <row r="1566" spans="1:1" x14ac:dyDescent="0.25">
      <c r="A1566" t="s">
        <v>1630</v>
      </c>
    </row>
    <row r="1567" spans="1:1" x14ac:dyDescent="0.25">
      <c r="A1567" t="s">
        <v>1631</v>
      </c>
    </row>
    <row r="1568" spans="1:1" x14ac:dyDescent="0.25">
      <c r="A1568" t="s">
        <v>1632</v>
      </c>
    </row>
    <row r="1569" spans="1:1" x14ac:dyDescent="0.25">
      <c r="A1569" t="s">
        <v>1633</v>
      </c>
    </row>
    <row r="1570" spans="1:1" x14ac:dyDescent="0.25">
      <c r="A1570" t="s">
        <v>1634</v>
      </c>
    </row>
    <row r="1571" spans="1:1" x14ac:dyDescent="0.25">
      <c r="A1571" t="s">
        <v>1635</v>
      </c>
    </row>
    <row r="1572" spans="1:1" x14ac:dyDescent="0.25">
      <c r="A1572" t="s">
        <v>1636</v>
      </c>
    </row>
    <row r="1573" spans="1:1" x14ac:dyDescent="0.25">
      <c r="A1573" t="s">
        <v>1637</v>
      </c>
    </row>
    <row r="1574" spans="1:1" x14ac:dyDescent="0.25">
      <c r="A1574" t="s">
        <v>1638</v>
      </c>
    </row>
    <row r="1575" spans="1:1" x14ac:dyDescent="0.25">
      <c r="A1575" t="s">
        <v>1639</v>
      </c>
    </row>
    <row r="1576" spans="1:1" x14ac:dyDescent="0.25">
      <c r="A1576" t="s">
        <v>1640</v>
      </c>
    </row>
    <row r="1577" spans="1:1" x14ac:dyDescent="0.25">
      <c r="A1577" t="s">
        <v>1641</v>
      </c>
    </row>
    <row r="1578" spans="1:1" x14ac:dyDescent="0.25">
      <c r="A1578" t="s">
        <v>1642</v>
      </c>
    </row>
    <row r="1579" spans="1:1" x14ac:dyDescent="0.25">
      <c r="A1579" t="s">
        <v>1643</v>
      </c>
    </row>
    <row r="1580" spans="1:1" x14ac:dyDescent="0.25">
      <c r="A1580" t="s">
        <v>1644</v>
      </c>
    </row>
    <row r="1581" spans="1:1" x14ac:dyDescent="0.25">
      <c r="A1581" t="s">
        <v>1645</v>
      </c>
    </row>
    <row r="1582" spans="1:1" x14ac:dyDescent="0.25">
      <c r="A1582" t="s">
        <v>1646</v>
      </c>
    </row>
    <row r="1583" spans="1:1" x14ac:dyDescent="0.25">
      <c r="A1583" t="s">
        <v>1647</v>
      </c>
    </row>
    <row r="1584" spans="1:1" x14ac:dyDescent="0.25">
      <c r="A1584" t="s">
        <v>1648</v>
      </c>
    </row>
    <row r="1585" spans="1:1" x14ac:dyDescent="0.25">
      <c r="A1585" t="s">
        <v>1649</v>
      </c>
    </row>
    <row r="1586" spans="1:1" x14ac:dyDescent="0.25">
      <c r="A1586" t="s">
        <v>1650</v>
      </c>
    </row>
    <row r="1587" spans="1:1" x14ac:dyDescent="0.25">
      <c r="A1587" t="s">
        <v>1651</v>
      </c>
    </row>
    <row r="1588" spans="1:1" x14ac:dyDescent="0.25">
      <c r="A1588" t="s">
        <v>1652</v>
      </c>
    </row>
    <row r="1589" spans="1:1" x14ac:dyDescent="0.25">
      <c r="A1589" t="s">
        <v>1653</v>
      </c>
    </row>
    <row r="1590" spans="1:1" x14ac:dyDescent="0.25">
      <c r="A1590" t="s">
        <v>1654</v>
      </c>
    </row>
    <row r="1591" spans="1:1" x14ac:dyDescent="0.25">
      <c r="A1591" t="s">
        <v>1655</v>
      </c>
    </row>
    <row r="1592" spans="1:1" x14ac:dyDescent="0.25">
      <c r="A1592" t="s">
        <v>1656</v>
      </c>
    </row>
    <row r="1593" spans="1:1" x14ac:dyDescent="0.25">
      <c r="A1593" t="s">
        <v>1657</v>
      </c>
    </row>
    <row r="1594" spans="1:1" x14ac:dyDescent="0.25">
      <c r="A1594" t="s">
        <v>1658</v>
      </c>
    </row>
    <row r="1595" spans="1:1" x14ac:dyDescent="0.25">
      <c r="A1595" t="s">
        <v>1659</v>
      </c>
    </row>
    <row r="1596" spans="1:1" x14ac:dyDescent="0.25">
      <c r="A1596" t="s">
        <v>1660</v>
      </c>
    </row>
    <row r="1597" spans="1:1" x14ac:dyDescent="0.25">
      <c r="A1597" t="s">
        <v>1661</v>
      </c>
    </row>
    <row r="1598" spans="1:1" x14ac:dyDescent="0.25">
      <c r="A1598" t="s">
        <v>1662</v>
      </c>
    </row>
    <row r="1599" spans="1:1" x14ac:dyDescent="0.25">
      <c r="A1599" t="s">
        <v>1663</v>
      </c>
    </row>
    <row r="1600" spans="1:1" x14ac:dyDescent="0.25">
      <c r="A1600" t="s">
        <v>1664</v>
      </c>
    </row>
    <row r="1601" spans="1:1" x14ac:dyDescent="0.25">
      <c r="A1601" t="s">
        <v>1665</v>
      </c>
    </row>
    <row r="1602" spans="1:1" x14ac:dyDescent="0.25">
      <c r="A1602" t="s">
        <v>1666</v>
      </c>
    </row>
    <row r="1603" spans="1:1" x14ac:dyDescent="0.25">
      <c r="A1603" t="s">
        <v>1667</v>
      </c>
    </row>
    <row r="1604" spans="1:1" x14ac:dyDescent="0.25">
      <c r="A1604" t="s">
        <v>1668</v>
      </c>
    </row>
    <row r="1605" spans="1:1" x14ac:dyDescent="0.25">
      <c r="A1605" t="s">
        <v>1669</v>
      </c>
    </row>
    <row r="1606" spans="1:1" x14ac:dyDescent="0.25">
      <c r="A1606" t="s">
        <v>1670</v>
      </c>
    </row>
    <row r="1607" spans="1:1" x14ac:dyDescent="0.25">
      <c r="A1607" t="s">
        <v>1671</v>
      </c>
    </row>
    <row r="1608" spans="1:1" x14ac:dyDescent="0.25">
      <c r="A1608" t="s">
        <v>1672</v>
      </c>
    </row>
    <row r="1609" spans="1:1" x14ac:dyDescent="0.25">
      <c r="A1609" t="s">
        <v>1673</v>
      </c>
    </row>
    <row r="1610" spans="1:1" x14ac:dyDescent="0.25">
      <c r="A1610" t="s">
        <v>1674</v>
      </c>
    </row>
    <row r="1611" spans="1:1" x14ac:dyDescent="0.25">
      <c r="A1611" t="s">
        <v>1675</v>
      </c>
    </row>
    <row r="1612" spans="1:1" x14ac:dyDescent="0.25">
      <c r="A1612" t="s">
        <v>1676</v>
      </c>
    </row>
    <row r="1613" spans="1:1" x14ac:dyDescent="0.25">
      <c r="A1613" t="s">
        <v>1677</v>
      </c>
    </row>
    <row r="1614" spans="1:1" x14ac:dyDescent="0.25">
      <c r="A1614" t="s">
        <v>1678</v>
      </c>
    </row>
    <row r="1615" spans="1:1" x14ac:dyDescent="0.25">
      <c r="A1615" t="s">
        <v>1679</v>
      </c>
    </row>
    <row r="1616" spans="1:1" x14ac:dyDescent="0.25">
      <c r="A1616" t="s">
        <v>1680</v>
      </c>
    </row>
    <row r="1617" spans="1:1" x14ac:dyDescent="0.25">
      <c r="A1617" t="s">
        <v>1681</v>
      </c>
    </row>
    <row r="1618" spans="1:1" x14ac:dyDescent="0.25">
      <c r="A1618" t="s">
        <v>1682</v>
      </c>
    </row>
    <row r="1619" spans="1:1" x14ac:dyDescent="0.25">
      <c r="A1619" t="s">
        <v>1683</v>
      </c>
    </row>
    <row r="1620" spans="1:1" x14ac:dyDescent="0.25">
      <c r="A1620" t="s">
        <v>1684</v>
      </c>
    </row>
    <row r="1621" spans="1:1" x14ac:dyDescent="0.25">
      <c r="A1621" t="s">
        <v>1685</v>
      </c>
    </row>
    <row r="1622" spans="1:1" x14ac:dyDescent="0.25">
      <c r="A1622" t="s">
        <v>1686</v>
      </c>
    </row>
    <row r="1623" spans="1:1" x14ac:dyDescent="0.25">
      <c r="A1623" t="s">
        <v>1687</v>
      </c>
    </row>
    <row r="1624" spans="1:1" x14ac:dyDescent="0.25">
      <c r="A1624" t="s">
        <v>1688</v>
      </c>
    </row>
    <row r="1625" spans="1:1" x14ac:dyDescent="0.25">
      <c r="A1625" t="s">
        <v>1689</v>
      </c>
    </row>
    <row r="1626" spans="1:1" x14ac:dyDescent="0.25">
      <c r="A1626" t="s">
        <v>1690</v>
      </c>
    </row>
    <row r="1627" spans="1:1" x14ac:dyDescent="0.25">
      <c r="A1627" t="s">
        <v>1691</v>
      </c>
    </row>
    <row r="1628" spans="1:1" x14ac:dyDescent="0.25">
      <c r="A1628" t="s">
        <v>1692</v>
      </c>
    </row>
    <row r="1629" spans="1:1" x14ac:dyDescent="0.25">
      <c r="A1629" t="s">
        <v>1693</v>
      </c>
    </row>
    <row r="1630" spans="1:1" x14ac:dyDescent="0.25">
      <c r="A1630" t="s">
        <v>1694</v>
      </c>
    </row>
    <row r="1631" spans="1:1" x14ac:dyDescent="0.25">
      <c r="A1631" t="s">
        <v>1695</v>
      </c>
    </row>
    <row r="1632" spans="1:1" x14ac:dyDescent="0.25">
      <c r="A1632" t="s">
        <v>1696</v>
      </c>
    </row>
    <row r="1633" spans="1:1" x14ac:dyDescent="0.25">
      <c r="A1633" t="s">
        <v>1697</v>
      </c>
    </row>
    <row r="1634" spans="1:1" x14ac:dyDescent="0.25">
      <c r="A1634" t="s">
        <v>1698</v>
      </c>
    </row>
    <row r="1635" spans="1:1" x14ac:dyDescent="0.25">
      <c r="A1635" t="s">
        <v>1699</v>
      </c>
    </row>
    <row r="1636" spans="1:1" x14ac:dyDescent="0.25">
      <c r="A1636" t="s">
        <v>1700</v>
      </c>
    </row>
    <row r="1637" spans="1:1" x14ac:dyDescent="0.25">
      <c r="A1637" t="s">
        <v>1701</v>
      </c>
    </row>
    <row r="1638" spans="1:1" x14ac:dyDescent="0.25">
      <c r="A1638" t="s">
        <v>1702</v>
      </c>
    </row>
    <row r="1639" spans="1:1" x14ac:dyDescent="0.25">
      <c r="A1639" t="s">
        <v>1703</v>
      </c>
    </row>
    <row r="1640" spans="1:1" x14ac:dyDescent="0.25">
      <c r="A1640" t="s">
        <v>1704</v>
      </c>
    </row>
    <row r="1641" spans="1:1" x14ac:dyDescent="0.25">
      <c r="A1641" t="s">
        <v>1705</v>
      </c>
    </row>
    <row r="1642" spans="1:1" x14ac:dyDescent="0.25">
      <c r="A1642" t="s">
        <v>1706</v>
      </c>
    </row>
    <row r="1643" spans="1:1" x14ac:dyDescent="0.25">
      <c r="A1643" t="s">
        <v>1707</v>
      </c>
    </row>
    <row r="1644" spans="1:1" x14ac:dyDescent="0.25">
      <c r="A1644" t="s">
        <v>1708</v>
      </c>
    </row>
    <row r="1645" spans="1:1" x14ac:dyDescent="0.25">
      <c r="A1645" t="s">
        <v>1709</v>
      </c>
    </row>
    <row r="1646" spans="1:1" x14ac:dyDescent="0.25">
      <c r="A1646" t="s">
        <v>1710</v>
      </c>
    </row>
    <row r="1647" spans="1:1" x14ac:dyDescent="0.25">
      <c r="A1647" t="s">
        <v>1711</v>
      </c>
    </row>
    <row r="1648" spans="1:1" x14ac:dyDescent="0.25">
      <c r="A1648" t="s">
        <v>1712</v>
      </c>
    </row>
    <row r="1649" spans="1:1" x14ac:dyDescent="0.25">
      <c r="A1649" t="s">
        <v>1713</v>
      </c>
    </row>
    <row r="1650" spans="1:1" x14ac:dyDescent="0.25">
      <c r="A1650" t="s">
        <v>1714</v>
      </c>
    </row>
    <row r="1651" spans="1:1" x14ac:dyDescent="0.25">
      <c r="A1651" t="s">
        <v>1715</v>
      </c>
    </row>
    <row r="1652" spans="1:1" x14ac:dyDescent="0.25">
      <c r="A1652" t="s">
        <v>1716</v>
      </c>
    </row>
    <row r="1653" spans="1:1" x14ac:dyDescent="0.25">
      <c r="A1653" t="s">
        <v>1717</v>
      </c>
    </row>
    <row r="1654" spans="1:1" x14ac:dyDescent="0.25">
      <c r="A1654" t="s">
        <v>1718</v>
      </c>
    </row>
    <row r="1655" spans="1:1" x14ac:dyDescent="0.25">
      <c r="A1655" t="s">
        <v>1719</v>
      </c>
    </row>
    <row r="1656" spans="1:1" x14ac:dyDescent="0.25">
      <c r="A1656" t="s">
        <v>1720</v>
      </c>
    </row>
    <row r="1657" spans="1:1" x14ac:dyDescent="0.25">
      <c r="A1657" t="s">
        <v>1721</v>
      </c>
    </row>
    <row r="1658" spans="1:1" x14ac:dyDescent="0.25">
      <c r="A1658" t="s">
        <v>1722</v>
      </c>
    </row>
    <row r="1659" spans="1:1" x14ac:dyDescent="0.25">
      <c r="A1659" t="s">
        <v>1723</v>
      </c>
    </row>
    <row r="1660" spans="1:1" x14ac:dyDescent="0.25">
      <c r="A1660" t="s">
        <v>1724</v>
      </c>
    </row>
    <row r="1661" spans="1:1" x14ac:dyDescent="0.25">
      <c r="A1661" t="s">
        <v>1725</v>
      </c>
    </row>
    <row r="1662" spans="1:1" x14ac:dyDescent="0.25">
      <c r="A1662" t="s">
        <v>1726</v>
      </c>
    </row>
    <row r="1663" spans="1:1" x14ac:dyDescent="0.25">
      <c r="A1663" t="s">
        <v>1727</v>
      </c>
    </row>
    <row r="1664" spans="1:1" x14ac:dyDescent="0.25">
      <c r="A1664" t="s">
        <v>1728</v>
      </c>
    </row>
    <row r="1665" spans="1:1" x14ac:dyDescent="0.25">
      <c r="A1665" t="s">
        <v>1729</v>
      </c>
    </row>
    <row r="1666" spans="1:1" x14ac:dyDescent="0.25">
      <c r="A1666" t="s">
        <v>1730</v>
      </c>
    </row>
    <row r="1667" spans="1:1" x14ac:dyDescent="0.25">
      <c r="A1667" t="s">
        <v>1731</v>
      </c>
    </row>
    <row r="1668" spans="1:1" x14ac:dyDescent="0.25">
      <c r="A1668" t="s">
        <v>1732</v>
      </c>
    </row>
    <row r="1669" spans="1:1" x14ac:dyDescent="0.25">
      <c r="A1669" t="s">
        <v>1733</v>
      </c>
    </row>
    <row r="1670" spans="1:1" x14ac:dyDescent="0.25">
      <c r="A1670" t="s">
        <v>1734</v>
      </c>
    </row>
    <row r="1671" spans="1:1" x14ac:dyDescent="0.25">
      <c r="A1671" t="s">
        <v>1735</v>
      </c>
    </row>
    <row r="1672" spans="1:1" x14ac:dyDescent="0.25">
      <c r="A1672" t="s">
        <v>1736</v>
      </c>
    </row>
    <row r="1673" spans="1:1" x14ac:dyDescent="0.25">
      <c r="A1673" t="s">
        <v>1737</v>
      </c>
    </row>
    <row r="1674" spans="1:1" x14ac:dyDescent="0.25">
      <c r="A1674" t="s">
        <v>1738</v>
      </c>
    </row>
    <row r="1675" spans="1:1" x14ac:dyDescent="0.25">
      <c r="A1675" t="s">
        <v>1739</v>
      </c>
    </row>
    <row r="1676" spans="1:1" x14ac:dyDescent="0.25">
      <c r="A1676" t="s">
        <v>1740</v>
      </c>
    </row>
    <row r="1677" spans="1:1" x14ac:dyDescent="0.25">
      <c r="A1677" t="s">
        <v>1741</v>
      </c>
    </row>
    <row r="1678" spans="1:1" x14ac:dyDescent="0.25">
      <c r="A1678" t="s">
        <v>1742</v>
      </c>
    </row>
    <row r="1679" spans="1:1" x14ac:dyDescent="0.25">
      <c r="A1679" t="s">
        <v>1743</v>
      </c>
    </row>
    <row r="1680" spans="1:1" x14ac:dyDescent="0.25">
      <c r="A1680" t="s">
        <v>1744</v>
      </c>
    </row>
    <row r="1681" spans="1:1" x14ac:dyDescent="0.25">
      <c r="A1681" t="s">
        <v>1745</v>
      </c>
    </row>
    <row r="1682" spans="1:1" x14ac:dyDescent="0.25">
      <c r="A1682" t="s">
        <v>1746</v>
      </c>
    </row>
    <row r="1683" spans="1:1" x14ac:dyDescent="0.25">
      <c r="A1683" t="s">
        <v>1747</v>
      </c>
    </row>
    <row r="1684" spans="1:1" x14ac:dyDescent="0.25">
      <c r="A1684" t="s">
        <v>1748</v>
      </c>
    </row>
    <row r="1685" spans="1:1" x14ac:dyDescent="0.25">
      <c r="A1685" t="s">
        <v>1749</v>
      </c>
    </row>
    <row r="1686" spans="1:1" x14ac:dyDescent="0.25">
      <c r="A1686" t="s">
        <v>1750</v>
      </c>
    </row>
    <row r="1687" spans="1:1" x14ac:dyDescent="0.25">
      <c r="A1687" t="s">
        <v>1751</v>
      </c>
    </row>
    <row r="1688" spans="1:1" x14ac:dyDescent="0.25">
      <c r="A1688" t="s">
        <v>1752</v>
      </c>
    </row>
    <row r="1689" spans="1:1" x14ac:dyDescent="0.25">
      <c r="A1689" t="s">
        <v>1753</v>
      </c>
    </row>
    <row r="1690" spans="1:1" x14ac:dyDescent="0.25">
      <c r="A1690" t="s">
        <v>1754</v>
      </c>
    </row>
    <row r="1691" spans="1:1" x14ac:dyDescent="0.25">
      <c r="A1691" t="s">
        <v>1755</v>
      </c>
    </row>
    <row r="1692" spans="1:1" x14ac:dyDescent="0.25">
      <c r="A1692" t="s">
        <v>1756</v>
      </c>
    </row>
    <row r="1693" spans="1:1" x14ac:dyDescent="0.25">
      <c r="A1693" t="s">
        <v>1757</v>
      </c>
    </row>
    <row r="1694" spans="1:1" x14ac:dyDescent="0.25">
      <c r="A1694" t="s">
        <v>1758</v>
      </c>
    </row>
    <row r="1695" spans="1:1" x14ac:dyDescent="0.25">
      <c r="A1695" t="s">
        <v>1759</v>
      </c>
    </row>
    <row r="1696" spans="1:1" x14ac:dyDescent="0.25">
      <c r="A1696" t="s">
        <v>1760</v>
      </c>
    </row>
    <row r="1697" spans="1:1" x14ac:dyDescent="0.25">
      <c r="A1697" t="s">
        <v>1761</v>
      </c>
    </row>
    <row r="1698" spans="1:1" x14ac:dyDescent="0.25">
      <c r="A1698" t="s">
        <v>1762</v>
      </c>
    </row>
    <row r="1699" spans="1:1" x14ac:dyDescent="0.25">
      <c r="A1699" t="s">
        <v>1763</v>
      </c>
    </row>
    <row r="1700" spans="1:1" x14ac:dyDescent="0.25">
      <c r="A1700" t="s">
        <v>1764</v>
      </c>
    </row>
    <row r="1701" spans="1:1" x14ac:dyDescent="0.25">
      <c r="A1701" t="s">
        <v>1765</v>
      </c>
    </row>
    <row r="1702" spans="1:1" x14ac:dyDescent="0.25">
      <c r="A1702" t="s">
        <v>1766</v>
      </c>
    </row>
    <row r="1703" spans="1:1" x14ac:dyDescent="0.25">
      <c r="A1703" t="s">
        <v>1767</v>
      </c>
    </row>
    <row r="1704" spans="1:1" x14ac:dyDescent="0.25">
      <c r="A1704" t="s">
        <v>1768</v>
      </c>
    </row>
    <row r="1705" spans="1:1" x14ac:dyDescent="0.25">
      <c r="A1705" t="s">
        <v>1769</v>
      </c>
    </row>
    <row r="1706" spans="1:1" x14ac:dyDescent="0.25">
      <c r="A1706" t="s">
        <v>1770</v>
      </c>
    </row>
    <row r="1707" spans="1:1" x14ac:dyDescent="0.25">
      <c r="A1707" t="s">
        <v>1771</v>
      </c>
    </row>
    <row r="1708" spans="1:1" x14ac:dyDescent="0.25">
      <c r="A1708" t="s">
        <v>1772</v>
      </c>
    </row>
    <row r="1709" spans="1:1" x14ac:dyDescent="0.25">
      <c r="A1709" t="s">
        <v>1773</v>
      </c>
    </row>
    <row r="1710" spans="1:1" x14ac:dyDescent="0.25">
      <c r="A1710" t="s">
        <v>1774</v>
      </c>
    </row>
    <row r="1711" spans="1:1" x14ac:dyDescent="0.25">
      <c r="A1711" t="s">
        <v>1775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DE589-4766-488B-B62A-02C3D4773C1D}">
  <sheetPr codeName="Sheet19"/>
  <dimension ref="A2:A1711"/>
  <sheetViews>
    <sheetView workbookViewId="0"/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92</v>
      </c>
    </row>
    <row r="29" spans="1:1" x14ac:dyDescent="0.25">
      <c r="A29" t="s">
        <v>93</v>
      </c>
    </row>
    <row r="30" spans="1:1" x14ac:dyDescent="0.25">
      <c r="A30" t="s">
        <v>94</v>
      </c>
    </row>
    <row r="31" spans="1:1" x14ac:dyDescent="0.25">
      <c r="A31" t="s">
        <v>95</v>
      </c>
    </row>
    <row r="32" spans="1:1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234</v>
      </c>
    </row>
    <row r="171" spans="1:1" x14ac:dyDescent="0.25">
      <c r="A171" t="s">
        <v>235</v>
      </c>
    </row>
    <row r="172" spans="1:1" x14ac:dyDescent="0.25">
      <c r="A172" t="s">
        <v>236</v>
      </c>
    </row>
    <row r="173" spans="1:1" x14ac:dyDescent="0.25">
      <c r="A173" t="s">
        <v>237</v>
      </c>
    </row>
    <row r="174" spans="1:1" x14ac:dyDescent="0.25">
      <c r="A174" t="s">
        <v>238</v>
      </c>
    </row>
    <row r="175" spans="1:1" x14ac:dyDescent="0.25">
      <c r="A175" t="s">
        <v>239</v>
      </c>
    </row>
    <row r="176" spans="1:1" x14ac:dyDescent="0.25">
      <c r="A176" t="s">
        <v>240</v>
      </c>
    </row>
    <row r="177" spans="1:1" x14ac:dyDescent="0.25">
      <c r="A177" t="s">
        <v>241</v>
      </c>
    </row>
    <row r="178" spans="1:1" x14ac:dyDescent="0.25">
      <c r="A178" t="s">
        <v>242</v>
      </c>
    </row>
    <row r="179" spans="1:1" x14ac:dyDescent="0.25">
      <c r="A179" t="s">
        <v>243</v>
      </c>
    </row>
    <row r="180" spans="1:1" x14ac:dyDescent="0.25">
      <c r="A180" t="s">
        <v>244</v>
      </c>
    </row>
    <row r="181" spans="1:1" x14ac:dyDescent="0.25">
      <c r="A181" t="s">
        <v>245</v>
      </c>
    </row>
    <row r="182" spans="1:1" x14ac:dyDescent="0.25">
      <c r="A182" t="s">
        <v>246</v>
      </c>
    </row>
    <row r="183" spans="1:1" x14ac:dyDescent="0.25">
      <c r="A183" t="s">
        <v>247</v>
      </c>
    </row>
    <row r="184" spans="1:1" x14ac:dyDescent="0.25">
      <c r="A184" t="s">
        <v>248</v>
      </c>
    </row>
    <row r="185" spans="1:1" x14ac:dyDescent="0.25">
      <c r="A185" t="s">
        <v>249</v>
      </c>
    </row>
    <row r="186" spans="1:1" x14ac:dyDescent="0.25">
      <c r="A186" t="s">
        <v>250</v>
      </c>
    </row>
    <row r="187" spans="1:1" x14ac:dyDescent="0.25">
      <c r="A187" t="s">
        <v>251</v>
      </c>
    </row>
    <row r="188" spans="1:1" x14ac:dyDescent="0.25">
      <c r="A188" t="s">
        <v>252</v>
      </c>
    </row>
    <row r="189" spans="1:1" x14ac:dyDescent="0.25">
      <c r="A189" t="s">
        <v>253</v>
      </c>
    </row>
    <row r="190" spans="1:1" x14ac:dyDescent="0.25">
      <c r="A190" t="s">
        <v>254</v>
      </c>
    </row>
    <row r="191" spans="1:1" x14ac:dyDescent="0.25">
      <c r="A191" t="s">
        <v>255</v>
      </c>
    </row>
    <row r="192" spans="1:1" x14ac:dyDescent="0.25">
      <c r="A192" t="s">
        <v>256</v>
      </c>
    </row>
    <row r="193" spans="1:1" x14ac:dyDescent="0.25">
      <c r="A193" t="s">
        <v>257</v>
      </c>
    </row>
    <row r="194" spans="1:1" x14ac:dyDescent="0.25">
      <c r="A194" t="s">
        <v>258</v>
      </c>
    </row>
    <row r="195" spans="1:1" x14ac:dyDescent="0.25">
      <c r="A195" t="s">
        <v>259</v>
      </c>
    </row>
    <row r="196" spans="1:1" x14ac:dyDescent="0.25">
      <c r="A196" t="s">
        <v>260</v>
      </c>
    </row>
    <row r="197" spans="1:1" x14ac:dyDescent="0.25">
      <c r="A197" t="s">
        <v>261</v>
      </c>
    </row>
    <row r="198" spans="1:1" x14ac:dyDescent="0.25">
      <c r="A198" t="s">
        <v>262</v>
      </c>
    </row>
    <row r="199" spans="1:1" x14ac:dyDescent="0.25">
      <c r="A199" t="s">
        <v>263</v>
      </c>
    </row>
    <row r="200" spans="1:1" x14ac:dyDescent="0.25">
      <c r="A200" t="s">
        <v>264</v>
      </c>
    </row>
    <row r="201" spans="1:1" x14ac:dyDescent="0.25">
      <c r="A201" t="s">
        <v>265</v>
      </c>
    </row>
    <row r="202" spans="1:1" x14ac:dyDescent="0.25">
      <c r="A202" t="s">
        <v>266</v>
      </c>
    </row>
    <row r="203" spans="1:1" x14ac:dyDescent="0.25">
      <c r="A203" t="s">
        <v>267</v>
      </c>
    </row>
    <row r="204" spans="1:1" x14ac:dyDescent="0.25">
      <c r="A204" t="s">
        <v>268</v>
      </c>
    </row>
    <row r="205" spans="1:1" x14ac:dyDescent="0.25">
      <c r="A205" t="s">
        <v>269</v>
      </c>
    </row>
    <row r="206" spans="1:1" x14ac:dyDescent="0.25">
      <c r="A206" t="s">
        <v>270</v>
      </c>
    </row>
    <row r="207" spans="1:1" x14ac:dyDescent="0.25">
      <c r="A207" t="s">
        <v>271</v>
      </c>
    </row>
    <row r="208" spans="1:1" x14ac:dyDescent="0.25">
      <c r="A208" t="s">
        <v>272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277</v>
      </c>
    </row>
    <row r="214" spans="1:1" x14ac:dyDescent="0.25">
      <c r="A214" t="s">
        <v>278</v>
      </c>
    </row>
    <row r="215" spans="1:1" x14ac:dyDescent="0.25">
      <c r="A215" t="s">
        <v>279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282</v>
      </c>
    </row>
    <row r="219" spans="1:1" x14ac:dyDescent="0.25">
      <c r="A219" t="s">
        <v>283</v>
      </c>
    </row>
    <row r="220" spans="1:1" x14ac:dyDescent="0.25">
      <c r="A220" t="s">
        <v>284</v>
      </c>
    </row>
    <row r="221" spans="1:1" x14ac:dyDescent="0.25">
      <c r="A221" t="s">
        <v>285</v>
      </c>
    </row>
    <row r="222" spans="1:1" x14ac:dyDescent="0.25">
      <c r="A222" t="s">
        <v>286</v>
      </c>
    </row>
    <row r="223" spans="1:1" x14ac:dyDescent="0.25">
      <c r="A223" t="s">
        <v>287</v>
      </c>
    </row>
    <row r="224" spans="1:1" x14ac:dyDescent="0.25">
      <c r="A224" t="s">
        <v>288</v>
      </c>
    </row>
    <row r="225" spans="1:1" x14ac:dyDescent="0.25">
      <c r="A225" t="s">
        <v>289</v>
      </c>
    </row>
    <row r="226" spans="1:1" x14ac:dyDescent="0.25">
      <c r="A226" t="s">
        <v>290</v>
      </c>
    </row>
    <row r="227" spans="1:1" x14ac:dyDescent="0.25">
      <c r="A227" t="s">
        <v>291</v>
      </c>
    </row>
    <row r="228" spans="1:1" x14ac:dyDescent="0.25">
      <c r="A228" t="s">
        <v>292</v>
      </c>
    </row>
    <row r="229" spans="1:1" x14ac:dyDescent="0.25">
      <c r="A229" t="s">
        <v>293</v>
      </c>
    </row>
    <row r="230" spans="1:1" x14ac:dyDescent="0.25">
      <c r="A230" t="s">
        <v>294</v>
      </c>
    </row>
    <row r="231" spans="1:1" x14ac:dyDescent="0.25">
      <c r="A231" t="s">
        <v>295</v>
      </c>
    </row>
    <row r="232" spans="1:1" x14ac:dyDescent="0.25">
      <c r="A232" t="s">
        <v>296</v>
      </c>
    </row>
    <row r="233" spans="1:1" x14ac:dyDescent="0.25">
      <c r="A233" t="s">
        <v>297</v>
      </c>
    </row>
    <row r="234" spans="1:1" x14ac:dyDescent="0.25">
      <c r="A234" t="s">
        <v>298</v>
      </c>
    </row>
    <row r="235" spans="1:1" x14ac:dyDescent="0.25">
      <c r="A235" t="s">
        <v>299</v>
      </c>
    </row>
    <row r="236" spans="1:1" x14ac:dyDescent="0.25">
      <c r="A236" t="s">
        <v>300</v>
      </c>
    </row>
    <row r="237" spans="1:1" x14ac:dyDescent="0.25">
      <c r="A237" t="s">
        <v>301</v>
      </c>
    </row>
    <row r="238" spans="1:1" x14ac:dyDescent="0.25">
      <c r="A238" t="s">
        <v>302</v>
      </c>
    </row>
    <row r="239" spans="1:1" x14ac:dyDescent="0.25">
      <c r="A239" t="s">
        <v>303</v>
      </c>
    </row>
    <row r="240" spans="1:1" x14ac:dyDescent="0.25">
      <c r="A240" t="s">
        <v>304</v>
      </c>
    </row>
    <row r="241" spans="1:1" x14ac:dyDescent="0.25">
      <c r="A241" t="s">
        <v>305</v>
      </c>
    </row>
    <row r="242" spans="1:1" x14ac:dyDescent="0.25">
      <c r="A242" t="s">
        <v>306</v>
      </c>
    </row>
    <row r="243" spans="1:1" x14ac:dyDescent="0.25">
      <c r="A243" t="s">
        <v>307</v>
      </c>
    </row>
    <row r="244" spans="1:1" x14ac:dyDescent="0.25">
      <c r="A244" t="s">
        <v>308</v>
      </c>
    </row>
    <row r="245" spans="1:1" x14ac:dyDescent="0.25">
      <c r="A245" t="s">
        <v>309</v>
      </c>
    </row>
    <row r="246" spans="1:1" x14ac:dyDescent="0.25">
      <c r="A246" t="s">
        <v>310</v>
      </c>
    </row>
    <row r="247" spans="1:1" x14ac:dyDescent="0.25">
      <c r="A247" t="s">
        <v>311</v>
      </c>
    </row>
    <row r="248" spans="1:1" x14ac:dyDescent="0.25">
      <c r="A248" t="s">
        <v>312</v>
      </c>
    </row>
    <row r="249" spans="1:1" x14ac:dyDescent="0.25">
      <c r="A249" t="s">
        <v>313</v>
      </c>
    </row>
    <row r="250" spans="1:1" x14ac:dyDescent="0.25">
      <c r="A250" t="s">
        <v>314</v>
      </c>
    </row>
    <row r="251" spans="1:1" x14ac:dyDescent="0.25">
      <c r="A251" t="s">
        <v>315</v>
      </c>
    </row>
    <row r="252" spans="1:1" x14ac:dyDescent="0.25">
      <c r="A252" t="s">
        <v>316</v>
      </c>
    </row>
    <row r="253" spans="1:1" x14ac:dyDescent="0.25">
      <c r="A253" t="s">
        <v>317</v>
      </c>
    </row>
    <row r="254" spans="1:1" x14ac:dyDescent="0.25">
      <c r="A254" t="s">
        <v>318</v>
      </c>
    </row>
    <row r="255" spans="1:1" x14ac:dyDescent="0.25">
      <c r="A255" t="s">
        <v>319</v>
      </c>
    </row>
    <row r="256" spans="1:1" x14ac:dyDescent="0.25">
      <c r="A256" t="s">
        <v>320</v>
      </c>
    </row>
    <row r="257" spans="1:1" x14ac:dyDescent="0.25">
      <c r="A257" t="s">
        <v>321</v>
      </c>
    </row>
    <row r="258" spans="1:1" x14ac:dyDescent="0.25">
      <c r="A258" t="s">
        <v>322</v>
      </c>
    </row>
    <row r="259" spans="1:1" x14ac:dyDescent="0.25">
      <c r="A259" t="s">
        <v>323</v>
      </c>
    </row>
    <row r="260" spans="1:1" x14ac:dyDescent="0.25">
      <c r="A260" t="s">
        <v>324</v>
      </c>
    </row>
    <row r="261" spans="1:1" x14ac:dyDescent="0.25">
      <c r="A261" t="s">
        <v>325</v>
      </c>
    </row>
    <row r="262" spans="1:1" x14ac:dyDescent="0.25">
      <c r="A262" t="s">
        <v>326</v>
      </c>
    </row>
    <row r="263" spans="1:1" x14ac:dyDescent="0.25">
      <c r="A263" t="s">
        <v>327</v>
      </c>
    </row>
    <row r="264" spans="1:1" x14ac:dyDescent="0.25">
      <c r="A264" t="s">
        <v>328</v>
      </c>
    </row>
    <row r="265" spans="1:1" x14ac:dyDescent="0.25">
      <c r="A265" t="s">
        <v>329</v>
      </c>
    </row>
    <row r="266" spans="1:1" x14ac:dyDescent="0.25">
      <c r="A266" t="s">
        <v>330</v>
      </c>
    </row>
    <row r="267" spans="1:1" x14ac:dyDescent="0.25">
      <c r="A267" t="s">
        <v>331</v>
      </c>
    </row>
    <row r="268" spans="1:1" x14ac:dyDescent="0.25">
      <c r="A268" t="s">
        <v>332</v>
      </c>
    </row>
    <row r="269" spans="1:1" x14ac:dyDescent="0.25">
      <c r="A269" t="s">
        <v>333</v>
      </c>
    </row>
    <row r="270" spans="1:1" x14ac:dyDescent="0.25">
      <c r="A270" t="s">
        <v>334</v>
      </c>
    </row>
    <row r="271" spans="1:1" x14ac:dyDescent="0.25">
      <c r="A271" t="s">
        <v>335</v>
      </c>
    </row>
    <row r="272" spans="1:1" x14ac:dyDescent="0.25">
      <c r="A272" t="s">
        <v>336</v>
      </c>
    </row>
    <row r="273" spans="1:1" x14ac:dyDescent="0.25">
      <c r="A273" t="s">
        <v>337</v>
      </c>
    </row>
    <row r="274" spans="1:1" x14ac:dyDescent="0.25">
      <c r="A274" t="s">
        <v>338</v>
      </c>
    </row>
    <row r="275" spans="1:1" x14ac:dyDescent="0.25">
      <c r="A275" t="s">
        <v>339</v>
      </c>
    </row>
    <row r="276" spans="1:1" x14ac:dyDescent="0.25">
      <c r="A276" t="s">
        <v>340</v>
      </c>
    </row>
    <row r="277" spans="1:1" x14ac:dyDescent="0.25">
      <c r="A277" t="s">
        <v>341</v>
      </c>
    </row>
    <row r="278" spans="1:1" x14ac:dyDescent="0.25">
      <c r="A278" t="s">
        <v>342</v>
      </c>
    </row>
    <row r="279" spans="1:1" x14ac:dyDescent="0.25">
      <c r="A279" t="s">
        <v>343</v>
      </c>
    </row>
    <row r="280" spans="1:1" x14ac:dyDescent="0.25">
      <c r="A280" t="s">
        <v>344</v>
      </c>
    </row>
    <row r="281" spans="1:1" x14ac:dyDescent="0.25">
      <c r="A281" t="s">
        <v>345</v>
      </c>
    </row>
    <row r="282" spans="1:1" x14ac:dyDescent="0.25">
      <c r="A282" t="s">
        <v>346</v>
      </c>
    </row>
    <row r="283" spans="1:1" x14ac:dyDescent="0.25">
      <c r="A283" t="s">
        <v>347</v>
      </c>
    </row>
    <row r="284" spans="1:1" x14ac:dyDescent="0.25">
      <c r="A284" t="s">
        <v>348</v>
      </c>
    </row>
    <row r="285" spans="1:1" x14ac:dyDescent="0.25">
      <c r="A285" t="s">
        <v>349</v>
      </c>
    </row>
    <row r="286" spans="1:1" x14ac:dyDescent="0.25">
      <c r="A286" t="s">
        <v>350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353</v>
      </c>
    </row>
    <row r="290" spans="1:1" x14ac:dyDescent="0.25">
      <c r="A290" t="s">
        <v>354</v>
      </c>
    </row>
    <row r="291" spans="1:1" x14ac:dyDescent="0.25">
      <c r="A291" t="s">
        <v>355</v>
      </c>
    </row>
    <row r="292" spans="1:1" x14ac:dyDescent="0.25">
      <c r="A292" t="s">
        <v>356</v>
      </c>
    </row>
    <row r="293" spans="1:1" x14ac:dyDescent="0.25">
      <c r="A293" t="s">
        <v>357</v>
      </c>
    </row>
    <row r="294" spans="1:1" x14ac:dyDescent="0.25">
      <c r="A294" t="s">
        <v>358</v>
      </c>
    </row>
    <row r="295" spans="1:1" x14ac:dyDescent="0.25">
      <c r="A295" t="s">
        <v>359</v>
      </c>
    </row>
    <row r="296" spans="1:1" x14ac:dyDescent="0.25">
      <c r="A296" t="s">
        <v>360</v>
      </c>
    </row>
    <row r="297" spans="1:1" x14ac:dyDescent="0.25">
      <c r="A297" t="s">
        <v>361</v>
      </c>
    </row>
    <row r="298" spans="1:1" x14ac:dyDescent="0.25">
      <c r="A298" t="s">
        <v>362</v>
      </c>
    </row>
    <row r="299" spans="1:1" x14ac:dyDescent="0.25">
      <c r="A299" t="s">
        <v>363</v>
      </c>
    </row>
    <row r="300" spans="1:1" x14ac:dyDescent="0.25">
      <c r="A300" t="s">
        <v>364</v>
      </c>
    </row>
    <row r="301" spans="1:1" x14ac:dyDescent="0.25">
      <c r="A301" t="s">
        <v>365</v>
      </c>
    </row>
    <row r="302" spans="1:1" x14ac:dyDescent="0.25">
      <c r="A302" t="s">
        <v>366</v>
      </c>
    </row>
    <row r="303" spans="1:1" x14ac:dyDescent="0.25">
      <c r="A303" t="s">
        <v>367</v>
      </c>
    </row>
    <row r="304" spans="1:1" x14ac:dyDescent="0.25">
      <c r="A304" t="s">
        <v>368</v>
      </c>
    </row>
    <row r="305" spans="1:1" x14ac:dyDescent="0.25">
      <c r="A305" t="s">
        <v>369</v>
      </c>
    </row>
    <row r="306" spans="1:1" x14ac:dyDescent="0.25">
      <c r="A306" t="s">
        <v>370</v>
      </c>
    </row>
    <row r="307" spans="1:1" x14ac:dyDescent="0.25">
      <c r="A307" t="s">
        <v>371</v>
      </c>
    </row>
    <row r="308" spans="1:1" x14ac:dyDescent="0.25">
      <c r="A308" t="s">
        <v>372</v>
      </c>
    </row>
    <row r="309" spans="1:1" x14ac:dyDescent="0.25">
      <c r="A309" t="s">
        <v>373</v>
      </c>
    </row>
    <row r="310" spans="1:1" x14ac:dyDescent="0.25">
      <c r="A310" t="s">
        <v>374</v>
      </c>
    </row>
    <row r="311" spans="1:1" x14ac:dyDescent="0.25">
      <c r="A311" t="s">
        <v>375</v>
      </c>
    </row>
    <row r="312" spans="1:1" x14ac:dyDescent="0.25">
      <c r="A312" t="s">
        <v>376</v>
      </c>
    </row>
    <row r="313" spans="1:1" x14ac:dyDescent="0.25">
      <c r="A313" t="s">
        <v>377</v>
      </c>
    </row>
    <row r="314" spans="1:1" x14ac:dyDescent="0.25">
      <c r="A314" t="s">
        <v>378</v>
      </c>
    </row>
    <row r="315" spans="1:1" x14ac:dyDescent="0.25">
      <c r="A315" t="s">
        <v>379</v>
      </c>
    </row>
    <row r="316" spans="1:1" x14ac:dyDescent="0.25">
      <c r="A316" t="s">
        <v>380</v>
      </c>
    </row>
    <row r="317" spans="1:1" x14ac:dyDescent="0.25">
      <c r="A317" t="s">
        <v>381</v>
      </c>
    </row>
    <row r="318" spans="1:1" x14ac:dyDescent="0.25">
      <c r="A318" t="s">
        <v>382</v>
      </c>
    </row>
    <row r="319" spans="1:1" x14ac:dyDescent="0.25">
      <c r="A319" t="s">
        <v>383</v>
      </c>
    </row>
    <row r="320" spans="1:1" x14ac:dyDescent="0.25">
      <c r="A320" t="s">
        <v>384</v>
      </c>
    </row>
    <row r="321" spans="1:1" x14ac:dyDescent="0.25">
      <c r="A321" t="s">
        <v>385</v>
      </c>
    </row>
    <row r="322" spans="1:1" x14ac:dyDescent="0.25">
      <c r="A322" t="s">
        <v>386</v>
      </c>
    </row>
    <row r="323" spans="1:1" x14ac:dyDescent="0.25">
      <c r="A323" t="s">
        <v>387</v>
      </c>
    </row>
    <row r="324" spans="1:1" x14ac:dyDescent="0.25">
      <c r="A324" t="s">
        <v>388</v>
      </c>
    </row>
    <row r="325" spans="1:1" x14ac:dyDescent="0.25">
      <c r="A325" t="s">
        <v>389</v>
      </c>
    </row>
    <row r="326" spans="1:1" x14ac:dyDescent="0.25">
      <c r="A326" t="s">
        <v>390</v>
      </c>
    </row>
    <row r="327" spans="1:1" x14ac:dyDescent="0.25">
      <c r="A327" t="s">
        <v>391</v>
      </c>
    </row>
    <row r="328" spans="1:1" x14ac:dyDescent="0.25">
      <c r="A328" t="s">
        <v>392</v>
      </c>
    </row>
    <row r="329" spans="1:1" x14ac:dyDescent="0.25">
      <c r="A329" t="s">
        <v>393</v>
      </c>
    </row>
    <row r="330" spans="1:1" x14ac:dyDescent="0.25">
      <c r="A330" t="s">
        <v>394</v>
      </c>
    </row>
    <row r="331" spans="1:1" x14ac:dyDescent="0.25">
      <c r="A331" t="s">
        <v>395</v>
      </c>
    </row>
    <row r="332" spans="1:1" x14ac:dyDescent="0.25">
      <c r="A332" t="s">
        <v>396</v>
      </c>
    </row>
    <row r="333" spans="1:1" x14ac:dyDescent="0.25">
      <c r="A333" t="s">
        <v>397</v>
      </c>
    </row>
    <row r="334" spans="1:1" x14ac:dyDescent="0.25">
      <c r="A334" t="s">
        <v>398</v>
      </c>
    </row>
    <row r="335" spans="1:1" x14ac:dyDescent="0.25">
      <c r="A335" t="s">
        <v>399</v>
      </c>
    </row>
    <row r="336" spans="1:1" x14ac:dyDescent="0.25">
      <c r="A336" t="s">
        <v>400</v>
      </c>
    </row>
    <row r="337" spans="1:1" x14ac:dyDescent="0.25">
      <c r="A337" t="s">
        <v>401</v>
      </c>
    </row>
    <row r="338" spans="1:1" x14ac:dyDescent="0.25">
      <c r="A338" t="s">
        <v>402</v>
      </c>
    </row>
    <row r="339" spans="1:1" x14ac:dyDescent="0.25">
      <c r="A339" t="s">
        <v>403</v>
      </c>
    </row>
    <row r="340" spans="1:1" x14ac:dyDescent="0.25">
      <c r="A340" t="s">
        <v>404</v>
      </c>
    </row>
    <row r="341" spans="1:1" x14ac:dyDescent="0.25">
      <c r="A341" t="s">
        <v>405</v>
      </c>
    </row>
    <row r="342" spans="1:1" x14ac:dyDescent="0.25">
      <c r="A342" t="s">
        <v>406</v>
      </c>
    </row>
    <row r="343" spans="1:1" x14ac:dyDescent="0.25">
      <c r="A343" t="s">
        <v>407</v>
      </c>
    </row>
    <row r="344" spans="1:1" x14ac:dyDescent="0.25">
      <c r="A344" t="s">
        <v>408</v>
      </c>
    </row>
    <row r="345" spans="1:1" x14ac:dyDescent="0.25">
      <c r="A345" t="s">
        <v>409</v>
      </c>
    </row>
    <row r="346" spans="1:1" x14ac:dyDescent="0.25">
      <c r="A346" t="s">
        <v>410</v>
      </c>
    </row>
    <row r="347" spans="1:1" x14ac:dyDescent="0.25">
      <c r="A347" t="s">
        <v>411</v>
      </c>
    </row>
    <row r="348" spans="1:1" x14ac:dyDescent="0.25">
      <c r="A348" t="s">
        <v>412</v>
      </c>
    </row>
    <row r="349" spans="1:1" x14ac:dyDescent="0.25">
      <c r="A349" t="s">
        <v>413</v>
      </c>
    </row>
    <row r="350" spans="1:1" x14ac:dyDescent="0.25">
      <c r="A350" t="s">
        <v>414</v>
      </c>
    </row>
    <row r="351" spans="1:1" x14ac:dyDescent="0.25">
      <c r="A351" t="s">
        <v>415</v>
      </c>
    </row>
    <row r="352" spans="1:1" x14ac:dyDescent="0.25">
      <c r="A352" t="s">
        <v>416</v>
      </c>
    </row>
    <row r="353" spans="1:1" x14ac:dyDescent="0.25">
      <c r="A353" t="s">
        <v>417</v>
      </c>
    </row>
    <row r="354" spans="1:1" x14ac:dyDescent="0.25">
      <c r="A354" t="s">
        <v>418</v>
      </c>
    </row>
    <row r="355" spans="1:1" x14ac:dyDescent="0.25">
      <c r="A355" t="s">
        <v>419</v>
      </c>
    </row>
    <row r="356" spans="1:1" x14ac:dyDescent="0.25">
      <c r="A356" t="s">
        <v>420</v>
      </c>
    </row>
    <row r="357" spans="1:1" x14ac:dyDescent="0.25">
      <c r="A357" t="s">
        <v>421</v>
      </c>
    </row>
    <row r="358" spans="1:1" x14ac:dyDescent="0.25">
      <c r="A358" t="s">
        <v>422</v>
      </c>
    </row>
    <row r="359" spans="1:1" x14ac:dyDescent="0.25">
      <c r="A359" t="s">
        <v>423</v>
      </c>
    </row>
    <row r="360" spans="1:1" x14ac:dyDescent="0.25">
      <c r="A360" t="s">
        <v>424</v>
      </c>
    </row>
    <row r="361" spans="1:1" x14ac:dyDescent="0.25">
      <c r="A361" t="s">
        <v>425</v>
      </c>
    </row>
    <row r="362" spans="1:1" x14ac:dyDescent="0.25">
      <c r="A362" t="s">
        <v>426</v>
      </c>
    </row>
    <row r="363" spans="1:1" x14ac:dyDescent="0.25">
      <c r="A363" t="s">
        <v>427</v>
      </c>
    </row>
    <row r="364" spans="1:1" x14ac:dyDescent="0.25">
      <c r="A364" t="s">
        <v>428</v>
      </c>
    </row>
    <row r="365" spans="1:1" x14ac:dyDescent="0.25">
      <c r="A365" t="s">
        <v>429</v>
      </c>
    </row>
    <row r="366" spans="1:1" x14ac:dyDescent="0.25">
      <c r="A366" t="s">
        <v>430</v>
      </c>
    </row>
    <row r="367" spans="1:1" x14ac:dyDescent="0.25">
      <c r="A367" t="s">
        <v>431</v>
      </c>
    </row>
    <row r="368" spans="1:1" x14ac:dyDescent="0.25">
      <c r="A368" t="s">
        <v>432</v>
      </c>
    </row>
    <row r="369" spans="1:1" x14ac:dyDescent="0.25">
      <c r="A369" t="s">
        <v>433</v>
      </c>
    </row>
    <row r="370" spans="1:1" x14ac:dyDescent="0.25">
      <c r="A370" t="s">
        <v>434</v>
      </c>
    </row>
    <row r="371" spans="1:1" x14ac:dyDescent="0.25">
      <c r="A371" t="s">
        <v>435</v>
      </c>
    </row>
    <row r="372" spans="1:1" x14ac:dyDescent="0.25">
      <c r="A372" t="s">
        <v>436</v>
      </c>
    </row>
    <row r="373" spans="1:1" x14ac:dyDescent="0.25">
      <c r="A373" t="s">
        <v>437</v>
      </c>
    </row>
    <row r="374" spans="1:1" x14ac:dyDescent="0.25">
      <c r="A374" t="s">
        <v>438</v>
      </c>
    </row>
    <row r="375" spans="1:1" x14ac:dyDescent="0.25">
      <c r="A375" t="s">
        <v>439</v>
      </c>
    </row>
    <row r="376" spans="1:1" x14ac:dyDescent="0.25">
      <c r="A376" t="s">
        <v>440</v>
      </c>
    </row>
    <row r="377" spans="1:1" x14ac:dyDescent="0.25">
      <c r="A377" t="s">
        <v>441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450</v>
      </c>
    </row>
    <row r="387" spans="1:1" x14ac:dyDescent="0.25">
      <c r="A387" t="s">
        <v>451</v>
      </c>
    </row>
    <row r="388" spans="1:1" x14ac:dyDescent="0.25">
      <c r="A388" t="s">
        <v>452</v>
      </c>
    </row>
    <row r="389" spans="1:1" x14ac:dyDescent="0.25">
      <c r="A389" t="s">
        <v>453</v>
      </c>
    </row>
    <row r="390" spans="1:1" x14ac:dyDescent="0.25">
      <c r="A390" t="s">
        <v>454</v>
      </c>
    </row>
    <row r="391" spans="1:1" x14ac:dyDescent="0.25">
      <c r="A391" t="s">
        <v>455</v>
      </c>
    </row>
    <row r="392" spans="1:1" x14ac:dyDescent="0.25">
      <c r="A392" t="s">
        <v>456</v>
      </c>
    </row>
    <row r="393" spans="1:1" x14ac:dyDescent="0.25">
      <c r="A393" t="s">
        <v>457</v>
      </c>
    </row>
    <row r="394" spans="1:1" x14ac:dyDescent="0.25">
      <c r="A394" t="s">
        <v>458</v>
      </c>
    </row>
    <row r="395" spans="1:1" x14ac:dyDescent="0.25">
      <c r="A395" t="s">
        <v>459</v>
      </c>
    </row>
    <row r="396" spans="1:1" x14ac:dyDescent="0.25">
      <c r="A396" t="s">
        <v>460</v>
      </c>
    </row>
    <row r="397" spans="1:1" x14ac:dyDescent="0.25">
      <c r="A397" t="s">
        <v>461</v>
      </c>
    </row>
    <row r="398" spans="1:1" x14ac:dyDescent="0.25">
      <c r="A398" t="s">
        <v>462</v>
      </c>
    </row>
    <row r="399" spans="1:1" x14ac:dyDescent="0.25">
      <c r="A399" t="s">
        <v>463</v>
      </c>
    </row>
    <row r="400" spans="1:1" x14ac:dyDescent="0.25">
      <c r="A400" t="s">
        <v>464</v>
      </c>
    </row>
    <row r="401" spans="1:1" x14ac:dyDescent="0.25">
      <c r="A401" t="s">
        <v>465</v>
      </c>
    </row>
    <row r="402" spans="1:1" x14ac:dyDescent="0.25">
      <c r="A402" t="s">
        <v>466</v>
      </c>
    </row>
    <row r="403" spans="1:1" x14ac:dyDescent="0.25">
      <c r="A403" t="s">
        <v>467</v>
      </c>
    </row>
    <row r="404" spans="1:1" x14ac:dyDescent="0.25">
      <c r="A404" t="s">
        <v>468</v>
      </c>
    </row>
    <row r="405" spans="1:1" x14ac:dyDescent="0.25">
      <c r="A405" t="s">
        <v>469</v>
      </c>
    </row>
    <row r="406" spans="1:1" x14ac:dyDescent="0.25">
      <c r="A406" t="s">
        <v>470</v>
      </c>
    </row>
    <row r="407" spans="1:1" x14ac:dyDescent="0.25">
      <c r="A407" t="s">
        <v>471</v>
      </c>
    </row>
    <row r="408" spans="1:1" x14ac:dyDescent="0.25">
      <c r="A408" t="s">
        <v>472</v>
      </c>
    </row>
    <row r="409" spans="1:1" x14ac:dyDescent="0.25">
      <c r="A409" t="s">
        <v>473</v>
      </c>
    </row>
    <row r="410" spans="1:1" x14ac:dyDescent="0.25">
      <c r="A410" t="s">
        <v>474</v>
      </c>
    </row>
    <row r="411" spans="1:1" x14ac:dyDescent="0.25">
      <c r="A411" t="s">
        <v>475</v>
      </c>
    </row>
    <row r="412" spans="1:1" x14ac:dyDescent="0.25">
      <c r="A412" t="s">
        <v>476</v>
      </c>
    </row>
    <row r="413" spans="1:1" x14ac:dyDescent="0.25">
      <c r="A413" t="s">
        <v>477</v>
      </c>
    </row>
    <row r="414" spans="1:1" x14ac:dyDescent="0.25">
      <c r="A414" t="s">
        <v>478</v>
      </c>
    </row>
    <row r="415" spans="1:1" x14ac:dyDescent="0.25">
      <c r="A415" t="s">
        <v>479</v>
      </c>
    </row>
    <row r="416" spans="1:1" x14ac:dyDescent="0.25">
      <c r="A416" t="s">
        <v>480</v>
      </c>
    </row>
    <row r="417" spans="1:1" x14ac:dyDescent="0.25">
      <c r="A417" t="s">
        <v>481</v>
      </c>
    </row>
    <row r="418" spans="1:1" x14ac:dyDescent="0.25">
      <c r="A418" t="s">
        <v>482</v>
      </c>
    </row>
    <row r="419" spans="1:1" x14ac:dyDescent="0.25">
      <c r="A419" t="s">
        <v>483</v>
      </c>
    </row>
    <row r="420" spans="1:1" x14ac:dyDescent="0.25">
      <c r="A420" t="s">
        <v>484</v>
      </c>
    </row>
    <row r="421" spans="1:1" x14ac:dyDescent="0.25">
      <c r="A421" t="s">
        <v>485</v>
      </c>
    </row>
    <row r="422" spans="1:1" x14ac:dyDescent="0.25">
      <c r="A422" t="s">
        <v>486</v>
      </c>
    </row>
    <row r="423" spans="1:1" x14ac:dyDescent="0.25">
      <c r="A423" t="s">
        <v>487</v>
      </c>
    </row>
    <row r="424" spans="1:1" x14ac:dyDescent="0.25">
      <c r="A424" t="s">
        <v>488</v>
      </c>
    </row>
    <row r="425" spans="1:1" x14ac:dyDescent="0.25">
      <c r="A425" t="s">
        <v>489</v>
      </c>
    </row>
    <row r="426" spans="1:1" x14ac:dyDescent="0.25">
      <c r="A426" t="s">
        <v>490</v>
      </c>
    </row>
    <row r="427" spans="1:1" x14ac:dyDescent="0.25">
      <c r="A427" t="s">
        <v>491</v>
      </c>
    </row>
    <row r="428" spans="1:1" x14ac:dyDescent="0.25">
      <c r="A428" t="s">
        <v>492</v>
      </c>
    </row>
    <row r="429" spans="1:1" x14ac:dyDescent="0.25">
      <c r="A429" t="s">
        <v>493</v>
      </c>
    </row>
    <row r="430" spans="1:1" x14ac:dyDescent="0.25">
      <c r="A430" t="s">
        <v>494</v>
      </c>
    </row>
    <row r="431" spans="1:1" x14ac:dyDescent="0.25">
      <c r="A431" t="s">
        <v>495</v>
      </c>
    </row>
    <row r="432" spans="1:1" x14ac:dyDescent="0.25">
      <c r="A432" t="s">
        <v>496</v>
      </c>
    </row>
    <row r="433" spans="1:1" x14ac:dyDescent="0.25">
      <c r="A433" t="s">
        <v>497</v>
      </c>
    </row>
    <row r="434" spans="1:1" x14ac:dyDescent="0.25">
      <c r="A434" t="s">
        <v>498</v>
      </c>
    </row>
    <row r="435" spans="1:1" x14ac:dyDescent="0.25">
      <c r="A435" t="s">
        <v>499</v>
      </c>
    </row>
    <row r="436" spans="1:1" x14ac:dyDescent="0.25">
      <c r="A436" t="s">
        <v>500</v>
      </c>
    </row>
    <row r="437" spans="1:1" x14ac:dyDescent="0.25">
      <c r="A437" t="s">
        <v>501</v>
      </c>
    </row>
    <row r="438" spans="1:1" x14ac:dyDescent="0.25">
      <c r="A438" t="s">
        <v>502</v>
      </c>
    </row>
    <row r="439" spans="1:1" x14ac:dyDescent="0.25">
      <c r="A439" t="s">
        <v>503</v>
      </c>
    </row>
    <row r="440" spans="1:1" x14ac:dyDescent="0.25">
      <c r="A440" t="s">
        <v>504</v>
      </c>
    </row>
    <row r="441" spans="1:1" x14ac:dyDescent="0.25">
      <c r="A441" t="s">
        <v>505</v>
      </c>
    </row>
    <row r="442" spans="1:1" x14ac:dyDescent="0.25">
      <c r="A442" t="s">
        <v>506</v>
      </c>
    </row>
    <row r="443" spans="1:1" x14ac:dyDescent="0.25">
      <c r="A443" t="s">
        <v>507</v>
      </c>
    </row>
    <row r="444" spans="1:1" x14ac:dyDescent="0.25">
      <c r="A444" t="s">
        <v>508</v>
      </c>
    </row>
    <row r="445" spans="1:1" x14ac:dyDescent="0.25">
      <c r="A445" t="s">
        <v>509</v>
      </c>
    </row>
    <row r="446" spans="1:1" x14ac:dyDescent="0.25">
      <c r="A446" t="s">
        <v>510</v>
      </c>
    </row>
    <row r="447" spans="1:1" x14ac:dyDescent="0.25">
      <c r="A447" t="s">
        <v>511</v>
      </c>
    </row>
    <row r="448" spans="1:1" x14ac:dyDescent="0.25">
      <c r="A448" t="s">
        <v>512</v>
      </c>
    </row>
    <row r="449" spans="1:1" x14ac:dyDescent="0.25">
      <c r="A449" t="s">
        <v>513</v>
      </c>
    </row>
    <row r="450" spans="1:1" x14ac:dyDescent="0.25">
      <c r="A450" t="s">
        <v>514</v>
      </c>
    </row>
    <row r="451" spans="1:1" x14ac:dyDescent="0.25">
      <c r="A451" t="s">
        <v>515</v>
      </c>
    </row>
    <row r="452" spans="1:1" x14ac:dyDescent="0.25">
      <c r="A452" t="s">
        <v>516</v>
      </c>
    </row>
    <row r="453" spans="1:1" x14ac:dyDescent="0.25">
      <c r="A453" t="s">
        <v>517</v>
      </c>
    </row>
    <row r="454" spans="1:1" x14ac:dyDescent="0.25">
      <c r="A454" t="s">
        <v>518</v>
      </c>
    </row>
    <row r="455" spans="1:1" x14ac:dyDescent="0.25">
      <c r="A455" t="s">
        <v>519</v>
      </c>
    </row>
    <row r="456" spans="1:1" x14ac:dyDescent="0.25">
      <c r="A456" t="s">
        <v>520</v>
      </c>
    </row>
    <row r="457" spans="1:1" x14ac:dyDescent="0.25">
      <c r="A457" t="s">
        <v>521</v>
      </c>
    </row>
    <row r="458" spans="1:1" x14ac:dyDescent="0.25">
      <c r="A458" t="s">
        <v>522</v>
      </c>
    </row>
    <row r="459" spans="1:1" x14ac:dyDescent="0.25">
      <c r="A459" t="s">
        <v>523</v>
      </c>
    </row>
    <row r="460" spans="1:1" x14ac:dyDescent="0.25">
      <c r="A460" t="s">
        <v>524</v>
      </c>
    </row>
    <row r="461" spans="1:1" x14ac:dyDescent="0.25">
      <c r="A461" t="s">
        <v>525</v>
      </c>
    </row>
    <row r="462" spans="1:1" x14ac:dyDescent="0.25">
      <c r="A462" t="s">
        <v>526</v>
      </c>
    </row>
    <row r="463" spans="1:1" x14ac:dyDescent="0.25">
      <c r="A463" t="s">
        <v>527</v>
      </c>
    </row>
    <row r="464" spans="1:1" x14ac:dyDescent="0.25">
      <c r="A464" t="s">
        <v>528</v>
      </c>
    </row>
    <row r="465" spans="1:1" x14ac:dyDescent="0.25">
      <c r="A465" t="s">
        <v>529</v>
      </c>
    </row>
    <row r="466" spans="1:1" x14ac:dyDescent="0.25">
      <c r="A466" t="s">
        <v>530</v>
      </c>
    </row>
    <row r="467" spans="1:1" x14ac:dyDescent="0.25">
      <c r="A467" t="s">
        <v>531</v>
      </c>
    </row>
    <row r="468" spans="1:1" x14ac:dyDescent="0.25">
      <c r="A468" t="s">
        <v>532</v>
      </c>
    </row>
    <row r="469" spans="1:1" x14ac:dyDescent="0.25">
      <c r="A469" t="s">
        <v>533</v>
      </c>
    </row>
    <row r="470" spans="1:1" x14ac:dyDescent="0.25">
      <c r="A470" t="s">
        <v>534</v>
      </c>
    </row>
    <row r="471" spans="1:1" x14ac:dyDescent="0.25">
      <c r="A471" t="s">
        <v>535</v>
      </c>
    </row>
    <row r="472" spans="1:1" x14ac:dyDescent="0.25">
      <c r="A472" t="s">
        <v>536</v>
      </c>
    </row>
    <row r="473" spans="1:1" x14ac:dyDescent="0.25">
      <c r="A473" t="s">
        <v>537</v>
      </c>
    </row>
    <row r="474" spans="1:1" x14ac:dyDescent="0.25">
      <c r="A474" t="s">
        <v>538</v>
      </c>
    </row>
    <row r="475" spans="1:1" x14ac:dyDescent="0.25">
      <c r="A475" t="s">
        <v>539</v>
      </c>
    </row>
    <row r="476" spans="1:1" x14ac:dyDescent="0.25">
      <c r="A476" t="s">
        <v>540</v>
      </c>
    </row>
    <row r="477" spans="1:1" x14ac:dyDescent="0.25">
      <c r="A477" t="s">
        <v>541</v>
      </c>
    </row>
    <row r="478" spans="1:1" x14ac:dyDescent="0.25">
      <c r="A478" t="s">
        <v>542</v>
      </c>
    </row>
    <row r="479" spans="1:1" x14ac:dyDescent="0.25">
      <c r="A479" t="s">
        <v>543</v>
      </c>
    </row>
    <row r="480" spans="1:1" x14ac:dyDescent="0.25">
      <c r="A480" t="s">
        <v>544</v>
      </c>
    </row>
    <row r="481" spans="1:1" x14ac:dyDescent="0.25">
      <c r="A481" t="s">
        <v>545</v>
      </c>
    </row>
    <row r="482" spans="1:1" x14ac:dyDescent="0.25">
      <c r="A482" t="s">
        <v>546</v>
      </c>
    </row>
    <row r="483" spans="1:1" x14ac:dyDescent="0.25">
      <c r="A483" t="s">
        <v>547</v>
      </c>
    </row>
    <row r="484" spans="1:1" x14ac:dyDescent="0.25">
      <c r="A484" t="s">
        <v>548</v>
      </c>
    </row>
    <row r="485" spans="1:1" x14ac:dyDescent="0.25">
      <c r="A485" t="s">
        <v>549</v>
      </c>
    </row>
    <row r="486" spans="1:1" x14ac:dyDescent="0.25">
      <c r="A486" t="s">
        <v>550</v>
      </c>
    </row>
    <row r="487" spans="1:1" x14ac:dyDescent="0.25">
      <c r="A487" t="s">
        <v>551</v>
      </c>
    </row>
    <row r="488" spans="1:1" x14ac:dyDescent="0.25">
      <c r="A488" t="s">
        <v>552</v>
      </c>
    </row>
    <row r="489" spans="1:1" x14ac:dyDescent="0.25">
      <c r="A489" t="s">
        <v>553</v>
      </c>
    </row>
    <row r="490" spans="1:1" x14ac:dyDescent="0.25">
      <c r="A490" t="s">
        <v>554</v>
      </c>
    </row>
    <row r="491" spans="1:1" x14ac:dyDescent="0.25">
      <c r="A491" t="s">
        <v>555</v>
      </c>
    </row>
    <row r="492" spans="1:1" x14ac:dyDescent="0.25">
      <c r="A492" t="s">
        <v>556</v>
      </c>
    </row>
    <row r="493" spans="1:1" x14ac:dyDescent="0.25">
      <c r="A493" t="s">
        <v>557</v>
      </c>
    </row>
    <row r="494" spans="1:1" x14ac:dyDescent="0.25">
      <c r="A494" t="s">
        <v>558</v>
      </c>
    </row>
    <row r="495" spans="1:1" x14ac:dyDescent="0.25">
      <c r="A495" t="s">
        <v>559</v>
      </c>
    </row>
    <row r="496" spans="1:1" x14ac:dyDescent="0.25">
      <c r="A496" t="s">
        <v>560</v>
      </c>
    </row>
    <row r="497" spans="1:1" x14ac:dyDescent="0.25">
      <c r="A497" t="s">
        <v>561</v>
      </c>
    </row>
    <row r="498" spans="1:1" x14ac:dyDescent="0.25">
      <c r="A498" t="s">
        <v>562</v>
      </c>
    </row>
    <row r="499" spans="1:1" x14ac:dyDescent="0.25">
      <c r="A499" t="s">
        <v>563</v>
      </c>
    </row>
    <row r="500" spans="1:1" x14ac:dyDescent="0.25">
      <c r="A500" t="s">
        <v>564</v>
      </c>
    </row>
    <row r="501" spans="1:1" x14ac:dyDescent="0.25">
      <c r="A501" t="s">
        <v>565</v>
      </c>
    </row>
    <row r="502" spans="1:1" x14ac:dyDescent="0.25">
      <c r="A502" t="s">
        <v>566</v>
      </c>
    </row>
    <row r="503" spans="1:1" x14ac:dyDescent="0.25">
      <c r="A503" t="s">
        <v>567</v>
      </c>
    </row>
    <row r="504" spans="1:1" x14ac:dyDescent="0.25">
      <c r="A504" t="s">
        <v>568</v>
      </c>
    </row>
    <row r="505" spans="1:1" x14ac:dyDescent="0.25">
      <c r="A505" t="s">
        <v>569</v>
      </c>
    </row>
    <row r="506" spans="1:1" x14ac:dyDescent="0.25">
      <c r="A506" t="s">
        <v>570</v>
      </c>
    </row>
    <row r="507" spans="1:1" x14ac:dyDescent="0.25">
      <c r="A507" t="s">
        <v>571</v>
      </c>
    </row>
    <row r="508" spans="1:1" x14ac:dyDescent="0.25">
      <c r="A508" t="s">
        <v>572</v>
      </c>
    </row>
    <row r="509" spans="1:1" x14ac:dyDescent="0.25">
      <c r="A509" t="s">
        <v>573</v>
      </c>
    </row>
    <row r="510" spans="1:1" x14ac:dyDescent="0.25">
      <c r="A510" t="s">
        <v>574</v>
      </c>
    </row>
    <row r="511" spans="1:1" x14ac:dyDescent="0.25">
      <c r="A511" t="s">
        <v>575</v>
      </c>
    </row>
    <row r="512" spans="1:1" x14ac:dyDescent="0.25">
      <c r="A512" t="s">
        <v>576</v>
      </c>
    </row>
    <row r="513" spans="1:1" x14ac:dyDescent="0.25">
      <c r="A513" t="s">
        <v>577</v>
      </c>
    </row>
    <row r="514" spans="1:1" x14ac:dyDescent="0.25">
      <c r="A514" t="s">
        <v>578</v>
      </c>
    </row>
    <row r="515" spans="1:1" x14ac:dyDescent="0.25">
      <c r="A515" t="s">
        <v>579</v>
      </c>
    </row>
    <row r="516" spans="1:1" x14ac:dyDescent="0.25">
      <c r="A516" t="s">
        <v>580</v>
      </c>
    </row>
    <row r="517" spans="1:1" x14ac:dyDescent="0.25">
      <c r="A517" t="s">
        <v>581</v>
      </c>
    </row>
    <row r="518" spans="1:1" x14ac:dyDescent="0.25">
      <c r="A518" t="s">
        <v>582</v>
      </c>
    </row>
    <row r="519" spans="1:1" x14ac:dyDescent="0.25">
      <c r="A519" t="s">
        <v>583</v>
      </c>
    </row>
    <row r="520" spans="1:1" x14ac:dyDescent="0.25">
      <c r="A520" t="s">
        <v>584</v>
      </c>
    </row>
    <row r="521" spans="1:1" x14ac:dyDescent="0.25">
      <c r="A521" t="s">
        <v>585</v>
      </c>
    </row>
    <row r="522" spans="1:1" x14ac:dyDescent="0.25">
      <c r="A522" t="s">
        <v>586</v>
      </c>
    </row>
    <row r="523" spans="1:1" x14ac:dyDescent="0.25">
      <c r="A523" t="s">
        <v>587</v>
      </c>
    </row>
    <row r="524" spans="1:1" x14ac:dyDescent="0.25">
      <c r="A524" t="s">
        <v>588</v>
      </c>
    </row>
    <row r="525" spans="1:1" x14ac:dyDescent="0.25">
      <c r="A525" t="s">
        <v>589</v>
      </c>
    </row>
    <row r="526" spans="1:1" x14ac:dyDescent="0.25">
      <c r="A526" t="s">
        <v>590</v>
      </c>
    </row>
    <row r="527" spans="1:1" x14ac:dyDescent="0.25">
      <c r="A527" t="s">
        <v>591</v>
      </c>
    </row>
    <row r="528" spans="1:1" x14ac:dyDescent="0.25">
      <c r="A528" t="s">
        <v>592</v>
      </c>
    </row>
    <row r="529" spans="1:1" x14ac:dyDescent="0.25">
      <c r="A529" t="s">
        <v>593</v>
      </c>
    </row>
    <row r="530" spans="1:1" x14ac:dyDescent="0.25">
      <c r="A530" t="s">
        <v>594</v>
      </c>
    </row>
    <row r="531" spans="1:1" x14ac:dyDescent="0.25">
      <c r="A531" t="s">
        <v>595</v>
      </c>
    </row>
    <row r="532" spans="1:1" x14ac:dyDescent="0.25">
      <c r="A532" t="s">
        <v>596</v>
      </c>
    </row>
    <row r="533" spans="1:1" x14ac:dyDescent="0.25">
      <c r="A533" t="s">
        <v>597</v>
      </c>
    </row>
    <row r="534" spans="1:1" x14ac:dyDescent="0.25">
      <c r="A534" t="s">
        <v>598</v>
      </c>
    </row>
    <row r="535" spans="1:1" x14ac:dyDescent="0.25">
      <c r="A535" t="s">
        <v>599</v>
      </c>
    </row>
    <row r="536" spans="1:1" x14ac:dyDescent="0.25">
      <c r="A536" t="s">
        <v>600</v>
      </c>
    </row>
    <row r="537" spans="1:1" x14ac:dyDescent="0.25">
      <c r="A537" t="s">
        <v>601</v>
      </c>
    </row>
    <row r="538" spans="1:1" x14ac:dyDescent="0.25">
      <c r="A538" t="s">
        <v>602</v>
      </c>
    </row>
    <row r="539" spans="1:1" x14ac:dyDescent="0.25">
      <c r="A539" t="s">
        <v>603</v>
      </c>
    </row>
    <row r="540" spans="1:1" x14ac:dyDescent="0.25">
      <c r="A540" t="s">
        <v>604</v>
      </c>
    </row>
    <row r="541" spans="1:1" x14ac:dyDescent="0.25">
      <c r="A541" t="s">
        <v>605</v>
      </c>
    </row>
    <row r="542" spans="1:1" x14ac:dyDescent="0.25">
      <c r="A542" t="s">
        <v>606</v>
      </c>
    </row>
    <row r="543" spans="1:1" x14ac:dyDescent="0.25">
      <c r="A543" t="s">
        <v>607</v>
      </c>
    </row>
    <row r="544" spans="1:1" x14ac:dyDescent="0.25">
      <c r="A544" t="s">
        <v>608</v>
      </c>
    </row>
    <row r="545" spans="1:1" x14ac:dyDescent="0.25">
      <c r="A545" t="s">
        <v>609</v>
      </c>
    </row>
    <row r="546" spans="1:1" x14ac:dyDescent="0.25">
      <c r="A546" t="s">
        <v>610</v>
      </c>
    </row>
    <row r="547" spans="1:1" x14ac:dyDescent="0.25">
      <c r="A547" t="s">
        <v>611</v>
      </c>
    </row>
    <row r="548" spans="1:1" x14ac:dyDescent="0.25">
      <c r="A548" t="s">
        <v>612</v>
      </c>
    </row>
    <row r="549" spans="1:1" x14ac:dyDescent="0.25">
      <c r="A549" t="s">
        <v>613</v>
      </c>
    </row>
    <row r="550" spans="1:1" x14ac:dyDescent="0.25">
      <c r="A550" t="s">
        <v>614</v>
      </c>
    </row>
    <row r="551" spans="1:1" x14ac:dyDescent="0.25">
      <c r="A551" t="s">
        <v>615</v>
      </c>
    </row>
    <row r="552" spans="1:1" x14ac:dyDescent="0.25">
      <c r="A552" t="s">
        <v>616</v>
      </c>
    </row>
    <row r="553" spans="1:1" x14ac:dyDescent="0.25">
      <c r="A553" t="s">
        <v>617</v>
      </c>
    </row>
    <row r="554" spans="1:1" x14ac:dyDescent="0.25">
      <c r="A554" t="s">
        <v>618</v>
      </c>
    </row>
    <row r="555" spans="1:1" x14ac:dyDescent="0.25">
      <c r="A555" t="s">
        <v>619</v>
      </c>
    </row>
    <row r="556" spans="1:1" x14ac:dyDescent="0.25">
      <c r="A556" t="s">
        <v>620</v>
      </c>
    </row>
    <row r="557" spans="1:1" x14ac:dyDescent="0.25">
      <c r="A557" t="s">
        <v>621</v>
      </c>
    </row>
    <row r="558" spans="1:1" x14ac:dyDescent="0.25">
      <c r="A558" t="s">
        <v>622</v>
      </c>
    </row>
    <row r="559" spans="1:1" x14ac:dyDescent="0.25">
      <c r="A559" t="s">
        <v>623</v>
      </c>
    </row>
    <row r="560" spans="1:1" x14ac:dyDescent="0.25">
      <c r="A560" t="s">
        <v>624</v>
      </c>
    </row>
    <row r="561" spans="1:1" x14ac:dyDescent="0.25">
      <c r="A561" t="s">
        <v>625</v>
      </c>
    </row>
    <row r="562" spans="1:1" x14ac:dyDescent="0.25">
      <c r="A562" t="s">
        <v>626</v>
      </c>
    </row>
    <row r="563" spans="1:1" x14ac:dyDescent="0.25">
      <c r="A563" t="s">
        <v>627</v>
      </c>
    </row>
    <row r="564" spans="1:1" x14ac:dyDescent="0.25">
      <c r="A564" t="s">
        <v>628</v>
      </c>
    </row>
    <row r="565" spans="1:1" x14ac:dyDescent="0.25">
      <c r="A565" t="s">
        <v>629</v>
      </c>
    </row>
    <row r="566" spans="1:1" x14ac:dyDescent="0.25">
      <c r="A566" t="s">
        <v>630</v>
      </c>
    </row>
    <row r="567" spans="1:1" x14ac:dyDescent="0.25">
      <c r="A567" t="s">
        <v>631</v>
      </c>
    </row>
    <row r="568" spans="1:1" x14ac:dyDescent="0.25">
      <c r="A568" t="s">
        <v>632</v>
      </c>
    </row>
    <row r="569" spans="1:1" x14ac:dyDescent="0.25">
      <c r="A569" t="s">
        <v>633</v>
      </c>
    </row>
    <row r="570" spans="1:1" x14ac:dyDescent="0.25">
      <c r="A570" t="s">
        <v>634</v>
      </c>
    </row>
    <row r="571" spans="1:1" x14ac:dyDescent="0.25">
      <c r="A571" t="s">
        <v>635</v>
      </c>
    </row>
    <row r="572" spans="1:1" x14ac:dyDescent="0.25">
      <c r="A572" t="s">
        <v>636</v>
      </c>
    </row>
    <row r="573" spans="1:1" x14ac:dyDescent="0.25">
      <c r="A573" t="s">
        <v>637</v>
      </c>
    </row>
    <row r="574" spans="1:1" x14ac:dyDescent="0.25">
      <c r="A574" t="s">
        <v>638</v>
      </c>
    </row>
    <row r="575" spans="1:1" x14ac:dyDescent="0.25">
      <c r="A575" t="s">
        <v>639</v>
      </c>
    </row>
    <row r="576" spans="1:1" x14ac:dyDescent="0.25">
      <c r="A576" t="s">
        <v>640</v>
      </c>
    </row>
    <row r="577" spans="1:1" x14ac:dyDescent="0.25">
      <c r="A577" t="s">
        <v>641</v>
      </c>
    </row>
    <row r="578" spans="1:1" x14ac:dyDescent="0.25">
      <c r="A578" t="s">
        <v>642</v>
      </c>
    </row>
    <row r="579" spans="1:1" x14ac:dyDescent="0.25">
      <c r="A579" t="s">
        <v>643</v>
      </c>
    </row>
    <row r="580" spans="1:1" x14ac:dyDescent="0.25">
      <c r="A580" t="s">
        <v>644</v>
      </c>
    </row>
    <row r="581" spans="1:1" x14ac:dyDescent="0.25">
      <c r="A581" t="s">
        <v>645</v>
      </c>
    </row>
    <row r="582" spans="1:1" x14ac:dyDescent="0.25">
      <c r="A582" t="s">
        <v>646</v>
      </c>
    </row>
    <row r="583" spans="1:1" x14ac:dyDescent="0.25">
      <c r="A583" t="s">
        <v>647</v>
      </c>
    </row>
    <row r="584" spans="1:1" x14ac:dyDescent="0.25">
      <c r="A584" t="s">
        <v>648</v>
      </c>
    </row>
    <row r="585" spans="1:1" x14ac:dyDescent="0.25">
      <c r="A585" t="s">
        <v>649</v>
      </c>
    </row>
    <row r="586" spans="1:1" x14ac:dyDescent="0.25">
      <c r="A586" t="s">
        <v>650</v>
      </c>
    </row>
    <row r="587" spans="1:1" x14ac:dyDescent="0.25">
      <c r="A587" t="s">
        <v>651</v>
      </c>
    </row>
    <row r="588" spans="1:1" x14ac:dyDescent="0.25">
      <c r="A588" t="s">
        <v>652</v>
      </c>
    </row>
    <row r="589" spans="1:1" x14ac:dyDescent="0.25">
      <c r="A589" t="s">
        <v>653</v>
      </c>
    </row>
    <row r="590" spans="1:1" x14ac:dyDescent="0.25">
      <c r="A590" t="s">
        <v>654</v>
      </c>
    </row>
    <row r="591" spans="1:1" x14ac:dyDescent="0.25">
      <c r="A591" t="s">
        <v>655</v>
      </c>
    </row>
    <row r="592" spans="1:1" x14ac:dyDescent="0.25">
      <c r="A592" t="s">
        <v>656</v>
      </c>
    </row>
    <row r="593" spans="1:1" x14ac:dyDescent="0.25">
      <c r="A593" t="s">
        <v>657</v>
      </c>
    </row>
    <row r="594" spans="1:1" x14ac:dyDescent="0.25">
      <c r="A594" t="s">
        <v>658</v>
      </c>
    </row>
    <row r="595" spans="1:1" x14ac:dyDescent="0.25">
      <c r="A595" t="s">
        <v>659</v>
      </c>
    </row>
    <row r="596" spans="1:1" x14ac:dyDescent="0.25">
      <c r="A596" t="s">
        <v>660</v>
      </c>
    </row>
    <row r="597" spans="1:1" x14ac:dyDescent="0.25">
      <c r="A597" t="s">
        <v>661</v>
      </c>
    </row>
    <row r="598" spans="1:1" x14ac:dyDescent="0.25">
      <c r="A598" t="s">
        <v>662</v>
      </c>
    </row>
    <row r="599" spans="1:1" x14ac:dyDescent="0.25">
      <c r="A599" t="s">
        <v>663</v>
      </c>
    </row>
    <row r="600" spans="1:1" x14ac:dyDescent="0.25">
      <c r="A600" t="s">
        <v>664</v>
      </c>
    </row>
    <row r="601" spans="1:1" x14ac:dyDescent="0.25">
      <c r="A601" t="s">
        <v>665</v>
      </c>
    </row>
    <row r="602" spans="1:1" x14ac:dyDescent="0.25">
      <c r="A602" t="s">
        <v>666</v>
      </c>
    </row>
    <row r="603" spans="1:1" x14ac:dyDescent="0.25">
      <c r="A603" t="s">
        <v>667</v>
      </c>
    </row>
    <row r="604" spans="1:1" x14ac:dyDescent="0.25">
      <c r="A604" t="s">
        <v>668</v>
      </c>
    </row>
    <row r="605" spans="1:1" x14ac:dyDescent="0.25">
      <c r="A605" t="s">
        <v>669</v>
      </c>
    </row>
    <row r="606" spans="1:1" x14ac:dyDescent="0.25">
      <c r="A606" t="s">
        <v>670</v>
      </c>
    </row>
    <row r="607" spans="1:1" x14ac:dyDescent="0.25">
      <c r="A607" t="s">
        <v>671</v>
      </c>
    </row>
    <row r="608" spans="1:1" x14ac:dyDescent="0.25">
      <c r="A608" t="s">
        <v>672</v>
      </c>
    </row>
    <row r="609" spans="1:1" x14ac:dyDescent="0.25">
      <c r="A609" t="s">
        <v>673</v>
      </c>
    </row>
    <row r="610" spans="1:1" x14ac:dyDescent="0.25">
      <c r="A610" t="s">
        <v>674</v>
      </c>
    </row>
    <row r="611" spans="1:1" x14ac:dyDescent="0.25">
      <c r="A611" t="s">
        <v>675</v>
      </c>
    </row>
    <row r="612" spans="1:1" x14ac:dyDescent="0.25">
      <c r="A612" t="s">
        <v>676</v>
      </c>
    </row>
    <row r="613" spans="1:1" x14ac:dyDescent="0.25">
      <c r="A613" t="s">
        <v>677</v>
      </c>
    </row>
    <row r="614" spans="1:1" x14ac:dyDescent="0.25">
      <c r="A614" t="s">
        <v>678</v>
      </c>
    </row>
    <row r="615" spans="1:1" x14ac:dyDescent="0.25">
      <c r="A615" t="s">
        <v>679</v>
      </c>
    </row>
    <row r="616" spans="1:1" x14ac:dyDescent="0.25">
      <c r="A616" t="s">
        <v>680</v>
      </c>
    </row>
    <row r="617" spans="1:1" x14ac:dyDescent="0.25">
      <c r="A617" t="s">
        <v>681</v>
      </c>
    </row>
    <row r="618" spans="1:1" x14ac:dyDescent="0.25">
      <c r="A618" t="s">
        <v>682</v>
      </c>
    </row>
    <row r="619" spans="1:1" x14ac:dyDescent="0.25">
      <c r="A619" t="s">
        <v>683</v>
      </c>
    </row>
    <row r="620" spans="1:1" x14ac:dyDescent="0.25">
      <c r="A620" t="s">
        <v>684</v>
      </c>
    </row>
    <row r="621" spans="1:1" x14ac:dyDescent="0.25">
      <c r="A621" t="s">
        <v>685</v>
      </c>
    </row>
    <row r="622" spans="1:1" x14ac:dyDescent="0.25">
      <c r="A622" t="s">
        <v>686</v>
      </c>
    </row>
    <row r="623" spans="1:1" x14ac:dyDescent="0.25">
      <c r="A623" t="s">
        <v>687</v>
      </c>
    </row>
    <row r="624" spans="1:1" x14ac:dyDescent="0.25">
      <c r="A624" t="s">
        <v>688</v>
      </c>
    </row>
    <row r="625" spans="1:1" x14ac:dyDescent="0.25">
      <c r="A625" t="s">
        <v>689</v>
      </c>
    </row>
    <row r="626" spans="1:1" x14ac:dyDescent="0.25">
      <c r="A626" t="s">
        <v>690</v>
      </c>
    </row>
    <row r="627" spans="1:1" x14ac:dyDescent="0.25">
      <c r="A627" t="s">
        <v>691</v>
      </c>
    </row>
    <row r="628" spans="1:1" x14ac:dyDescent="0.25">
      <c r="A628" t="s">
        <v>692</v>
      </c>
    </row>
    <row r="629" spans="1:1" x14ac:dyDescent="0.25">
      <c r="A629" t="s">
        <v>693</v>
      </c>
    </row>
    <row r="630" spans="1:1" x14ac:dyDescent="0.25">
      <c r="A630" t="s">
        <v>694</v>
      </c>
    </row>
    <row r="631" spans="1:1" x14ac:dyDescent="0.25">
      <c r="A631" t="s">
        <v>695</v>
      </c>
    </row>
    <row r="632" spans="1:1" x14ac:dyDescent="0.25">
      <c r="A632" t="s">
        <v>696</v>
      </c>
    </row>
    <row r="633" spans="1:1" x14ac:dyDescent="0.25">
      <c r="A633" t="s">
        <v>697</v>
      </c>
    </row>
    <row r="634" spans="1:1" x14ac:dyDescent="0.25">
      <c r="A634" t="s">
        <v>698</v>
      </c>
    </row>
    <row r="635" spans="1:1" x14ac:dyDescent="0.25">
      <c r="A635" t="s">
        <v>699</v>
      </c>
    </row>
    <row r="636" spans="1:1" x14ac:dyDescent="0.25">
      <c r="A636" t="s">
        <v>700</v>
      </c>
    </row>
    <row r="637" spans="1:1" x14ac:dyDescent="0.25">
      <c r="A637" t="s">
        <v>701</v>
      </c>
    </row>
    <row r="638" spans="1:1" x14ac:dyDescent="0.25">
      <c r="A638" t="s">
        <v>702</v>
      </c>
    </row>
    <row r="639" spans="1:1" x14ac:dyDescent="0.25">
      <c r="A639" t="s">
        <v>703</v>
      </c>
    </row>
    <row r="640" spans="1:1" x14ac:dyDescent="0.25">
      <c r="A640" t="s">
        <v>704</v>
      </c>
    </row>
    <row r="641" spans="1:1" x14ac:dyDescent="0.25">
      <c r="A641" t="s">
        <v>705</v>
      </c>
    </row>
    <row r="642" spans="1:1" x14ac:dyDescent="0.25">
      <c r="A642" t="s">
        <v>706</v>
      </c>
    </row>
    <row r="643" spans="1:1" x14ac:dyDescent="0.25">
      <c r="A643" t="s">
        <v>707</v>
      </c>
    </row>
    <row r="644" spans="1:1" x14ac:dyDescent="0.25">
      <c r="A644" t="s">
        <v>708</v>
      </c>
    </row>
    <row r="645" spans="1:1" x14ac:dyDescent="0.25">
      <c r="A645" t="s">
        <v>709</v>
      </c>
    </row>
    <row r="646" spans="1:1" x14ac:dyDescent="0.25">
      <c r="A646" t="s">
        <v>710</v>
      </c>
    </row>
    <row r="647" spans="1:1" x14ac:dyDescent="0.25">
      <c r="A647" t="s">
        <v>711</v>
      </c>
    </row>
    <row r="648" spans="1:1" x14ac:dyDescent="0.25">
      <c r="A648" t="s">
        <v>712</v>
      </c>
    </row>
    <row r="649" spans="1:1" x14ac:dyDescent="0.25">
      <c r="A649" t="s">
        <v>713</v>
      </c>
    </row>
    <row r="650" spans="1:1" x14ac:dyDescent="0.25">
      <c r="A650" t="s">
        <v>714</v>
      </c>
    </row>
    <row r="651" spans="1:1" x14ac:dyDescent="0.25">
      <c r="A651" t="s">
        <v>715</v>
      </c>
    </row>
    <row r="652" spans="1:1" x14ac:dyDescent="0.25">
      <c r="A652" t="s">
        <v>716</v>
      </c>
    </row>
    <row r="653" spans="1:1" x14ac:dyDescent="0.25">
      <c r="A653" t="s">
        <v>717</v>
      </c>
    </row>
    <row r="654" spans="1:1" x14ac:dyDescent="0.25">
      <c r="A654" t="s">
        <v>718</v>
      </c>
    </row>
    <row r="655" spans="1:1" x14ac:dyDescent="0.25">
      <c r="A655" t="s">
        <v>719</v>
      </c>
    </row>
    <row r="656" spans="1:1" x14ac:dyDescent="0.25">
      <c r="A656" t="s">
        <v>720</v>
      </c>
    </row>
    <row r="657" spans="1:1" x14ac:dyDescent="0.25">
      <c r="A657" t="s">
        <v>721</v>
      </c>
    </row>
    <row r="658" spans="1:1" x14ac:dyDescent="0.25">
      <c r="A658" t="s">
        <v>722</v>
      </c>
    </row>
    <row r="659" spans="1:1" x14ac:dyDescent="0.25">
      <c r="A659" t="s">
        <v>723</v>
      </c>
    </row>
    <row r="660" spans="1:1" x14ac:dyDescent="0.25">
      <c r="A660" t="s">
        <v>724</v>
      </c>
    </row>
    <row r="661" spans="1:1" x14ac:dyDescent="0.25">
      <c r="A661" t="s">
        <v>725</v>
      </c>
    </row>
    <row r="662" spans="1:1" x14ac:dyDescent="0.25">
      <c r="A662" t="s">
        <v>726</v>
      </c>
    </row>
    <row r="663" spans="1:1" x14ac:dyDescent="0.25">
      <c r="A663" t="s">
        <v>727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733</v>
      </c>
    </row>
    <row r="670" spans="1:1" x14ac:dyDescent="0.25">
      <c r="A670" t="s">
        <v>734</v>
      </c>
    </row>
    <row r="671" spans="1:1" x14ac:dyDescent="0.25">
      <c r="A671" t="s">
        <v>735</v>
      </c>
    </row>
    <row r="672" spans="1:1" x14ac:dyDescent="0.25">
      <c r="A672" t="s">
        <v>736</v>
      </c>
    </row>
    <row r="673" spans="1:1" x14ac:dyDescent="0.25">
      <c r="A673" t="s">
        <v>737</v>
      </c>
    </row>
    <row r="674" spans="1:1" x14ac:dyDescent="0.25">
      <c r="A674" t="s">
        <v>738</v>
      </c>
    </row>
    <row r="675" spans="1:1" x14ac:dyDescent="0.25">
      <c r="A675" t="s">
        <v>739</v>
      </c>
    </row>
    <row r="676" spans="1:1" x14ac:dyDescent="0.25">
      <c r="A676" t="s">
        <v>740</v>
      </c>
    </row>
    <row r="677" spans="1:1" x14ac:dyDescent="0.25">
      <c r="A677" t="s">
        <v>741</v>
      </c>
    </row>
    <row r="678" spans="1:1" x14ac:dyDescent="0.25">
      <c r="A678" t="s">
        <v>742</v>
      </c>
    </row>
    <row r="679" spans="1:1" x14ac:dyDescent="0.25">
      <c r="A679" t="s">
        <v>743</v>
      </c>
    </row>
    <row r="680" spans="1:1" x14ac:dyDescent="0.25">
      <c r="A680" t="s">
        <v>744</v>
      </c>
    </row>
    <row r="681" spans="1:1" x14ac:dyDescent="0.25">
      <c r="A681" t="s">
        <v>745</v>
      </c>
    </row>
    <row r="682" spans="1:1" x14ac:dyDescent="0.25">
      <c r="A682" t="s">
        <v>746</v>
      </c>
    </row>
    <row r="683" spans="1:1" x14ac:dyDescent="0.25">
      <c r="A683" t="s">
        <v>747</v>
      </c>
    </row>
    <row r="684" spans="1:1" x14ac:dyDescent="0.25">
      <c r="A684" t="s">
        <v>748</v>
      </c>
    </row>
    <row r="685" spans="1:1" x14ac:dyDescent="0.25">
      <c r="A685" t="s">
        <v>749</v>
      </c>
    </row>
    <row r="686" spans="1:1" x14ac:dyDescent="0.25">
      <c r="A686" t="s">
        <v>750</v>
      </c>
    </row>
    <row r="687" spans="1:1" x14ac:dyDescent="0.25">
      <c r="A687" t="s">
        <v>751</v>
      </c>
    </row>
    <row r="688" spans="1:1" x14ac:dyDescent="0.25">
      <c r="A688" t="s">
        <v>752</v>
      </c>
    </row>
    <row r="689" spans="1:1" x14ac:dyDescent="0.25">
      <c r="A689" t="s">
        <v>753</v>
      </c>
    </row>
    <row r="690" spans="1:1" x14ac:dyDescent="0.25">
      <c r="A690" t="s">
        <v>754</v>
      </c>
    </row>
    <row r="691" spans="1:1" x14ac:dyDescent="0.25">
      <c r="A691" t="s">
        <v>755</v>
      </c>
    </row>
    <row r="692" spans="1:1" x14ac:dyDescent="0.25">
      <c r="A692" t="s">
        <v>756</v>
      </c>
    </row>
    <row r="693" spans="1:1" x14ac:dyDescent="0.25">
      <c r="A693" t="s">
        <v>757</v>
      </c>
    </row>
    <row r="694" spans="1:1" x14ac:dyDescent="0.25">
      <c r="A694" t="s">
        <v>758</v>
      </c>
    </row>
    <row r="695" spans="1:1" x14ac:dyDescent="0.25">
      <c r="A695" t="s">
        <v>759</v>
      </c>
    </row>
    <row r="696" spans="1:1" x14ac:dyDescent="0.25">
      <c r="A696" t="s">
        <v>760</v>
      </c>
    </row>
    <row r="697" spans="1:1" x14ac:dyDescent="0.25">
      <c r="A697" t="s">
        <v>761</v>
      </c>
    </row>
    <row r="698" spans="1:1" x14ac:dyDescent="0.25">
      <c r="A698" t="s">
        <v>762</v>
      </c>
    </row>
    <row r="699" spans="1:1" x14ac:dyDescent="0.25">
      <c r="A699" t="s">
        <v>763</v>
      </c>
    </row>
    <row r="700" spans="1:1" x14ac:dyDescent="0.25">
      <c r="A700" t="s">
        <v>764</v>
      </c>
    </row>
    <row r="701" spans="1:1" x14ac:dyDescent="0.25">
      <c r="A701" t="s">
        <v>765</v>
      </c>
    </row>
    <row r="702" spans="1:1" x14ac:dyDescent="0.25">
      <c r="A702" t="s">
        <v>766</v>
      </c>
    </row>
    <row r="703" spans="1:1" x14ac:dyDescent="0.25">
      <c r="A703" t="s">
        <v>767</v>
      </c>
    </row>
    <row r="704" spans="1:1" x14ac:dyDescent="0.25">
      <c r="A704" t="s">
        <v>768</v>
      </c>
    </row>
    <row r="705" spans="1:1" x14ac:dyDescent="0.25">
      <c r="A705" t="s">
        <v>769</v>
      </c>
    </row>
    <row r="706" spans="1:1" x14ac:dyDescent="0.25">
      <c r="A706" t="s">
        <v>770</v>
      </c>
    </row>
    <row r="707" spans="1:1" x14ac:dyDescent="0.25">
      <c r="A707" t="s">
        <v>771</v>
      </c>
    </row>
    <row r="708" spans="1:1" x14ac:dyDescent="0.25">
      <c r="A708" t="s">
        <v>772</v>
      </c>
    </row>
    <row r="709" spans="1:1" x14ac:dyDescent="0.25">
      <c r="A709" t="s">
        <v>773</v>
      </c>
    </row>
    <row r="710" spans="1:1" x14ac:dyDescent="0.25">
      <c r="A710" t="s">
        <v>774</v>
      </c>
    </row>
    <row r="711" spans="1:1" x14ac:dyDescent="0.25">
      <c r="A711" t="s">
        <v>775</v>
      </c>
    </row>
    <row r="712" spans="1:1" x14ac:dyDescent="0.25">
      <c r="A712" t="s">
        <v>776</v>
      </c>
    </row>
    <row r="713" spans="1:1" x14ac:dyDescent="0.25">
      <c r="A713" t="s">
        <v>777</v>
      </c>
    </row>
    <row r="714" spans="1:1" x14ac:dyDescent="0.25">
      <c r="A714" t="s">
        <v>778</v>
      </c>
    </row>
    <row r="715" spans="1:1" x14ac:dyDescent="0.25">
      <c r="A715" t="s">
        <v>779</v>
      </c>
    </row>
    <row r="716" spans="1:1" x14ac:dyDescent="0.25">
      <c r="A716" t="s">
        <v>780</v>
      </c>
    </row>
    <row r="717" spans="1:1" x14ac:dyDescent="0.25">
      <c r="A717" t="s">
        <v>781</v>
      </c>
    </row>
    <row r="718" spans="1:1" x14ac:dyDescent="0.25">
      <c r="A718" t="s">
        <v>782</v>
      </c>
    </row>
    <row r="719" spans="1:1" x14ac:dyDescent="0.25">
      <c r="A719" t="s">
        <v>783</v>
      </c>
    </row>
    <row r="720" spans="1:1" x14ac:dyDescent="0.25">
      <c r="A720" t="s">
        <v>784</v>
      </c>
    </row>
    <row r="721" spans="1:1" x14ac:dyDescent="0.25">
      <c r="A721" t="s">
        <v>785</v>
      </c>
    </row>
    <row r="722" spans="1:1" x14ac:dyDescent="0.25">
      <c r="A722" t="s">
        <v>786</v>
      </c>
    </row>
    <row r="723" spans="1:1" x14ac:dyDescent="0.25">
      <c r="A723" t="s">
        <v>787</v>
      </c>
    </row>
    <row r="724" spans="1:1" x14ac:dyDescent="0.25">
      <c r="A724" t="s">
        <v>788</v>
      </c>
    </row>
    <row r="725" spans="1:1" x14ac:dyDescent="0.25">
      <c r="A725" t="s">
        <v>789</v>
      </c>
    </row>
    <row r="726" spans="1:1" x14ac:dyDescent="0.25">
      <c r="A726" t="s">
        <v>790</v>
      </c>
    </row>
    <row r="727" spans="1:1" x14ac:dyDescent="0.25">
      <c r="A727" t="s">
        <v>791</v>
      </c>
    </row>
    <row r="728" spans="1:1" x14ac:dyDescent="0.25">
      <c r="A728" t="s">
        <v>792</v>
      </c>
    </row>
    <row r="729" spans="1:1" x14ac:dyDescent="0.25">
      <c r="A729" t="s">
        <v>793</v>
      </c>
    </row>
    <row r="730" spans="1:1" x14ac:dyDescent="0.25">
      <c r="A730" t="s">
        <v>794</v>
      </c>
    </row>
    <row r="731" spans="1:1" x14ac:dyDescent="0.25">
      <c r="A731" t="s">
        <v>795</v>
      </c>
    </row>
    <row r="732" spans="1:1" x14ac:dyDescent="0.25">
      <c r="A732" t="s">
        <v>796</v>
      </c>
    </row>
    <row r="733" spans="1:1" x14ac:dyDescent="0.25">
      <c r="A733" t="s">
        <v>797</v>
      </c>
    </row>
    <row r="734" spans="1:1" x14ac:dyDescent="0.25">
      <c r="A734" t="s">
        <v>798</v>
      </c>
    </row>
    <row r="735" spans="1:1" x14ac:dyDescent="0.25">
      <c r="A735" t="s">
        <v>799</v>
      </c>
    </row>
    <row r="736" spans="1:1" x14ac:dyDescent="0.25">
      <c r="A736" t="s">
        <v>800</v>
      </c>
    </row>
    <row r="737" spans="1:1" x14ac:dyDescent="0.25">
      <c r="A737" t="s">
        <v>801</v>
      </c>
    </row>
    <row r="738" spans="1:1" x14ac:dyDescent="0.25">
      <c r="A738" t="s">
        <v>802</v>
      </c>
    </row>
    <row r="739" spans="1:1" x14ac:dyDescent="0.25">
      <c r="A739" t="s">
        <v>803</v>
      </c>
    </row>
    <row r="740" spans="1:1" x14ac:dyDescent="0.25">
      <c r="A740" t="s">
        <v>804</v>
      </c>
    </row>
    <row r="741" spans="1:1" x14ac:dyDescent="0.25">
      <c r="A741" t="s">
        <v>805</v>
      </c>
    </row>
    <row r="742" spans="1:1" x14ac:dyDescent="0.25">
      <c r="A742" t="s">
        <v>806</v>
      </c>
    </row>
    <row r="743" spans="1:1" x14ac:dyDescent="0.25">
      <c r="A743" t="s">
        <v>807</v>
      </c>
    </row>
    <row r="744" spans="1:1" x14ac:dyDescent="0.25">
      <c r="A744" t="s">
        <v>808</v>
      </c>
    </row>
    <row r="745" spans="1:1" x14ac:dyDescent="0.25">
      <c r="A745" t="s">
        <v>809</v>
      </c>
    </row>
    <row r="746" spans="1:1" x14ac:dyDescent="0.25">
      <c r="A746" t="s">
        <v>810</v>
      </c>
    </row>
    <row r="747" spans="1:1" x14ac:dyDescent="0.25">
      <c r="A747" t="s">
        <v>811</v>
      </c>
    </row>
    <row r="748" spans="1:1" x14ac:dyDescent="0.25">
      <c r="A748" t="s">
        <v>812</v>
      </c>
    </row>
    <row r="749" spans="1:1" x14ac:dyDescent="0.25">
      <c r="A749" t="s">
        <v>813</v>
      </c>
    </row>
    <row r="750" spans="1:1" x14ac:dyDescent="0.25">
      <c r="A750" t="s">
        <v>814</v>
      </c>
    </row>
    <row r="751" spans="1:1" x14ac:dyDescent="0.25">
      <c r="A751" t="s">
        <v>815</v>
      </c>
    </row>
    <row r="752" spans="1:1" x14ac:dyDescent="0.25">
      <c r="A752" t="s">
        <v>816</v>
      </c>
    </row>
    <row r="753" spans="1:1" x14ac:dyDescent="0.25">
      <c r="A753" t="s">
        <v>817</v>
      </c>
    </row>
    <row r="754" spans="1:1" x14ac:dyDescent="0.25">
      <c r="A754" t="s">
        <v>818</v>
      </c>
    </row>
    <row r="755" spans="1:1" x14ac:dyDescent="0.25">
      <c r="A755" t="s">
        <v>819</v>
      </c>
    </row>
    <row r="756" spans="1:1" x14ac:dyDescent="0.25">
      <c r="A756" t="s">
        <v>820</v>
      </c>
    </row>
    <row r="757" spans="1:1" x14ac:dyDescent="0.25">
      <c r="A757" t="s">
        <v>821</v>
      </c>
    </row>
    <row r="758" spans="1:1" x14ac:dyDescent="0.25">
      <c r="A758" t="s">
        <v>822</v>
      </c>
    </row>
    <row r="759" spans="1:1" x14ac:dyDescent="0.25">
      <c r="A759" t="s">
        <v>823</v>
      </c>
    </row>
    <row r="760" spans="1:1" x14ac:dyDescent="0.25">
      <c r="A760" t="s">
        <v>824</v>
      </c>
    </row>
    <row r="761" spans="1:1" x14ac:dyDescent="0.25">
      <c r="A761" t="s">
        <v>825</v>
      </c>
    </row>
    <row r="762" spans="1:1" x14ac:dyDescent="0.25">
      <c r="A762" t="s">
        <v>826</v>
      </c>
    </row>
    <row r="763" spans="1:1" x14ac:dyDescent="0.25">
      <c r="A763" t="s">
        <v>827</v>
      </c>
    </row>
    <row r="764" spans="1:1" x14ac:dyDescent="0.25">
      <c r="A764" t="s">
        <v>828</v>
      </c>
    </row>
    <row r="765" spans="1:1" x14ac:dyDescent="0.25">
      <c r="A765" t="s">
        <v>829</v>
      </c>
    </row>
    <row r="766" spans="1:1" x14ac:dyDescent="0.25">
      <c r="A766" t="s">
        <v>830</v>
      </c>
    </row>
    <row r="767" spans="1:1" x14ac:dyDescent="0.25">
      <c r="A767" t="s">
        <v>831</v>
      </c>
    </row>
    <row r="768" spans="1:1" x14ac:dyDescent="0.25">
      <c r="A768" t="s">
        <v>832</v>
      </c>
    </row>
    <row r="769" spans="1:1" x14ac:dyDescent="0.25">
      <c r="A769" t="s">
        <v>833</v>
      </c>
    </row>
    <row r="770" spans="1:1" x14ac:dyDescent="0.25">
      <c r="A770" t="s">
        <v>834</v>
      </c>
    </row>
    <row r="771" spans="1:1" x14ac:dyDescent="0.25">
      <c r="A771" t="s">
        <v>835</v>
      </c>
    </row>
    <row r="772" spans="1:1" x14ac:dyDescent="0.25">
      <c r="A772" t="s">
        <v>836</v>
      </c>
    </row>
    <row r="773" spans="1:1" x14ac:dyDescent="0.25">
      <c r="A773" t="s">
        <v>837</v>
      </c>
    </row>
    <row r="774" spans="1:1" x14ac:dyDescent="0.25">
      <c r="A774" t="s">
        <v>838</v>
      </c>
    </row>
    <row r="775" spans="1:1" x14ac:dyDescent="0.25">
      <c r="A775" t="s">
        <v>839</v>
      </c>
    </row>
    <row r="776" spans="1:1" x14ac:dyDescent="0.25">
      <c r="A776" t="s">
        <v>840</v>
      </c>
    </row>
    <row r="777" spans="1:1" x14ac:dyDescent="0.25">
      <c r="A777" t="s">
        <v>841</v>
      </c>
    </row>
    <row r="778" spans="1:1" x14ac:dyDescent="0.25">
      <c r="A778" t="s">
        <v>842</v>
      </c>
    </row>
    <row r="779" spans="1:1" x14ac:dyDescent="0.25">
      <c r="A779" t="s">
        <v>843</v>
      </c>
    </row>
    <row r="780" spans="1:1" x14ac:dyDescent="0.25">
      <c r="A780" t="s">
        <v>844</v>
      </c>
    </row>
    <row r="781" spans="1:1" x14ac:dyDescent="0.25">
      <c r="A781" t="s">
        <v>845</v>
      </c>
    </row>
    <row r="782" spans="1:1" x14ac:dyDescent="0.25">
      <c r="A782" t="s">
        <v>846</v>
      </c>
    </row>
    <row r="783" spans="1:1" x14ac:dyDescent="0.25">
      <c r="A783" t="s">
        <v>847</v>
      </c>
    </row>
    <row r="784" spans="1:1" x14ac:dyDescent="0.25">
      <c r="A784" t="s">
        <v>848</v>
      </c>
    </row>
    <row r="785" spans="1:1" x14ac:dyDescent="0.25">
      <c r="A785" t="s">
        <v>849</v>
      </c>
    </row>
    <row r="786" spans="1:1" x14ac:dyDescent="0.25">
      <c r="A786" t="s">
        <v>850</v>
      </c>
    </row>
    <row r="787" spans="1:1" x14ac:dyDescent="0.25">
      <c r="A787" t="s">
        <v>851</v>
      </c>
    </row>
    <row r="788" spans="1:1" x14ac:dyDescent="0.25">
      <c r="A788" t="s">
        <v>852</v>
      </c>
    </row>
    <row r="789" spans="1:1" x14ac:dyDescent="0.25">
      <c r="A789" t="s">
        <v>853</v>
      </c>
    </row>
    <row r="790" spans="1:1" x14ac:dyDescent="0.25">
      <c r="A790" t="s">
        <v>854</v>
      </c>
    </row>
    <row r="791" spans="1:1" x14ac:dyDescent="0.25">
      <c r="A791" t="s">
        <v>855</v>
      </c>
    </row>
    <row r="792" spans="1:1" x14ac:dyDescent="0.25">
      <c r="A792" t="s">
        <v>856</v>
      </c>
    </row>
    <row r="793" spans="1:1" x14ac:dyDescent="0.25">
      <c r="A793" t="s">
        <v>857</v>
      </c>
    </row>
    <row r="794" spans="1:1" x14ac:dyDescent="0.25">
      <c r="A794" t="s">
        <v>858</v>
      </c>
    </row>
    <row r="795" spans="1:1" x14ac:dyDescent="0.25">
      <c r="A795" t="s">
        <v>859</v>
      </c>
    </row>
    <row r="796" spans="1:1" x14ac:dyDescent="0.25">
      <c r="A796" t="s">
        <v>860</v>
      </c>
    </row>
    <row r="797" spans="1:1" x14ac:dyDescent="0.25">
      <c r="A797" t="s">
        <v>861</v>
      </c>
    </row>
    <row r="798" spans="1:1" x14ac:dyDescent="0.25">
      <c r="A798" t="s">
        <v>862</v>
      </c>
    </row>
    <row r="799" spans="1:1" x14ac:dyDescent="0.25">
      <c r="A799" t="s">
        <v>863</v>
      </c>
    </row>
    <row r="800" spans="1:1" x14ac:dyDescent="0.25">
      <c r="A800" t="s">
        <v>864</v>
      </c>
    </row>
    <row r="801" spans="1:1" x14ac:dyDescent="0.25">
      <c r="A801" t="s">
        <v>865</v>
      </c>
    </row>
    <row r="802" spans="1:1" x14ac:dyDescent="0.25">
      <c r="A802" t="s">
        <v>866</v>
      </c>
    </row>
    <row r="803" spans="1:1" x14ac:dyDescent="0.25">
      <c r="A803" t="s">
        <v>867</v>
      </c>
    </row>
    <row r="804" spans="1:1" x14ac:dyDescent="0.25">
      <c r="A804" t="s">
        <v>868</v>
      </c>
    </row>
    <row r="805" spans="1:1" x14ac:dyDescent="0.25">
      <c r="A805" t="s">
        <v>869</v>
      </c>
    </row>
    <row r="806" spans="1:1" x14ac:dyDescent="0.25">
      <c r="A806" t="s">
        <v>870</v>
      </c>
    </row>
    <row r="807" spans="1:1" x14ac:dyDescent="0.25">
      <c r="A807" t="s">
        <v>871</v>
      </c>
    </row>
    <row r="808" spans="1:1" x14ac:dyDescent="0.25">
      <c r="A808" t="s">
        <v>872</v>
      </c>
    </row>
    <row r="809" spans="1:1" x14ac:dyDescent="0.25">
      <c r="A809" t="s">
        <v>873</v>
      </c>
    </row>
    <row r="810" spans="1:1" x14ac:dyDescent="0.25">
      <c r="A810" t="s">
        <v>874</v>
      </c>
    </row>
    <row r="811" spans="1:1" x14ac:dyDescent="0.25">
      <c r="A811" t="s">
        <v>875</v>
      </c>
    </row>
    <row r="812" spans="1:1" x14ac:dyDescent="0.25">
      <c r="A812" t="s">
        <v>876</v>
      </c>
    </row>
    <row r="813" spans="1:1" x14ac:dyDescent="0.25">
      <c r="A813" t="s">
        <v>877</v>
      </c>
    </row>
    <row r="814" spans="1:1" x14ac:dyDescent="0.25">
      <c r="A814" t="s">
        <v>878</v>
      </c>
    </row>
    <row r="815" spans="1:1" x14ac:dyDescent="0.25">
      <c r="A815" t="s">
        <v>879</v>
      </c>
    </row>
    <row r="816" spans="1:1" x14ac:dyDescent="0.25">
      <c r="A816" t="s">
        <v>880</v>
      </c>
    </row>
    <row r="817" spans="1:1" x14ac:dyDescent="0.25">
      <c r="A817" t="s">
        <v>881</v>
      </c>
    </row>
    <row r="818" spans="1:1" x14ac:dyDescent="0.25">
      <c r="A818" t="s">
        <v>882</v>
      </c>
    </row>
    <row r="819" spans="1:1" x14ac:dyDescent="0.25">
      <c r="A819" t="s">
        <v>883</v>
      </c>
    </row>
    <row r="820" spans="1:1" x14ac:dyDescent="0.25">
      <c r="A820" t="s">
        <v>884</v>
      </c>
    </row>
    <row r="821" spans="1:1" x14ac:dyDescent="0.25">
      <c r="A821" t="s">
        <v>885</v>
      </c>
    </row>
    <row r="822" spans="1:1" x14ac:dyDescent="0.25">
      <c r="A822" t="s">
        <v>886</v>
      </c>
    </row>
    <row r="823" spans="1:1" x14ac:dyDescent="0.25">
      <c r="A823" t="s">
        <v>887</v>
      </c>
    </row>
    <row r="824" spans="1:1" x14ac:dyDescent="0.25">
      <c r="A824" t="s">
        <v>888</v>
      </c>
    </row>
    <row r="825" spans="1:1" x14ac:dyDescent="0.25">
      <c r="A825" t="s">
        <v>889</v>
      </c>
    </row>
    <row r="826" spans="1:1" x14ac:dyDescent="0.25">
      <c r="A826" t="s">
        <v>890</v>
      </c>
    </row>
    <row r="827" spans="1:1" x14ac:dyDescent="0.25">
      <c r="A827" t="s">
        <v>891</v>
      </c>
    </row>
    <row r="828" spans="1:1" x14ac:dyDescent="0.25">
      <c r="A828" t="s">
        <v>892</v>
      </c>
    </row>
    <row r="829" spans="1:1" x14ac:dyDescent="0.25">
      <c r="A829" t="s">
        <v>893</v>
      </c>
    </row>
    <row r="830" spans="1:1" x14ac:dyDescent="0.25">
      <c r="A830" t="s">
        <v>894</v>
      </c>
    </row>
    <row r="831" spans="1:1" x14ac:dyDescent="0.25">
      <c r="A831" t="s">
        <v>895</v>
      </c>
    </row>
    <row r="832" spans="1:1" x14ac:dyDescent="0.25">
      <c r="A832" t="s">
        <v>896</v>
      </c>
    </row>
    <row r="833" spans="1:1" x14ac:dyDescent="0.25">
      <c r="A833" t="s">
        <v>897</v>
      </c>
    </row>
    <row r="834" spans="1:1" x14ac:dyDescent="0.25">
      <c r="A834" t="s">
        <v>898</v>
      </c>
    </row>
    <row r="835" spans="1:1" x14ac:dyDescent="0.25">
      <c r="A835" t="s">
        <v>899</v>
      </c>
    </row>
    <row r="836" spans="1:1" x14ac:dyDescent="0.25">
      <c r="A836" t="s">
        <v>900</v>
      </c>
    </row>
    <row r="837" spans="1:1" x14ac:dyDescent="0.25">
      <c r="A837" t="s">
        <v>901</v>
      </c>
    </row>
    <row r="838" spans="1:1" x14ac:dyDescent="0.25">
      <c r="A838" t="s">
        <v>902</v>
      </c>
    </row>
    <row r="839" spans="1:1" x14ac:dyDescent="0.25">
      <c r="A839" t="s">
        <v>903</v>
      </c>
    </row>
    <row r="840" spans="1:1" x14ac:dyDescent="0.25">
      <c r="A840" t="s">
        <v>904</v>
      </c>
    </row>
    <row r="841" spans="1:1" x14ac:dyDescent="0.25">
      <c r="A841" t="s">
        <v>905</v>
      </c>
    </row>
    <row r="842" spans="1:1" x14ac:dyDescent="0.25">
      <c r="A842" t="s">
        <v>906</v>
      </c>
    </row>
    <row r="843" spans="1:1" x14ac:dyDescent="0.25">
      <c r="A843" t="s">
        <v>907</v>
      </c>
    </row>
    <row r="844" spans="1:1" x14ac:dyDescent="0.25">
      <c r="A844" t="s">
        <v>908</v>
      </c>
    </row>
    <row r="845" spans="1:1" x14ac:dyDescent="0.25">
      <c r="A845" t="s">
        <v>909</v>
      </c>
    </row>
    <row r="846" spans="1:1" x14ac:dyDescent="0.25">
      <c r="A846" t="s">
        <v>910</v>
      </c>
    </row>
    <row r="847" spans="1:1" x14ac:dyDescent="0.25">
      <c r="A847" t="s">
        <v>911</v>
      </c>
    </row>
    <row r="848" spans="1:1" x14ac:dyDescent="0.25">
      <c r="A848" t="s">
        <v>912</v>
      </c>
    </row>
    <row r="849" spans="1:1" x14ac:dyDescent="0.25">
      <c r="A849" t="s">
        <v>913</v>
      </c>
    </row>
    <row r="850" spans="1:1" x14ac:dyDescent="0.25">
      <c r="A850" t="s">
        <v>914</v>
      </c>
    </row>
    <row r="851" spans="1:1" x14ac:dyDescent="0.25">
      <c r="A851" t="s">
        <v>915</v>
      </c>
    </row>
    <row r="852" spans="1:1" x14ac:dyDescent="0.25">
      <c r="A852" t="s">
        <v>916</v>
      </c>
    </row>
    <row r="853" spans="1:1" x14ac:dyDescent="0.25">
      <c r="A853" t="s">
        <v>917</v>
      </c>
    </row>
    <row r="854" spans="1:1" x14ac:dyDescent="0.25">
      <c r="A854" t="s">
        <v>918</v>
      </c>
    </row>
    <row r="855" spans="1:1" x14ac:dyDescent="0.25">
      <c r="A855" t="s">
        <v>919</v>
      </c>
    </row>
    <row r="856" spans="1:1" x14ac:dyDescent="0.25">
      <c r="A856" t="s">
        <v>920</v>
      </c>
    </row>
    <row r="857" spans="1:1" x14ac:dyDescent="0.25">
      <c r="A857" t="s">
        <v>921</v>
      </c>
    </row>
    <row r="858" spans="1:1" x14ac:dyDescent="0.25">
      <c r="A858" t="s">
        <v>922</v>
      </c>
    </row>
    <row r="859" spans="1:1" x14ac:dyDescent="0.25">
      <c r="A859" t="s">
        <v>923</v>
      </c>
    </row>
    <row r="860" spans="1:1" x14ac:dyDescent="0.25">
      <c r="A860" t="s">
        <v>924</v>
      </c>
    </row>
    <row r="861" spans="1:1" x14ac:dyDescent="0.25">
      <c r="A861" t="s">
        <v>925</v>
      </c>
    </row>
    <row r="862" spans="1:1" x14ac:dyDescent="0.25">
      <c r="A862" t="s">
        <v>926</v>
      </c>
    </row>
    <row r="863" spans="1:1" x14ac:dyDescent="0.25">
      <c r="A863" t="s">
        <v>927</v>
      </c>
    </row>
    <row r="864" spans="1:1" x14ac:dyDescent="0.25">
      <c r="A864" t="s">
        <v>928</v>
      </c>
    </row>
    <row r="865" spans="1:1" x14ac:dyDescent="0.25">
      <c r="A865" t="s">
        <v>929</v>
      </c>
    </row>
    <row r="866" spans="1:1" x14ac:dyDescent="0.25">
      <c r="A866" t="s">
        <v>930</v>
      </c>
    </row>
    <row r="867" spans="1:1" x14ac:dyDescent="0.25">
      <c r="A867" t="s">
        <v>931</v>
      </c>
    </row>
    <row r="868" spans="1:1" x14ac:dyDescent="0.25">
      <c r="A868" t="s">
        <v>932</v>
      </c>
    </row>
    <row r="869" spans="1:1" x14ac:dyDescent="0.25">
      <c r="A869" t="s">
        <v>933</v>
      </c>
    </row>
    <row r="870" spans="1:1" x14ac:dyDescent="0.25">
      <c r="A870" t="s">
        <v>934</v>
      </c>
    </row>
    <row r="871" spans="1:1" x14ac:dyDescent="0.25">
      <c r="A871" t="s">
        <v>935</v>
      </c>
    </row>
    <row r="872" spans="1:1" x14ac:dyDescent="0.25">
      <c r="A872" t="s">
        <v>936</v>
      </c>
    </row>
    <row r="873" spans="1:1" x14ac:dyDescent="0.25">
      <c r="A873" t="s">
        <v>937</v>
      </c>
    </row>
    <row r="874" spans="1:1" x14ac:dyDescent="0.25">
      <c r="A874" t="s">
        <v>938</v>
      </c>
    </row>
    <row r="875" spans="1:1" x14ac:dyDescent="0.25">
      <c r="A875" t="s">
        <v>939</v>
      </c>
    </row>
    <row r="876" spans="1:1" x14ac:dyDescent="0.25">
      <c r="A876" t="s">
        <v>940</v>
      </c>
    </row>
    <row r="877" spans="1:1" x14ac:dyDescent="0.25">
      <c r="A877" t="s">
        <v>941</v>
      </c>
    </row>
    <row r="878" spans="1:1" x14ac:dyDescent="0.25">
      <c r="A878" t="s">
        <v>942</v>
      </c>
    </row>
    <row r="879" spans="1:1" x14ac:dyDescent="0.25">
      <c r="A879" t="s">
        <v>943</v>
      </c>
    </row>
    <row r="880" spans="1:1" x14ac:dyDescent="0.25">
      <c r="A880" t="s">
        <v>944</v>
      </c>
    </row>
    <row r="881" spans="1:1" x14ac:dyDescent="0.25">
      <c r="A881" t="s">
        <v>945</v>
      </c>
    </row>
    <row r="882" spans="1:1" x14ac:dyDescent="0.25">
      <c r="A882" t="s">
        <v>946</v>
      </c>
    </row>
    <row r="883" spans="1:1" x14ac:dyDescent="0.25">
      <c r="A883" t="s">
        <v>947</v>
      </c>
    </row>
    <row r="884" spans="1:1" x14ac:dyDescent="0.25">
      <c r="A884" t="s">
        <v>948</v>
      </c>
    </row>
    <row r="885" spans="1:1" x14ac:dyDescent="0.25">
      <c r="A885" t="s">
        <v>949</v>
      </c>
    </row>
    <row r="886" spans="1:1" x14ac:dyDescent="0.25">
      <c r="A886" t="s">
        <v>950</v>
      </c>
    </row>
    <row r="887" spans="1:1" x14ac:dyDescent="0.25">
      <c r="A887" t="s">
        <v>951</v>
      </c>
    </row>
    <row r="888" spans="1:1" x14ac:dyDescent="0.25">
      <c r="A888" t="s">
        <v>952</v>
      </c>
    </row>
    <row r="889" spans="1:1" x14ac:dyDescent="0.25">
      <c r="A889" t="s">
        <v>953</v>
      </c>
    </row>
    <row r="890" spans="1:1" x14ac:dyDescent="0.25">
      <c r="A890" t="s">
        <v>954</v>
      </c>
    </row>
    <row r="891" spans="1:1" x14ac:dyDescent="0.25">
      <c r="A891" t="s">
        <v>955</v>
      </c>
    </row>
    <row r="892" spans="1:1" x14ac:dyDescent="0.25">
      <c r="A892" t="s">
        <v>956</v>
      </c>
    </row>
    <row r="893" spans="1:1" x14ac:dyDescent="0.25">
      <c r="A893" t="s">
        <v>957</v>
      </c>
    </row>
    <row r="894" spans="1:1" x14ac:dyDescent="0.25">
      <c r="A894" t="s">
        <v>958</v>
      </c>
    </row>
    <row r="895" spans="1:1" x14ac:dyDescent="0.25">
      <c r="A895" t="s">
        <v>959</v>
      </c>
    </row>
    <row r="896" spans="1:1" x14ac:dyDescent="0.25">
      <c r="A896" t="s">
        <v>960</v>
      </c>
    </row>
    <row r="897" spans="1:1" x14ac:dyDescent="0.25">
      <c r="A897" t="s">
        <v>961</v>
      </c>
    </row>
    <row r="898" spans="1:1" x14ac:dyDescent="0.25">
      <c r="A898" t="s">
        <v>962</v>
      </c>
    </row>
    <row r="899" spans="1:1" x14ac:dyDescent="0.25">
      <c r="A899" t="s">
        <v>963</v>
      </c>
    </row>
    <row r="900" spans="1:1" x14ac:dyDescent="0.25">
      <c r="A900" t="s">
        <v>964</v>
      </c>
    </row>
    <row r="901" spans="1:1" x14ac:dyDescent="0.25">
      <c r="A901" t="s">
        <v>965</v>
      </c>
    </row>
    <row r="902" spans="1:1" x14ac:dyDescent="0.25">
      <c r="A902" t="s">
        <v>966</v>
      </c>
    </row>
    <row r="903" spans="1:1" x14ac:dyDescent="0.25">
      <c r="A903" t="s">
        <v>967</v>
      </c>
    </row>
    <row r="904" spans="1:1" x14ac:dyDescent="0.25">
      <c r="A904" t="s">
        <v>968</v>
      </c>
    </row>
    <row r="905" spans="1:1" x14ac:dyDescent="0.25">
      <c r="A905" t="s">
        <v>969</v>
      </c>
    </row>
    <row r="906" spans="1:1" x14ac:dyDescent="0.25">
      <c r="A906" t="s">
        <v>970</v>
      </c>
    </row>
    <row r="907" spans="1:1" x14ac:dyDescent="0.25">
      <c r="A907" t="s">
        <v>971</v>
      </c>
    </row>
    <row r="908" spans="1:1" x14ac:dyDescent="0.25">
      <c r="A908" t="s">
        <v>972</v>
      </c>
    </row>
    <row r="909" spans="1:1" x14ac:dyDescent="0.25">
      <c r="A909" t="s">
        <v>973</v>
      </c>
    </row>
    <row r="910" spans="1:1" x14ac:dyDescent="0.25">
      <c r="A910" t="s">
        <v>974</v>
      </c>
    </row>
    <row r="911" spans="1:1" x14ac:dyDescent="0.25">
      <c r="A911" t="s">
        <v>975</v>
      </c>
    </row>
    <row r="912" spans="1:1" x14ac:dyDescent="0.25">
      <c r="A912" t="s">
        <v>976</v>
      </c>
    </row>
    <row r="913" spans="1:1" x14ac:dyDescent="0.25">
      <c r="A913" t="s">
        <v>977</v>
      </c>
    </row>
    <row r="914" spans="1:1" x14ac:dyDescent="0.25">
      <c r="A914" t="s">
        <v>978</v>
      </c>
    </row>
    <row r="915" spans="1:1" x14ac:dyDescent="0.25">
      <c r="A915" t="s">
        <v>979</v>
      </c>
    </row>
    <row r="916" spans="1:1" x14ac:dyDescent="0.25">
      <c r="A916" t="s">
        <v>980</v>
      </c>
    </row>
    <row r="917" spans="1:1" x14ac:dyDescent="0.25">
      <c r="A917" t="s">
        <v>981</v>
      </c>
    </row>
    <row r="918" spans="1:1" x14ac:dyDescent="0.25">
      <c r="A918" t="s">
        <v>982</v>
      </c>
    </row>
    <row r="919" spans="1:1" x14ac:dyDescent="0.25">
      <c r="A919" t="s">
        <v>983</v>
      </c>
    </row>
    <row r="920" spans="1:1" x14ac:dyDescent="0.25">
      <c r="A920" t="s">
        <v>984</v>
      </c>
    </row>
    <row r="921" spans="1:1" x14ac:dyDescent="0.25">
      <c r="A921" t="s">
        <v>985</v>
      </c>
    </row>
    <row r="922" spans="1:1" x14ac:dyDescent="0.25">
      <c r="A922" t="s">
        <v>986</v>
      </c>
    </row>
    <row r="923" spans="1:1" x14ac:dyDescent="0.25">
      <c r="A923" t="s">
        <v>987</v>
      </c>
    </row>
    <row r="924" spans="1:1" x14ac:dyDescent="0.25">
      <c r="A924" t="s">
        <v>988</v>
      </c>
    </row>
    <row r="925" spans="1:1" x14ac:dyDescent="0.25">
      <c r="A925" t="s">
        <v>989</v>
      </c>
    </row>
    <row r="926" spans="1:1" x14ac:dyDescent="0.25">
      <c r="A926" t="s">
        <v>990</v>
      </c>
    </row>
    <row r="927" spans="1:1" x14ac:dyDescent="0.25">
      <c r="A927" t="s">
        <v>991</v>
      </c>
    </row>
    <row r="928" spans="1:1" x14ac:dyDescent="0.25">
      <c r="A928" t="s">
        <v>992</v>
      </c>
    </row>
    <row r="929" spans="1:1" x14ac:dyDescent="0.25">
      <c r="A929" t="s">
        <v>993</v>
      </c>
    </row>
    <row r="930" spans="1:1" x14ac:dyDescent="0.25">
      <c r="A930" t="s">
        <v>994</v>
      </c>
    </row>
    <row r="931" spans="1:1" x14ac:dyDescent="0.25">
      <c r="A931" t="s">
        <v>995</v>
      </c>
    </row>
    <row r="932" spans="1:1" x14ac:dyDescent="0.25">
      <c r="A932" t="s">
        <v>996</v>
      </c>
    </row>
    <row r="933" spans="1:1" x14ac:dyDescent="0.25">
      <c r="A933" t="s">
        <v>997</v>
      </c>
    </row>
    <row r="934" spans="1:1" x14ac:dyDescent="0.25">
      <c r="A934" t="s">
        <v>998</v>
      </c>
    </row>
    <row r="935" spans="1:1" x14ac:dyDescent="0.25">
      <c r="A935" t="s">
        <v>999</v>
      </c>
    </row>
    <row r="936" spans="1:1" x14ac:dyDescent="0.25">
      <c r="A936" t="s">
        <v>1000</v>
      </c>
    </row>
    <row r="937" spans="1:1" x14ac:dyDescent="0.25">
      <c r="A937" t="s">
        <v>1001</v>
      </c>
    </row>
    <row r="938" spans="1:1" x14ac:dyDescent="0.25">
      <c r="A938" t="s">
        <v>1002</v>
      </c>
    </row>
    <row r="939" spans="1:1" x14ac:dyDescent="0.25">
      <c r="A939" t="s">
        <v>1003</v>
      </c>
    </row>
    <row r="940" spans="1:1" x14ac:dyDescent="0.25">
      <c r="A940" t="s">
        <v>1004</v>
      </c>
    </row>
    <row r="941" spans="1:1" x14ac:dyDescent="0.25">
      <c r="A941" t="s">
        <v>1005</v>
      </c>
    </row>
    <row r="942" spans="1:1" x14ac:dyDescent="0.25">
      <c r="A942" t="s">
        <v>1006</v>
      </c>
    </row>
    <row r="943" spans="1:1" x14ac:dyDescent="0.25">
      <c r="A943" t="s">
        <v>1007</v>
      </c>
    </row>
    <row r="944" spans="1:1" x14ac:dyDescent="0.25">
      <c r="A944" t="s">
        <v>1008</v>
      </c>
    </row>
    <row r="945" spans="1:1" x14ac:dyDescent="0.25">
      <c r="A945" t="s">
        <v>1009</v>
      </c>
    </row>
    <row r="946" spans="1:1" x14ac:dyDescent="0.25">
      <c r="A946" t="s">
        <v>1010</v>
      </c>
    </row>
    <row r="947" spans="1:1" x14ac:dyDescent="0.25">
      <c r="A947" t="s">
        <v>1011</v>
      </c>
    </row>
    <row r="948" spans="1:1" x14ac:dyDescent="0.25">
      <c r="A948" t="s">
        <v>1012</v>
      </c>
    </row>
    <row r="949" spans="1:1" x14ac:dyDescent="0.25">
      <c r="A949" t="s">
        <v>1013</v>
      </c>
    </row>
    <row r="950" spans="1:1" x14ac:dyDescent="0.25">
      <c r="A950" t="s">
        <v>1014</v>
      </c>
    </row>
    <row r="951" spans="1:1" x14ac:dyDescent="0.25">
      <c r="A951" t="s">
        <v>1015</v>
      </c>
    </row>
    <row r="952" spans="1:1" x14ac:dyDescent="0.25">
      <c r="A952" t="s">
        <v>1016</v>
      </c>
    </row>
    <row r="953" spans="1:1" x14ac:dyDescent="0.25">
      <c r="A953" t="s">
        <v>1017</v>
      </c>
    </row>
    <row r="954" spans="1:1" x14ac:dyDescent="0.25">
      <c r="A954" t="s">
        <v>1018</v>
      </c>
    </row>
    <row r="955" spans="1:1" x14ac:dyDescent="0.25">
      <c r="A955" t="s">
        <v>1019</v>
      </c>
    </row>
    <row r="956" spans="1:1" x14ac:dyDescent="0.25">
      <c r="A956" t="s">
        <v>1020</v>
      </c>
    </row>
    <row r="957" spans="1:1" x14ac:dyDescent="0.25">
      <c r="A957" t="s">
        <v>1021</v>
      </c>
    </row>
    <row r="958" spans="1:1" x14ac:dyDescent="0.25">
      <c r="A958" t="s">
        <v>1022</v>
      </c>
    </row>
    <row r="959" spans="1:1" x14ac:dyDescent="0.25">
      <c r="A959" t="s">
        <v>1023</v>
      </c>
    </row>
    <row r="960" spans="1:1" x14ac:dyDescent="0.25">
      <c r="A960" t="s">
        <v>1024</v>
      </c>
    </row>
    <row r="961" spans="1:1" x14ac:dyDescent="0.25">
      <c r="A961" t="s">
        <v>1025</v>
      </c>
    </row>
    <row r="962" spans="1:1" x14ac:dyDescent="0.25">
      <c r="A962" t="s">
        <v>1026</v>
      </c>
    </row>
    <row r="963" spans="1:1" x14ac:dyDescent="0.25">
      <c r="A963" t="s">
        <v>1027</v>
      </c>
    </row>
    <row r="964" spans="1:1" x14ac:dyDescent="0.25">
      <c r="A964" t="s">
        <v>1028</v>
      </c>
    </row>
    <row r="965" spans="1:1" x14ac:dyDescent="0.25">
      <c r="A965" t="s">
        <v>1029</v>
      </c>
    </row>
    <row r="966" spans="1:1" x14ac:dyDescent="0.25">
      <c r="A966" t="s">
        <v>1030</v>
      </c>
    </row>
    <row r="967" spans="1:1" x14ac:dyDescent="0.25">
      <c r="A967" t="s">
        <v>1031</v>
      </c>
    </row>
    <row r="968" spans="1:1" x14ac:dyDescent="0.25">
      <c r="A968" t="s">
        <v>1032</v>
      </c>
    </row>
    <row r="969" spans="1:1" x14ac:dyDescent="0.25">
      <c r="A969" t="s">
        <v>1033</v>
      </c>
    </row>
    <row r="970" spans="1:1" x14ac:dyDescent="0.25">
      <c r="A970" t="s">
        <v>1034</v>
      </c>
    </row>
    <row r="971" spans="1:1" x14ac:dyDescent="0.25">
      <c r="A971" t="s">
        <v>1035</v>
      </c>
    </row>
    <row r="972" spans="1:1" x14ac:dyDescent="0.25">
      <c r="A972" t="s">
        <v>1036</v>
      </c>
    </row>
    <row r="973" spans="1:1" x14ac:dyDescent="0.25">
      <c r="A973" t="s">
        <v>1037</v>
      </c>
    </row>
    <row r="974" spans="1:1" x14ac:dyDescent="0.25">
      <c r="A974" t="s">
        <v>1038</v>
      </c>
    </row>
    <row r="975" spans="1:1" x14ac:dyDescent="0.25">
      <c r="A975" t="s">
        <v>1039</v>
      </c>
    </row>
    <row r="976" spans="1:1" x14ac:dyDescent="0.25">
      <c r="A976" t="s">
        <v>1040</v>
      </c>
    </row>
    <row r="977" spans="1:1" x14ac:dyDescent="0.25">
      <c r="A977" t="s">
        <v>1041</v>
      </c>
    </row>
    <row r="978" spans="1:1" x14ac:dyDescent="0.25">
      <c r="A978" t="s">
        <v>1042</v>
      </c>
    </row>
    <row r="979" spans="1:1" x14ac:dyDescent="0.25">
      <c r="A979" t="s">
        <v>1043</v>
      </c>
    </row>
    <row r="980" spans="1:1" x14ac:dyDescent="0.25">
      <c r="A980" t="s">
        <v>1044</v>
      </c>
    </row>
    <row r="981" spans="1:1" x14ac:dyDescent="0.25">
      <c r="A981" t="s">
        <v>1045</v>
      </c>
    </row>
    <row r="982" spans="1:1" x14ac:dyDescent="0.25">
      <c r="A982" t="s">
        <v>1046</v>
      </c>
    </row>
    <row r="983" spans="1:1" x14ac:dyDescent="0.25">
      <c r="A983" t="s">
        <v>1047</v>
      </c>
    </row>
    <row r="984" spans="1:1" x14ac:dyDescent="0.25">
      <c r="A984" t="s">
        <v>1048</v>
      </c>
    </row>
    <row r="985" spans="1:1" x14ac:dyDescent="0.25">
      <c r="A985" t="s">
        <v>1049</v>
      </c>
    </row>
    <row r="986" spans="1:1" x14ac:dyDescent="0.25">
      <c r="A986" t="s">
        <v>1050</v>
      </c>
    </row>
    <row r="987" spans="1:1" x14ac:dyDescent="0.25">
      <c r="A987" t="s">
        <v>1051</v>
      </c>
    </row>
    <row r="988" spans="1:1" x14ac:dyDescent="0.25">
      <c r="A988" t="s">
        <v>1052</v>
      </c>
    </row>
    <row r="989" spans="1:1" x14ac:dyDescent="0.25">
      <c r="A989" t="s">
        <v>1053</v>
      </c>
    </row>
    <row r="990" spans="1:1" x14ac:dyDescent="0.25">
      <c r="A990" t="s">
        <v>1054</v>
      </c>
    </row>
    <row r="991" spans="1:1" x14ac:dyDescent="0.25">
      <c r="A991" t="s">
        <v>1055</v>
      </c>
    </row>
    <row r="992" spans="1:1" x14ac:dyDescent="0.25">
      <c r="A992" t="s">
        <v>1056</v>
      </c>
    </row>
    <row r="993" spans="1:1" x14ac:dyDescent="0.25">
      <c r="A993" t="s">
        <v>1057</v>
      </c>
    </row>
    <row r="994" spans="1:1" x14ac:dyDescent="0.25">
      <c r="A994" t="s">
        <v>1058</v>
      </c>
    </row>
    <row r="995" spans="1:1" x14ac:dyDescent="0.25">
      <c r="A995" t="s">
        <v>1059</v>
      </c>
    </row>
    <row r="996" spans="1:1" x14ac:dyDescent="0.25">
      <c r="A996" t="s">
        <v>1060</v>
      </c>
    </row>
    <row r="997" spans="1:1" x14ac:dyDescent="0.25">
      <c r="A997" t="s">
        <v>1061</v>
      </c>
    </row>
    <row r="998" spans="1:1" x14ac:dyDescent="0.25">
      <c r="A998" t="s">
        <v>1062</v>
      </c>
    </row>
    <row r="999" spans="1:1" x14ac:dyDescent="0.25">
      <c r="A999" t="s">
        <v>1063</v>
      </c>
    </row>
    <row r="1000" spans="1:1" x14ac:dyDescent="0.25">
      <c r="A1000" t="s">
        <v>1064</v>
      </c>
    </row>
    <row r="1001" spans="1:1" x14ac:dyDescent="0.25">
      <c r="A1001" t="s">
        <v>1065</v>
      </c>
    </row>
    <row r="1002" spans="1:1" x14ac:dyDescent="0.25">
      <c r="A1002" t="s">
        <v>1066</v>
      </c>
    </row>
    <row r="1003" spans="1:1" x14ac:dyDescent="0.25">
      <c r="A1003" t="s">
        <v>1067</v>
      </c>
    </row>
    <row r="1004" spans="1:1" x14ac:dyDescent="0.25">
      <c r="A1004" t="s">
        <v>1068</v>
      </c>
    </row>
    <row r="1005" spans="1:1" x14ac:dyDescent="0.25">
      <c r="A1005" t="s">
        <v>1069</v>
      </c>
    </row>
    <row r="1006" spans="1:1" x14ac:dyDescent="0.25">
      <c r="A1006" t="s">
        <v>1070</v>
      </c>
    </row>
    <row r="1007" spans="1:1" x14ac:dyDescent="0.25">
      <c r="A1007" t="s">
        <v>1071</v>
      </c>
    </row>
    <row r="1008" spans="1:1" x14ac:dyDescent="0.25">
      <c r="A1008" t="s">
        <v>1072</v>
      </c>
    </row>
    <row r="1009" spans="1:1" x14ac:dyDescent="0.25">
      <c r="A1009" t="s">
        <v>1073</v>
      </c>
    </row>
    <row r="1010" spans="1:1" x14ac:dyDescent="0.25">
      <c r="A1010" t="s">
        <v>1074</v>
      </c>
    </row>
    <row r="1011" spans="1:1" x14ac:dyDescent="0.25">
      <c r="A1011" t="s">
        <v>1075</v>
      </c>
    </row>
    <row r="1012" spans="1:1" x14ac:dyDescent="0.25">
      <c r="A1012" t="s">
        <v>1076</v>
      </c>
    </row>
    <row r="1013" spans="1:1" x14ac:dyDescent="0.25">
      <c r="A1013" t="s">
        <v>1077</v>
      </c>
    </row>
    <row r="1014" spans="1:1" x14ac:dyDescent="0.25">
      <c r="A1014" t="s">
        <v>1078</v>
      </c>
    </row>
    <row r="1015" spans="1:1" x14ac:dyDescent="0.25">
      <c r="A1015" t="s">
        <v>1079</v>
      </c>
    </row>
    <row r="1016" spans="1:1" x14ac:dyDescent="0.25">
      <c r="A1016" t="s">
        <v>1080</v>
      </c>
    </row>
    <row r="1017" spans="1:1" x14ac:dyDescent="0.25">
      <c r="A1017" t="s">
        <v>1081</v>
      </c>
    </row>
    <row r="1018" spans="1:1" x14ac:dyDescent="0.25">
      <c r="A1018" t="s">
        <v>1082</v>
      </c>
    </row>
    <row r="1019" spans="1:1" x14ac:dyDescent="0.25">
      <c r="A1019" t="s">
        <v>1083</v>
      </c>
    </row>
    <row r="1020" spans="1:1" x14ac:dyDescent="0.25">
      <c r="A1020" t="s">
        <v>1084</v>
      </c>
    </row>
    <row r="1021" spans="1:1" x14ac:dyDescent="0.25">
      <c r="A1021" t="s">
        <v>1085</v>
      </c>
    </row>
    <row r="1022" spans="1:1" x14ac:dyDescent="0.25">
      <c r="A1022" t="s">
        <v>1086</v>
      </c>
    </row>
    <row r="1023" spans="1:1" x14ac:dyDescent="0.25">
      <c r="A1023" t="s">
        <v>1087</v>
      </c>
    </row>
    <row r="1024" spans="1:1" x14ac:dyDescent="0.25">
      <c r="A1024" t="s">
        <v>1088</v>
      </c>
    </row>
    <row r="1025" spans="1:1" x14ac:dyDescent="0.25">
      <c r="A1025" t="s">
        <v>1089</v>
      </c>
    </row>
    <row r="1026" spans="1:1" x14ac:dyDescent="0.25">
      <c r="A1026" t="s">
        <v>1090</v>
      </c>
    </row>
    <row r="1027" spans="1:1" x14ac:dyDescent="0.25">
      <c r="A1027" t="s">
        <v>1091</v>
      </c>
    </row>
    <row r="1028" spans="1:1" x14ac:dyDescent="0.25">
      <c r="A1028" t="s">
        <v>1092</v>
      </c>
    </row>
    <row r="1029" spans="1:1" x14ac:dyDescent="0.25">
      <c r="A1029" t="s">
        <v>1093</v>
      </c>
    </row>
    <row r="1030" spans="1:1" x14ac:dyDescent="0.25">
      <c r="A1030" t="s">
        <v>1094</v>
      </c>
    </row>
    <row r="1031" spans="1:1" x14ac:dyDescent="0.25">
      <c r="A1031" t="s">
        <v>1095</v>
      </c>
    </row>
    <row r="1032" spans="1:1" x14ac:dyDescent="0.25">
      <c r="A1032" t="s">
        <v>1096</v>
      </c>
    </row>
    <row r="1033" spans="1:1" x14ac:dyDescent="0.25">
      <c r="A1033" t="s">
        <v>1097</v>
      </c>
    </row>
    <row r="1034" spans="1:1" x14ac:dyDescent="0.25">
      <c r="A1034" t="s">
        <v>1098</v>
      </c>
    </row>
    <row r="1035" spans="1:1" x14ac:dyDescent="0.25">
      <c r="A1035" t="s">
        <v>1099</v>
      </c>
    </row>
    <row r="1036" spans="1:1" x14ac:dyDescent="0.25">
      <c r="A1036" t="s">
        <v>1100</v>
      </c>
    </row>
    <row r="1037" spans="1:1" x14ac:dyDescent="0.25">
      <c r="A1037" t="s">
        <v>1101</v>
      </c>
    </row>
    <row r="1038" spans="1:1" x14ac:dyDescent="0.25">
      <c r="A1038" t="s">
        <v>1102</v>
      </c>
    </row>
    <row r="1039" spans="1:1" x14ac:dyDescent="0.25">
      <c r="A1039" t="s">
        <v>1103</v>
      </c>
    </row>
    <row r="1040" spans="1:1" x14ac:dyDescent="0.25">
      <c r="A1040" t="s">
        <v>1104</v>
      </c>
    </row>
    <row r="1041" spans="1:1" x14ac:dyDescent="0.25">
      <c r="A1041" t="s">
        <v>1105</v>
      </c>
    </row>
    <row r="1042" spans="1:1" x14ac:dyDescent="0.25">
      <c r="A1042" t="s">
        <v>1106</v>
      </c>
    </row>
    <row r="1043" spans="1:1" x14ac:dyDescent="0.25">
      <c r="A1043" t="s">
        <v>1107</v>
      </c>
    </row>
    <row r="1044" spans="1:1" x14ac:dyDescent="0.25">
      <c r="A1044" t="s">
        <v>1108</v>
      </c>
    </row>
    <row r="1045" spans="1:1" x14ac:dyDescent="0.25">
      <c r="A1045" t="s">
        <v>1109</v>
      </c>
    </row>
    <row r="1046" spans="1:1" x14ac:dyDescent="0.25">
      <c r="A1046" t="s">
        <v>1110</v>
      </c>
    </row>
    <row r="1047" spans="1:1" x14ac:dyDescent="0.25">
      <c r="A1047" t="s">
        <v>1111</v>
      </c>
    </row>
    <row r="1048" spans="1:1" x14ac:dyDescent="0.25">
      <c r="A1048" t="s">
        <v>1112</v>
      </c>
    </row>
    <row r="1049" spans="1:1" x14ac:dyDescent="0.25">
      <c r="A1049" t="s">
        <v>1113</v>
      </c>
    </row>
    <row r="1050" spans="1:1" x14ac:dyDescent="0.25">
      <c r="A1050" t="s">
        <v>1114</v>
      </c>
    </row>
    <row r="1051" spans="1:1" x14ac:dyDescent="0.25">
      <c r="A1051" t="s">
        <v>1115</v>
      </c>
    </row>
    <row r="1052" spans="1:1" x14ac:dyDescent="0.25">
      <c r="A1052" t="s">
        <v>1116</v>
      </c>
    </row>
    <row r="1053" spans="1:1" x14ac:dyDescent="0.25">
      <c r="A1053" t="s">
        <v>1117</v>
      </c>
    </row>
    <row r="1054" spans="1:1" x14ac:dyDescent="0.25">
      <c r="A1054" t="s">
        <v>1118</v>
      </c>
    </row>
    <row r="1055" spans="1:1" x14ac:dyDescent="0.25">
      <c r="A1055" t="s">
        <v>1119</v>
      </c>
    </row>
    <row r="1056" spans="1:1" x14ac:dyDescent="0.25">
      <c r="A1056" t="s">
        <v>1120</v>
      </c>
    </row>
    <row r="1057" spans="1:1" x14ac:dyDescent="0.25">
      <c r="A1057" t="s">
        <v>1121</v>
      </c>
    </row>
    <row r="1058" spans="1:1" x14ac:dyDescent="0.25">
      <c r="A1058" t="s">
        <v>1122</v>
      </c>
    </row>
    <row r="1059" spans="1:1" x14ac:dyDescent="0.25">
      <c r="A1059" t="s">
        <v>1123</v>
      </c>
    </row>
    <row r="1060" spans="1:1" x14ac:dyDescent="0.25">
      <c r="A1060" t="s">
        <v>1124</v>
      </c>
    </row>
    <row r="1061" spans="1:1" x14ac:dyDescent="0.25">
      <c r="A1061" t="s">
        <v>1125</v>
      </c>
    </row>
    <row r="1062" spans="1:1" x14ac:dyDescent="0.25">
      <c r="A1062" t="s">
        <v>1126</v>
      </c>
    </row>
    <row r="1063" spans="1:1" x14ac:dyDescent="0.25">
      <c r="A1063" t="s">
        <v>1127</v>
      </c>
    </row>
    <row r="1064" spans="1:1" x14ac:dyDescent="0.25">
      <c r="A1064" t="s">
        <v>1128</v>
      </c>
    </row>
    <row r="1065" spans="1:1" x14ac:dyDescent="0.25">
      <c r="A1065" t="s">
        <v>1129</v>
      </c>
    </row>
    <row r="1066" spans="1:1" x14ac:dyDescent="0.25">
      <c r="A1066" t="s">
        <v>1130</v>
      </c>
    </row>
    <row r="1067" spans="1:1" x14ac:dyDescent="0.25">
      <c r="A1067" t="s">
        <v>1131</v>
      </c>
    </row>
    <row r="1068" spans="1:1" x14ac:dyDescent="0.25">
      <c r="A1068" t="s">
        <v>1132</v>
      </c>
    </row>
    <row r="1069" spans="1:1" x14ac:dyDescent="0.25">
      <c r="A1069" t="s">
        <v>1133</v>
      </c>
    </row>
    <row r="1070" spans="1:1" x14ac:dyDescent="0.25">
      <c r="A1070" t="s">
        <v>1134</v>
      </c>
    </row>
    <row r="1071" spans="1:1" x14ac:dyDescent="0.25">
      <c r="A1071" t="s">
        <v>1135</v>
      </c>
    </row>
    <row r="1072" spans="1:1" x14ac:dyDescent="0.25">
      <c r="A1072" t="s">
        <v>1136</v>
      </c>
    </row>
    <row r="1073" spans="1:1" x14ac:dyDescent="0.25">
      <c r="A1073" t="s">
        <v>1137</v>
      </c>
    </row>
    <row r="1074" spans="1:1" x14ac:dyDescent="0.25">
      <c r="A1074" t="s">
        <v>1138</v>
      </c>
    </row>
    <row r="1075" spans="1:1" x14ac:dyDescent="0.25">
      <c r="A1075" t="s">
        <v>1139</v>
      </c>
    </row>
    <row r="1076" spans="1:1" x14ac:dyDescent="0.25">
      <c r="A1076" t="s">
        <v>1140</v>
      </c>
    </row>
    <row r="1077" spans="1:1" x14ac:dyDescent="0.25">
      <c r="A1077" t="s">
        <v>1141</v>
      </c>
    </row>
    <row r="1078" spans="1:1" x14ac:dyDescent="0.25">
      <c r="A1078" t="s">
        <v>1142</v>
      </c>
    </row>
    <row r="1079" spans="1:1" x14ac:dyDescent="0.25">
      <c r="A1079" t="s">
        <v>1143</v>
      </c>
    </row>
    <row r="1080" spans="1:1" x14ac:dyDescent="0.25">
      <c r="A1080" t="s">
        <v>1144</v>
      </c>
    </row>
    <row r="1081" spans="1:1" x14ac:dyDescent="0.25">
      <c r="A1081" t="s">
        <v>1145</v>
      </c>
    </row>
    <row r="1082" spans="1:1" x14ac:dyDescent="0.25">
      <c r="A1082" t="s">
        <v>1146</v>
      </c>
    </row>
    <row r="1083" spans="1:1" x14ac:dyDescent="0.25">
      <c r="A1083" t="s">
        <v>1147</v>
      </c>
    </row>
    <row r="1084" spans="1:1" x14ac:dyDescent="0.25">
      <c r="A1084" t="s">
        <v>1148</v>
      </c>
    </row>
    <row r="1085" spans="1:1" x14ac:dyDescent="0.25">
      <c r="A1085" t="s">
        <v>1149</v>
      </c>
    </row>
    <row r="1086" spans="1:1" x14ac:dyDescent="0.25">
      <c r="A1086" t="s">
        <v>1150</v>
      </c>
    </row>
    <row r="1087" spans="1:1" x14ac:dyDescent="0.25">
      <c r="A1087" t="s">
        <v>1151</v>
      </c>
    </row>
    <row r="1088" spans="1:1" x14ac:dyDescent="0.25">
      <c r="A1088" t="s">
        <v>1152</v>
      </c>
    </row>
    <row r="1089" spans="1:1" x14ac:dyDescent="0.25">
      <c r="A1089" t="s">
        <v>1153</v>
      </c>
    </row>
    <row r="1090" spans="1:1" x14ac:dyDescent="0.25">
      <c r="A1090" t="s">
        <v>1154</v>
      </c>
    </row>
    <row r="1091" spans="1:1" x14ac:dyDescent="0.25">
      <c r="A1091" t="s">
        <v>1155</v>
      </c>
    </row>
    <row r="1092" spans="1:1" x14ac:dyDescent="0.25">
      <c r="A1092" t="s">
        <v>1156</v>
      </c>
    </row>
    <row r="1093" spans="1:1" x14ac:dyDescent="0.25">
      <c r="A1093" t="s">
        <v>1157</v>
      </c>
    </row>
    <row r="1094" spans="1:1" x14ac:dyDescent="0.25">
      <c r="A1094" t="s">
        <v>1158</v>
      </c>
    </row>
    <row r="1095" spans="1:1" x14ac:dyDescent="0.25">
      <c r="A1095" t="s">
        <v>1159</v>
      </c>
    </row>
    <row r="1096" spans="1:1" x14ac:dyDescent="0.25">
      <c r="A1096" t="s">
        <v>1160</v>
      </c>
    </row>
    <row r="1097" spans="1:1" x14ac:dyDescent="0.25">
      <c r="A1097" t="s">
        <v>1161</v>
      </c>
    </row>
    <row r="1098" spans="1:1" x14ac:dyDescent="0.25">
      <c r="A1098" t="s">
        <v>1162</v>
      </c>
    </row>
    <row r="1099" spans="1:1" x14ac:dyDescent="0.25">
      <c r="A1099" t="s">
        <v>1163</v>
      </c>
    </row>
    <row r="1100" spans="1:1" x14ac:dyDescent="0.25">
      <c r="A1100" t="s">
        <v>1164</v>
      </c>
    </row>
    <row r="1101" spans="1:1" x14ac:dyDescent="0.25">
      <c r="A1101" t="s">
        <v>1165</v>
      </c>
    </row>
    <row r="1102" spans="1:1" x14ac:dyDescent="0.25">
      <c r="A1102" t="s">
        <v>1166</v>
      </c>
    </row>
    <row r="1103" spans="1:1" x14ac:dyDescent="0.25">
      <c r="A1103" t="s">
        <v>1167</v>
      </c>
    </row>
    <row r="1104" spans="1:1" x14ac:dyDescent="0.25">
      <c r="A1104" t="s">
        <v>1168</v>
      </c>
    </row>
    <row r="1105" spans="1:1" x14ac:dyDescent="0.25">
      <c r="A1105" t="s">
        <v>1169</v>
      </c>
    </row>
    <row r="1106" spans="1:1" x14ac:dyDescent="0.25">
      <c r="A1106" t="s">
        <v>1170</v>
      </c>
    </row>
    <row r="1107" spans="1:1" x14ac:dyDescent="0.25">
      <c r="A1107" t="s">
        <v>1171</v>
      </c>
    </row>
    <row r="1108" spans="1:1" x14ac:dyDescent="0.25">
      <c r="A1108" t="s">
        <v>1172</v>
      </c>
    </row>
    <row r="1109" spans="1:1" x14ac:dyDescent="0.25">
      <c r="A1109" t="s">
        <v>1173</v>
      </c>
    </row>
    <row r="1110" spans="1:1" x14ac:dyDescent="0.25">
      <c r="A1110" t="s">
        <v>1174</v>
      </c>
    </row>
    <row r="1111" spans="1:1" x14ac:dyDescent="0.25">
      <c r="A1111" t="s">
        <v>1175</v>
      </c>
    </row>
    <row r="1112" spans="1:1" x14ac:dyDescent="0.25">
      <c r="A1112" t="s">
        <v>1176</v>
      </c>
    </row>
    <row r="1113" spans="1:1" x14ac:dyDescent="0.25">
      <c r="A1113" t="s">
        <v>1177</v>
      </c>
    </row>
    <row r="1114" spans="1:1" x14ac:dyDescent="0.25">
      <c r="A1114" t="s">
        <v>1178</v>
      </c>
    </row>
    <row r="1115" spans="1:1" x14ac:dyDescent="0.25">
      <c r="A1115" t="s">
        <v>1179</v>
      </c>
    </row>
    <row r="1116" spans="1:1" x14ac:dyDescent="0.25">
      <c r="A1116" t="s">
        <v>1180</v>
      </c>
    </row>
    <row r="1117" spans="1:1" x14ac:dyDescent="0.25">
      <c r="A1117" t="s">
        <v>1181</v>
      </c>
    </row>
    <row r="1118" spans="1:1" x14ac:dyDescent="0.25">
      <c r="A1118" t="s">
        <v>1182</v>
      </c>
    </row>
    <row r="1119" spans="1:1" x14ac:dyDescent="0.25">
      <c r="A1119" t="s">
        <v>1183</v>
      </c>
    </row>
    <row r="1120" spans="1:1" x14ac:dyDescent="0.25">
      <c r="A1120" t="s">
        <v>1184</v>
      </c>
    </row>
    <row r="1121" spans="1:1" x14ac:dyDescent="0.25">
      <c r="A1121" t="s">
        <v>1185</v>
      </c>
    </row>
    <row r="1122" spans="1:1" x14ac:dyDescent="0.25">
      <c r="A1122" t="s">
        <v>1186</v>
      </c>
    </row>
    <row r="1123" spans="1:1" x14ac:dyDescent="0.25">
      <c r="A1123" t="s">
        <v>1187</v>
      </c>
    </row>
    <row r="1124" spans="1:1" x14ac:dyDescent="0.25">
      <c r="A1124" t="s">
        <v>1188</v>
      </c>
    </row>
    <row r="1125" spans="1:1" x14ac:dyDescent="0.25">
      <c r="A1125" t="s">
        <v>1189</v>
      </c>
    </row>
    <row r="1126" spans="1:1" x14ac:dyDescent="0.25">
      <c r="A1126" t="s">
        <v>1190</v>
      </c>
    </row>
    <row r="1127" spans="1:1" x14ac:dyDescent="0.25">
      <c r="A1127" t="s">
        <v>1191</v>
      </c>
    </row>
    <row r="1128" spans="1:1" x14ac:dyDescent="0.25">
      <c r="A1128" t="s">
        <v>1192</v>
      </c>
    </row>
    <row r="1129" spans="1:1" x14ac:dyDescent="0.25">
      <c r="A1129" t="s">
        <v>1193</v>
      </c>
    </row>
    <row r="1130" spans="1:1" x14ac:dyDescent="0.25">
      <c r="A1130" t="s">
        <v>1194</v>
      </c>
    </row>
    <row r="1131" spans="1:1" x14ac:dyDescent="0.25">
      <c r="A1131" t="s">
        <v>1195</v>
      </c>
    </row>
    <row r="1132" spans="1:1" x14ac:dyDescent="0.25">
      <c r="A1132" t="s">
        <v>1196</v>
      </c>
    </row>
    <row r="1133" spans="1:1" x14ac:dyDescent="0.25">
      <c r="A1133" t="s">
        <v>1197</v>
      </c>
    </row>
    <row r="1134" spans="1:1" x14ac:dyDescent="0.25">
      <c r="A1134" t="s">
        <v>1198</v>
      </c>
    </row>
    <row r="1135" spans="1:1" x14ac:dyDescent="0.25">
      <c r="A1135" t="s">
        <v>1199</v>
      </c>
    </row>
    <row r="1136" spans="1:1" x14ac:dyDescent="0.25">
      <c r="A1136" t="s">
        <v>1200</v>
      </c>
    </row>
    <row r="1137" spans="1:1" x14ac:dyDescent="0.25">
      <c r="A1137" t="s">
        <v>1201</v>
      </c>
    </row>
    <row r="1138" spans="1:1" x14ac:dyDescent="0.25">
      <c r="A1138" t="s">
        <v>1202</v>
      </c>
    </row>
    <row r="1139" spans="1:1" x14ac:dyDescent="0.25">
      <c r="A1139" t="s">
        <v>1203</v>
      </c>
    </row>
    <row r="1140" spans="1:1" x14ac:dyDescent="0.25">
      <c r="A1140" t="s">
        <v>1204</v>
      </c>
    </row>
    <row r="1141" spans="1:1" x14ac:dyDescent="0.25">
      <c r="A1141" t="s">
        <v>1205</v>
      </c>
    </row>
    <row r="1142" spans="1:1" x14ac:dyDescent="0.25">
      <c r="A1142" t="s">
        <v>1206</v>
      </c>
    </row>
    <row r="1143" spans="1:1" x14ac:dyDescent="0.25">
      <c r="A1143" t="s">
        <v>1207</v>
      </c>
    </row>
    <row r="1144" spans="1:1" x14ac:dyDescent="0.25">
      <c r="A1144" t="s">
        <v>1208</v>
      </c>
    </row>
    <row r="1145" spans="1:1" x14ac:dyDescent="0.25">
      <c r="A1145" t="s">
        <v>1209</v>
      </c>
    </row>
    <row r="1146" spans="1:1" x14ac:dyDescent="0.25">
      <c r="A1146" t="s">
        <v>1210</v>
      </c>
    </row>
    <row r="1147" spans="1:1" x14ac:dyDescent="0.25">
      <c r="A1147" t="s">
        <v>1211</v>
      </c>
    </row>
    <row r="1148" spans="1:1" x14ac:dyDescent="0.25">
      <c r="A1148" t="s">
        <v>1212</v>
      </c>
    </row>
    <row r="1149" spans="1:1" x14ac:dyDescent="0.25">
      <c r="A1149" t="s">
        <v>1213</v>
      </c>
    </row>
    <row r="1150" spans="1:1" x14ac:dyDescent="0.25">
      <c r="A1150" t="s">
        <v>1214</v>
      </c>
    </row>
    <row r="1151" spans="1:1" x14ac:dyDescent="0.25">
      <c r="A1151" t="s">
        <v>1215</v>
      </c>
    </row>
    <row r="1152" spans="1:1" x14ac:dyDescent="0.25">
      <c r="A1152" t="s">
        <v>1216</v>
      </c>
    </row>
    <row r="1153" spans="1:1" x14ac:dyDescent="0.25">
      <c r="A1153" t="s">
        <v>1217</v>
      </c>
    </row>
    <row r="1154" spans="1:1" x14ac:dyDescent="0.25">
      <c r="A1154" t="s">
        <v>1218</v>
      </c>
    </row>
    <row r="1155" spans="1:1" x14ac:dyDescent="0.25">
      <c r="A1155" t="s">
        <v>1219</v>
      </c>
    </row>
    <row r="1156" spans="1:1" x14ac:dyDescent="0.25">
      <c r="A1156" t="s">
        <v>1220</v>
      </c>
    </row>
    <row r="1157" spans="1:1" x14ac:dyDescent="0.25">
      <c r="A1157" t="s">
        <v>1221</v>
      </c>
    </row>
    <row r="1158" spans="1:1" x14ac:dyDescent="0.25">
      <c r="A1158" t="s">
        <v>1222</v>
      </c>
    </row>
    <row r="1159" spans="1:1" x14ac:dyDescent="0.25">
      <c r="A1159" t="s">
        <v>1223</v>
      </c>
    </row>
    <row r="1160" spans="1:1" x14ac:dyDescent="0.25">
      <c r="A1160" t="s">
        <v>1224</v>
      </c>
    </row>
    <row r="1161" spans="1:1" x14ac:dyDescent="0.25">
      <c r="A1161" t="s">
        <v>1225</v>
      </c>
    </row>
    <row r="1162" spans="1:1" x14ac:dyDescent="0.25">
      <c r="A1162" t="s">
        <v>1226</v>
      </c>
    </row>
    <row r="1163" spans="1:1" x14ac:dyDescent="0.25">
      <c r="A1163" t="s">
        <v>1227</v>
      </c>
    </row>
    <row r="1164" spans="1:1" x14ac:dyDescent="0.25">
      <c r="A1164" t="s">
        <v>1228</v>
      </c>
    </row>
    <row r="1165" spans="1:1" x14ac:dyDescent="0.25">
      <c r="A1165" t="s">
        <v>1229</v>
      </c>
    </row>
    <row r="1166" spans="1:1" x14ac:dyDescent="0.25">
      <c r="A1166" t="s">
        <v>1230</v>
      </c>
    </row>
    <row r="1167" spans="1:1" x14ac:dyDescent="0.25">
      <c r="A1167" t="s">
        <v>1231</v>
      </c>
    </row>
    <row r="1168" spans="1:1" x14ac:dyDescent="0.25">
      <c r="A1168" t="s">
        <v>1232</v>
      </c>
    </row>
    <row r="1169" spans="1:1" x14ac:dyDescent="0.25">
      <c r="A1169" t="s">
        <v>1233</v>
      </c>
    </row>
    <row r="1170" spans="1:1" x14ac:dyDescent="0.25">
      <c r="A1170" t="s">
        <v>1234</v>
      </c>
    </row>
    <row r="1171" spans="1:1" x14ac:dyDescent="0.25">
      <c r="A1171" t="s">
        <v>1235</v>
      </c>
    </row>
    <row r="1172" spans="1:1" x14ac:dyDescent="0.25">
      <c r="A1172" t="s">
        <v>1236</v>
      </c>
    </row>
    <row r="1173" spans="1:1" x14ac:dyDescent="0.25">
      <c r="A1173" t="s">
        <v>1237</v>
      </c>
    </row>
    <row r="1174" spans="1:1" x14ac:dyDescent="0.25">
      <c r="A1174" t="s">
        <v>1238</v>
      </c>
    </row>
    <row r="1175" spans="1:1" x14ac:dyDescent="0.25">
      <c r="A1175" t="s">
        <v>1239</v>
      </c>
    </row>
    <row r="1176" spans="1:1" x14ac:dyDescent="0.25">
      <c r="A1176" t="s">
        <v>1240</v>
      </c>
    </row>
    <row r="1177" spans="1:1" x14ac:dyDescent="0.25">
      <c r="A1177" t="s">
        <v>1241</v>
      </c>
    </row>
    <row r="1178" spans="1:1" x14ac:dyDescent="0.25">
      <c r="A1178" t="s">
        <v>1242</v>
      </c>
    </row>
    <row r="1179" spans="1:1" x14ac:dyDescent="0.25">
      <c r="A1179" t="s">
        <v>1243</v>
      </c>
    </row>
    <row r="1180" spans="1:1" x14ac:dyDescent="0.25">
      <c r="A1180" t="s">
        <v>1244</v>
      </c>
    </row>
    <row r="1181" spans="1:1" x14ac:dyDescent="0.25">
      <c r="A1181" t="s">
        <v>1245</v>
      </c>
    </row>
    <row r="1182" spans="1:1" x14ac:dyDescent="0.25">
      <c r="A1182" t="s">
        <v>1246</v>
      </c>
    </row>
    <row r="1183" spans="1:1" x14ac:dyDescent="0.25">
      <c r="A1183" t="s">
        <v>1247</v>
      </c>
    </row>
    <row r="1184" spans="1:1" x14ac:dyDescent="0.25">
      <c r="A1184" t="s">
        <v>1248</v>
      </c>
    </row>
    <row r="1185" spans="1:1" x14ac:dyDescent="0.25">
      <c r="A1185" t="s">
        <v>1249</v>
      </c>
    </row>
    <row r="1186" spans="1:1" x14ac:dyDescent="0.25">
      <c r="A1186" t="s">
        <v>1250</v>
      </c>
    </row>
    <row r="1187" spans="1:1" x14ac:dyDescent="0.25">
      <c r="A1187" t="s">
        <v>1251</v>
      </c>
    </row>
    <row r="1188" spans="1:1" x14ac:dyDescent="0.25">
      <c r="A1188" t="s">
        <v>1252</v>
      </c>
    </row>
    <row r="1189" spans="1:1" x14ac:dyDescent="0.25">
      <c r="A1189" t="s">
        <v>1253</v>
      </c>
    </row>
    <row r="1190" spans="1:1" x14ac:dyDescent="0.25">
      <c r="A1190" t="s">
        <v>1254</v>
      </c>
    </row>
    <row r="1191" spans="1:1" x14ac:dyDescent="0.25">
      <c r="A1191" t="s">
        <v>1255</v>
      </c>
    </row>
    <row r="1192" spans="1:1" x14ac:dyDescent="0.25">
      <c r="A1192" t="s">
        <v>1256</v>
      </c>
    </row>
    <row r="1193" spans="1:1" x14ac:dyDescent="0.25">
      <c r="A1193" t="s">
        <v>1257</v>
      </c>
    </row>
    <row r="1194" spans="1:1" x14ac:dyDescent="0.25">
      <c r="A1194" t="s">
        <v>1258</v>
      </c>
    </row>
    <row r="1195" spans="1:1" x14ac:dyDescent="0.25">
      <c r="A1195" t="s">
        <v>1259</v>
      </c>
    </row>
    <row r="1196" spans="1:1" x14ac:dyDescent="0.25">
      <c r="A1196" t="s">
        <v>1260</v>
      </c>
    </row>
    <row r="1197" spans="1:1" x14ac:dyDescent="0.25">
      <c r="A1197" t="s">
        <v>1261</v>
      </c>
    </row>
    <row r="1198" spans="1:1" x14ac:dyDescent="0.25">
      <c r="A1198" t="s">
        <v>1262</v>
      </c>
    </row>
    <row r="1199" spans="1:1" x14ac:dyDescent="0.25">
      <c r="A1199" t="s">
        <v>1263</v>
      </c>
    </row>
    <row r="1200" spans="1:1" x14ac:dyDescent="0.25">
      <c r="A1200" t="s">
        <v>1264</v>
      </c>
    </row>
    <row r="1201" spans="1:1" x14ac:dyDescent="0.25">
      <c r="A1201" t="s">
        <v>1265</v>
      </c>
    </row>
    <row r="1202" spans="1:1" x14ac:dyDescent="0.25">
      <c r="A1202" t="s">
        <v>1266</v>
      </c>
    </row>
    <row r="1203" spans="1:1" x14ac:dyDescent="0.25">
      <c r="A1203" t="s">
        <v>1267</v>
      </c>
    </row>
    <row r="1204" spans="1:1" x14ac:dyDescent="0.25">
      <c r="A1204" t="s">
        <v>1268</v>
      </c>
    </row>
    <row r="1205" spans="1:1" x14ac:dyDescent="0.25">
      <c r="A1205" t="s">
        <v>1269</v>
      </c>
    </row>
    <row r="1206" spans="1:1" x14ac:dyDescent="0.25">
      <c r="A1206" t="s">
        <v>1270</v>
      </c>
    </row>
    <row r="1207" spans="1:1" x14ac:dyDescent="0.25">
      <c r="A1207" t="s">
        <v>1271</v>
      </c>
    </row>
    <row r="1208" spans="1:1" x14ac:dyDescent="0.25">
      <c r="A1208" t="s">
        <v>1272</v>
      </c>
    </row>
    <row r="1209" spans="1:1" x14ac:dyDescent="0.25">
      <c r="A1209" t="s">
        <v>1273</v>
      </c>
    </row>
    <row r="1210" spans="1:1" x14ac:dyDescent="0.25">
      <c r="A1210" t="s">
        <v>1274</v>
      </c>
    </row>
    <row r="1211" spans="1:1" x14ac:dyDescent="0.25">
      <c r="A1211" t="s">
        <v>1275</v>
      </c>
    </row>
    <row r="1212" spans="1:1" x14ac:dyDescent="0.25">
      <c r="A1212" t="s">
        <v>1276</v>
      </c>
    </row>
    <row r="1213" spans="1:1" x14ac:dyDescent="0.25">
      <c r="A1213" t="s">
        <v>1277</v>
      </c>
    </row>
    <row r="1214" spans="1:1" x14ac:dyDescent="0.25">
      <c r="A1214" t="s">
        <v>1278</v>
      </c>
    </row>
    <row r="1215" spans="1:1" x14ac:dyDescent="0.25">
      <c r="A1215" t="s">
        <v>1279</v>
      </c>
    </row>
    <row r="1216" spans="1:1" x14ac:dyDescent="0.25">
      <c r="A1216" t="s">
        <v>1280</v>
      </c>
    </row>
    <row r="1217" spans="1:1" x14ac:dyDescent="0.25">
      <c r="A1217" t="s">
        <v>1281</v>
      </c>
    </row>
    <row r="1218" spans="1:1" x14ac:dyDescent="0.25">
      <c r="A1218" t="s">
        <v>1282</v>
      </c>
    </row>
    <row r="1219" spans="1:1" x14ac:dyDescent="0.25">
      <c r="A1219" t="s">
        <v>1283</v>
      </c>
    </row>
    <row r="1220" spans="1:1" x14ac:dyDescent="0.25">
      <c r="A1220" t="s">
        <v>1284</v>
      </c>
    </row>
    <row r="1221" spans="1:1" x14ac:dyDescent="0.25">
      <c r="A1221" t="s">
        <v>1285</v>
      </c>
    </row>
    <row r="1222" spans="1:1" x14ac:dyDescent="0.25">
      <c r="A1222" t="s">
        <v>1286</v>
      </c>
    </row>
    <row r="1223" spans="1:1" x14ac:dyDescent="0.25">
      <c r="A1223" t="s">
        <v>1287</v>
      </c>
    </row>
    <row r="1224" spans="1:1" x14ac:dyDescent="0.25">
      <c r="A1224" t="s">
        <v>1288</v>
      </c>
    </row>
    <row r="1225" spans="1:1" x14ac:dyDescent="0.25">
      <c r="A1225" t="s">
        <v>1289</v>
      </c>
    </row>
    <row r="1226" spans="1:1" x14ac:dyDescent="0.25">
      <c r="A1226" t="s">
        <v>1290</v>
      </c>
    </row>
    <row r="1227" spans="1:1" x14ac:dyDescent="0.25">
      <c r="A1227" t="s">
        <v>1291</v>
      </c>
    </row>
    <row r="1228" spans="1:1" x14ac:dyDescent="0.25">
      <c r="A1228" t="s">
        <v>1292</v>
      </c>
    </row>
    <row r="1229" spans="1:1" x14ac:dyDescent="0.25">
      <c r="A1229" t="s">
        <v>1293</v>
      </c>
    </row>
    <row r="1230" spans="1:1" x14ac:dyDescent="0.25">
      <c r="A1230" t="s">
        <v>1294</v>
      </c>
    </row>
    <row r="1231" spans="1:1" x14ac:dyDescent="0.25">
      <c r="A1231" t="s">
        <v>1295</v>
      </c>
    </row>
    <row r="1232" spans="1:1" x14ac:dyDescent="0.25">
      <c r="A1232" t="s">
        <v>1296</v>
      </c>
    </row>
    <row r="1233" spans="1:1" x14ac:dyDescent="0.25">
      <c r="A1233" t="s">
        <v>1297</v>
      </c>
    </row>
    <row r="1234" spans="1:1" x14ac:dyDescent="0.25">
      <c r="A1234" t="s">
        <v>1298</v>
      </c>
    </row>
    <row r="1235" spans="1:1" x14ac:dyDescent="0.25">
      <c r="A1235" t="s">
        <v>1299</v>
      </c>
    </row>
    <row r="1236" spans="1:1" x14ac:dyDescent="0.25">
      <c r="A1236" t="s">
        <v>1300</v>
      </c>
    </row>
    <row r="1237" spans="1:1" x14ac:dyDescent="0.25">
      <c r="A1237" t="s">
        <v>1301</v>
      </c>
    </row>
    <row r="1238" spans="1:1" x14ac:dyDescent="0.25">
      <c r="A1238" t="s">
        <v>1302</v>
      </c>
    </row>
    <row r="1239" spans="1:1" x14ac:dyDescent="0.25">
      <c r="A1239" t="s">
        <v>1303</v>
      </c>
    </row>
    <row r="1240" spans="1:1" x14ac:dyDescent="0.25">
      <c r="A1240" t="s">
        <v>1304</v>
      </c>
    </row>
    <row r="1241" spans="1:1" x14ac:dyDescent="0.25">
      <c r="A1241" t="s">
        <v>1305</v>
      </c>
    </row>
    <row r="1242" spans="1:1" x14ac:dyDescent="0.25">
      <c r="A1242" t="s">
        <v>1306</v>
      </c>
    </row>
    <row r="1243" spans="1:1" x14ac:dyDescent="0.25">
      <c r="A1243" t="s">
        <v>1307</v>
      </c>
    </row>
    <row r="1244" spans="1:1" x14ac:dyDescent="0.25">
      <c r="A1244" t="s">
        <v>1308</v>
      </c>
    </row>
    <row r="1245" spans="1:1" x14ac:dyDescent="0.25">
      <c r="A1245" t="s">
        <v>1309</v>
      </c>
    </row>
    <row r="1246" spans="1:1" x14ac:dyDescent="0.25">
      <c r="A1246" t="s">
        <v>1310</v>
      </c>
    </row>
    <row r="1247" spans="1:1" x14ac:dyDescent="0.25">
      <c r="A1247" t="s">
        <v>1311</v>
      </c>
    </row>
    <row r="1248" spans="1:1" x14ac:dyDescent="0.25">
      <c r="A1248" t="s">
        <v>1312</v>
      </c>
    </row>
    <row r="1249" spans="1:1" x14ac:dyDescent="0.25">
      <c r="A1249" t="s">
        <v>1313</v>
      </c>
    </row>
    <row r="1250" spans="1:1" x14ac:dyDescent="0.25">
      <c r="A1250" t="s">
        <v>1314</v>
      </c>
    </row>
    <row r="1251" spans="1:1" x14ac:dyDescent="0.25">
      <c r="A1251" t="s">
        <v>1315</v>
      </c>
    </row>
    <row r="1252" spans="1:1" x14ac:dyDescent="0.25">
      <c r="A1252" t="s">
        <v>1316</v>
      </c>
    </row>
    <row r="1253" spans="1:1" x14ac:dyDescent="0.25">
      <c r="A1253" t="s">
        <v>1317</v>
      </c>
    </row>
    <row r="1254" spans="1:1" x14ac:dyDescent="0.25">
      <c r="A1254" t="s">
        <v>1318</v>
      </c>
    </row>
    <row r="1255" spans="1:1" x14ac:dyDescent="0.25">
      <c r="A1255" t="s">
        <v>1319</v>
      </c>
    </row>
    <row r="1256" spans="1:1" x14ac:dyDescent="0.25">
      <c r="A1256" t="s">
        <v>1320</v>
      </c>
    </row>
    <row r="1257" spans="1:1" x14ac:dyDescent="0.25">
      <c r="A1257" t="s">
        <v>1321</v>
      </c>
    </row>
    <row r="1258" spans="1:1" x14ac:dyDescent="0.25">
      <c r="A1258" t="s">
        <v>1322</v>
      </c>
    </row>
    <row r="1259" spans="1:1" x14ac:dyDescent="0.25">
      <c r="A1259" t="s">
        <v>1323</v>
      </c>
    </row>
    <row r="1260" spans="1:1" x14ac:dyDescent="0.25">
      <c r="A1260" t="s">
        <v>1324</v>
      </c>
    </row>
    <row r="1261" spans="1:1" x14ac:dyDescent="0.25">
      <c r="A1261" t="s">
        <v>1325</v>
      </c>
    </row>
    <row r="1262" spans="1:1" x14ac:dyDescent="0.25">
      <c r="A1262" t="s">
        <v>1326</v>
      </c>
    </row>
    <row r="1263" spans="1:1" x14ac:dyDescent="0.25">
      <c r="A1263" t="s">
        <v>1327</v>
      </c>
    </row>
    <row r="1264" spans="1:1" x14ac:dyDescent="0.25">
      <c r="A1264" t="s">
        <v>1328</v>
      </c>
    </row>
    <row r="1265" spans="1:1" x14ac:dyDescent="0.25">
      <c r="A1265" t="s">
        <v>1329</v>
      </c>
    </row>
    <row r="1266" spans="1:1" x14ac:dyDescent="0.25">
      <c r="A1266" t="s">
        <v>1330</v>
      </c>
    </row>
    <row r="1267" spans="1:1" x14ac:dyDescent="0.25">
      <c r="A1267" t="s">
        <v>1331</v>
      </c>
    </row>
    <row r="1268" spans="1:1" x14ac:dyDescent="0.25">
      <c r="A1268" t="s">
        <v>1332</v>
      </c>
    </row>
    <row r="1269" spans="1:1" x14ac:dyDescent="0.25">
      <c r="A1269" t="s">
        <v>1333</v>
      </c>
    </row>
    <row r="1270" spans="1:1" x14ac:dyDescent="0.25">
      <c r="A1270" t="s">
        <v>1334</v>
      </c>
    </row>
    <row r="1271" spans="1:1" x14ac:dyDescent="0.25">
      <c r="A1271" t="s">
        <v>1335</v>
      </c>
    </row>
    <row r="1272" spans="1:1" x14ac:dyDescent="0.25">
      <c r="A1272" t="s">
        <v>1336</v>
      </c>
    </row>
    <row r="1273" spans="1:1" x14ac:dyDescent="0.25">
      <c r="A1273" t="s">
        <v>1337</v>
      </c>
    </row>
    <row r="1274" spans="1:1" x14ac:dyDescent="0.25">
      <c r="A1274" t="s">
        <v>1338</v>
      </c>
    </row>
    <row r="1275" spans="1:1" x14ac:dyDescent="0.25">
      <c r="A1275" t="s">
        <v>1339</v>
      </c>
    </row>
    <row r="1276" spans="1:1" x14ac:dyDescent="0.25">
      <c r="A1276" t="s">
        <v>1340</v>
      </c>
    </row>
    <row r="1277" spans="1:1" x14ac:dyDescent="0.25">
      <c r="A1277" t="s">
        <v>1341</v>
      </c>
    </row>
    <row r="1278" spans="1:1" x14ac:dyDescent="0.25">
      <c r="A1278" t="s">
        <v>1342</v>
      </c>
    </row>
    <row r="1279" spans="1:1" x14ac:dyDescent="0.25">
      <c r="A1279" t="s">
        <v>1343</v>
      </c>
    </row>
    <row r="1280" spans="1:1" x14ac:dyDescent="0.25">
      <c r="A1280" t="s">
        <v>1344</v>
      </c>
    </row>
    <row r="1281" spans="1:1" x14ac:dyDescent="0.25">
      <c r="A1281" t="s">
        <v>1345</v>
      </c>
    </row>
    <row r="1282" spans="1:1" x14ac:dyDescent="0.25">
      <c r="A1282" t="s">
        <v>1346</v>
      </c>
    </row>
    <row r="1283" spans="1:1" x14ac:dyDescent="0.25">
      <c r="A1283" t="s">
        <v>1347</v>
      </c>
    </row>
    <row r="1284" spans="1:1" x14ac:dyDescent="0.25">
      <c r="A1284" t="s">
        <v>1348</v>
      </c>
    </row>
    <row r="1285" spans="1:1" x14ac:dyDescent="0.25">
      <c r="A1285" t="s">
        <v>1349</v>
      </c>
    </row>
    <row r="1286" spans="1:1" x14ac:dyDescent="0.25">
      <c r="A1286" t="s">
        <v>1350</v>
      </c>
    </row>
    <row r="1287" spans="1:1" x14ac:dyDescent="0.25">
      <c r="A1287" t="s">
        <v>1351</v>
      </c>
    </row>
    <row r="1288" spans="1:1" x14ac:dyDescent="0.25">
      <c r="A1288" t="s">
        <v>1352</v>
      </c>
    </row>
    <row r="1289" spans="1:1" x14ac:dyDescent="0.25">
      <c r="A1289" t="s">
        <v>1353</v>
      </c>
    </row>
    <row r="1290" spans="1:1" x14ac:dyDescent="0.25">
      <c r="A1290" t="s">
        <v>1354</v>
      </c>
    </row>
    <row r="1291" spans="1:1" x14ac:dyDescent="0.25">
      <c r="A1291" t="s">
        <v>1355</v>
      </c>
    </row>
    <row r="1292" spans="1:1" x14ac:dyDescent="0.25">
      <c r="A1292" t="s">
        <v>1356</v>
      </c>
    </row>
    <row r="1293" spans="1:1" x14ac:dyDescent="0.25">
      <c r="A1293" t="s">
        <v>1357</v>
      </c>
    </row>
    <row r="1294" spans="1:1" x14ac:dyDescent="0.25">
      <c r="A1294" t="s">
        <v>1358</v>
      </c>
    </row>
    <row r="1295" spans="1:1" x14ac:dyDescent="0.25">
      <c r="A1295" t="s">
        <v>1359</v>
      </c>
    </row>
    <row r="1296" spans="1:1" x14ac:dyDescent="0.25">
      <c r="A1296" t="s">
        <v>1360</v>
      </c>
    </row>
    <row r="1297" spans="1:1" x14ac:dyDescent="0.25">
      <c r="A1297" t="s">
        <v>1361</v>
      </c>
    </row>
    <row r="1298" spans="1:1" x14ac:dyDescent="0.25">
      <c r="A1298" t="s">
        <v>1362</v>
      </c>
    </row>
    <row r="1299" spans="1:1" x14ac:dyDescent="0.25">
      <c r="A1299" t="s">
        <v>1363</v>
      </c>
    </row>
    <row r="1300" spans="1:1" x14ac:dyDescent="0.25">
      <c r="A1300" t="s">
        <v>1364</v>
      </c>
    </row>
    <row r="1301" spans="1:1" x14ac:dyDescent="0.25">
      <c r="A1301" t="s">
        <v>1365</v>
      </c>
    </row>
    <row r="1302" spans="1:1" x14ac:dyDescent="0.25">
      <c r="A1302" t="s">
        <v>1366</v>
      </c>
    </row>
    <row r="1303" spans="1:1" x14ac:dyDescent="0.25">
      <c r="A1303" t="s">
        <v>1367</v>
      </c>
    </row>
    <row r="1304" spans="1:1" x14ac:dyDescent="0.25">
      <c r="A1304" t="s">
        <v>1368</v>
      </c>
    </row>
    <row r="1305" spans="1:1" x14ac:dyDescent="0.25">
      <c r="A1305" t="s">
        <v>1369</v>
      </c>
    </row>
    <row r="1306" spans="1:1" x14ac:dyDescent="0.25">
      <c r="A1306" t="s">
        <v>1370</v>
      </c>
    </row>
    <row r="1307" spans="1:1" x14ac:dyDescent="0.25">
      <c r="A1307" t="s">
        <v>1371</v>
      </c>
    </row>
    <row r="1308" spans="1:1" x14ac:dyDescent="0.25">
      <c r="A1308" t="s">
        <v>1372</v>
      </c>
    </row>
    <row r="1309" spans="1:1" x14ac:dyDescent="0.25">
      <c r="A1309" t="s">
        <v>1373</v>
      </c>
    </row>
    <row r="1310" spans="1:1" x14ac:dyDescent="0.25">
      <c r="A1310" t="s">
        <v>1374</v>
      </c>
    </row>
    <row r="1311" spans="1:1" x14ac:dyDescent="0.25">
      <c r="A1311" t="s">
        <v>1375</v>
      </c>
    </row>
    <row r="1312" spans="1:1" x14ac:dyDescent="0.25">
      <c r="A1312" t="s">
        <v>1376</v>
      </c>
    </row>
    <row r="1313" spans="1:1" x14ac:dyDescent="0.25">
      <c r="A1313" t="s">
        <v>1377</v>
      </c>
    </row>
    <row r="1314" spans="1:1" x14ac:dyDescent="0.25">
      <c r="A1314" t="s">
        <v>1378</v>
      </c>
    </row>
    <row r="1315" spans="1:1" x14ac:dyDescent="0.25">
      <c r="A1315" t="s">
        <v>1379</v>
      </c>
    </row>
    <row r="1316" spans="1:1" x14ac:dyDescent="0.25">
      <c r="A1316" t="s">
        <v>1380</v>
      </c>
    </row>
    <row r="1317" spans="1:1" x14ac:dyDescent="0.25">
      <c r="A1317" t="s">
        <v>1381</v>
      </c>
    </row>
    <row r="1318" spans="1:1" x14ac:dyDescent="0.25">
      <c r="A1318" t="s">
        <v>1382</v>
      </c>
    </row>
    <row r="1319" spans="1:1" x14ac:dyDescent="0.25">
      <c r="A1319" t="s">
        <v>1383</v>
      </c>
    </row>
    <row r="1320" spans="1:1" x14ac:dyDescent="0.25">
      <c r="A1320" t="s">
        <v>1384</v>
      </c>
    </row>
    <row r="1321" spans="1:1" x14ac:dyDescent="0.25">
      <c r="A1321" t="s">
        <v>1385</v>
      </c>
    </row>
    <row r="1322" spans="1:1" x14ac:dyDescent="0.25">
      <c r="A1322" t="s">
        <v>1386</v>
      </c>
    </row>
    <row r="1323" spans="1:1" x14ac:dyDescent="0.25">
      <c r="A1323" t="s">
        <v>1387</v>
      </c>
    </row>
    <row r="1324" spans="1:1" x14ac:dyDescent="0.25">
      <c r="A1324" t="s">
        <v>1388</v>
      </c>
    </row>
    <row r="1325" spans="1:1" x14ac:dyDescent="0.25">
      <c r="A1325" t="s">
        <v>1389</v>
      </c>
    </row>
    <row r="1326" spans="1:1" x14ac:dyDescent="0.25">
      <c r="A1326" t="s">
        <v>1390</v>
      </c>
    </row>
    <row r="1327" spans="1:1" x14ac:dyDescent="0.25">
      <c r="A1327" t="s">
        <v>1391</v>
      </c>
    </row>
    <row r="1328" spans="1:1" x14ac:dyDescent="0.25">
      <c r="A1328" t="s">
        <v>1392</v>
      </c>
    </row>
    <row r="1329" spans="1:1" x14ac:dyDescent="0.25">
      <c r="A1329" t="s">
        <v>1393</v>
      </c>
    </row>
    <row r="1330" spans="1:1" x14ac:dyDescent="0.25">
      <c r="A1330" t="s">
        <v>1394</v>
      </c>
    </row>
    <row r="1331" spans="1:1" x14ac:dyDescent="0.25">
      <c r="A1331" t="s">
        <v>1395</v>
      </c>
    </row>
    <row r="1332" spans="1:1" x14ac:dyDescent="0.25">
      <c r="A1332" t="s">
        <v>1396</v>
      </c>
    </row>
    <row r="1333" spans="1:1" x14ac:dyDescent="0.25">
      <c r="A1333" t="s">
        <v>1397</v>
      </c>
    </row>
    <row r="1334" spans="1:1" x14ac:dyDescent="0.25">
      <c r="A1334" t="s">
        <v>1398</v>
      </c>
    </row>
    <row r="1335" spans="1:1" x14ac:dyDescent="0.25">
      <c r="A1335" t="s">
        <v>1399</v>
      </c>
    </row>
    <row r="1336" spans="1:1" x14ac:dyDescent="0.25">
      <c r="A1336" t="s">
        <v>1400</v>
      </c>
    </row>
    <row r="1337" spans="1:1" x14ac:dyDescent="0.25">
      <c r="A1337" t="s">
        <v>1401</v>
      </c>
    </row>
    <row r="1338" spans="1:1" x14ac:dyDescent="0.25">
      <c r="A1338" t="s">
        <v>1402</v>
      </c>
    </row>
    <row r="1339" spans="1:1" x14ac:dyDescent="0.25">
      <c r="A1339" t="s">
        <v>1403</v>
      </c>
    </row>
    <row r="1340" spans="1:1" x14ac:dyDescent="0.25">
      <c r="A1340" t="s">
        <v>1404</v>
      </c>
    </row>
    <row r="1341" spans="1:1" x14ac:dyDescent="0.25">
      <c r="A1341" t="s">
        <v>1405</v>
      </c>
    </row>
    <row r="1342" spans="1:1" x14ac:dyDescent="0.25">
      <c r="A1342" t="s">
        <v>1406</v>
      </c>
    </row>
    <row r="1343" spans="1:1" x14ac:dyDescent="0.25">
      <c r="A1343" t="s">
        <v>1407</v>
      </c>
    </row>
    <row r="1344" spans="1:1" x14ac:dyDescent="0.25">
      <c r="A1344" t="s">
        <v>1408</v>
      </c>
    </row>
    <row r="1345" spans="1:1" x14ac:dyDescent="0.25">
      <c r="A1345" t="s">
        <v>1409</v>
      </c>
    </row>
    <row r="1346" spans="1:1" x14ac:dyDescent="0.25">
      <c r="A1346" t="s">
        <v>1410</v>
      </c>
    </row>
    <row r="1347" spans="1:1" x14ac:dyDescent="0.25">
      <c r="A1347" t="s">
        <v>1411</v>
      </c>
    </row>
    <row r="1348" spans="1:1" x14ac:dyDescent="0.25">
      <c r="A1348" t="s">
        <v>1412</v>
      </c>
    </row>
    <row r="1349" spans="1:1" x14ac:dyDescent="0.25">
      <c r="A1349" t="s">
        <v>1413</v>
      </c>
    </row>
    <row r="1350" spans="1:1" x14ac:dyDescent="0.25">
      <c r="A1350" t="s">
        <v>1414</v>
      </c>
    </row>
    <row r="1351" spans="1:1" x14ac:dyDescent="0.25">
      <c r="A1351" t="s">
        <v>1415</v>
      </c>
    </row>
    <row r="1352" spans="1:1" x14ac:dyDescent="0.25">
      <c r="A1352" t="s">
        <v>1416</v>
      </c>
    </row>
    <row r="1353" spans="1:1" x14ac:dyDescent="0.25">
      <c r="A1353" t="s">
        <v>1417</v>
      </c>
    </row>
    <row r="1354" spans="1:1" x14ac:dyDescent="0.25">
      <c r="A1354" t="s">
        <v>1418</v>
      </c>
    </row>
    <row r="1355" spans="1:1" x14ac:dyDescent="0.25">
      <c r="A1355" t="s">
        <v>1419</v>
      </c>
    </row>
    <row r="1356" spans="1:1" x14ac:dyDescent="0.25">
      <c r="A1356" t="s">
        <v>1420</v>
      </c>
    </row>
    <row r="1357" spans="1:1" x14ac:dyDescent="0.25">
      <c r="A1357" t="s">
        <v>1421</v>
      </c>
    </row>
    <row r="1358" spans="1:1" x14ac:dyDescent="0.25">
      <c r="A1358" t="s">
        <v>1422</v>
      </c>
    </row>
    <row r="1359" spans="1:1" x14ac:dyDescent="0.25">
      <c r="A1359" t="s">
        <v>1423</v>
      </c>
    </row>
    <row r="1360" spans="1:1" x14ac:dyDescent="0.25">
      <c r="A1360" t="s">
        <v>1424</v>
      </c>
    </row>
    <row r="1361" spans="1:1" x14ac:dyDescent="0.25">
      <c r="A1361" t="s">
        <v>1425</v>
      </c>
    </row>
    <row r="1362" spans="1:1" x14ac:dyDescent="0.25">
      <c r="A1362" t="s">
        <v>1426</v>
      </c>
    </row>
    <row r="1363" spans="1:1" x14ac:dyDescent="0.25">
      <c r="A1363" t="s">
        <v>1427</v>
      </c>
    </row>
    <row r="1364" spans="1:1" x14ac:dyDescent="0.25">
      <c r="A1364" t="s">
        <v>1428</v>
      </c>
    </row>
    <row r="1365" spans="1:1" x14ac:dyDescent="0.25">
      <c r="A1365" t="s">
        <v>1429</v>
      </c>
    </row>
    <row r="1366" spans="1:1" x14ac:dyDescent="0.25">
      <c r="A1366" t="s">
        <v>1430</v>
      </c>
    </row>
    <row r="1367" spans="1:1" x14ac:dyDescent="0.25">
      <c r="A1367" t="s">
        <v>1431</v>
      </c>
    </row>
    <row r="1368" spans="1:1" x14ac:dyDescent="0.25">
      <c r="A1368" t="s">
        <v>1432</v>
      </c>
    </row>
    <row r="1369" spans="1:1" x14ac:dyDescent="0.25">
      <c r="A1369" t="s">
        <v>1433</v>
      </c>
    </row>
    <row r="1370" spans="1:1" x14ac:dyDescent="0.25">
      <c r="A1370" t="s">
        <v>1434</v>
      </c>
    </row>
    <row r="1371" spans="1:1" x14ac:dyDescent="0.25">
      <c r="A1371" t="s">
        <v>1435</v>
      </c>
    </row>
    <row r="1372" spans="1:1" x14ac:dyDescent="0.25">
      <c r="A1372" t="s">
        <v>1436</v>
      </c>
    </row>
    <row r="1373" spans="1:1" x14ac:dyDescent="0.25">
      <c r="A1373" t="s">
        <v>1437</v>
      </c>
    </row>
    <row r="1374" spans="1:1" x14ac:dyDescent="0.25">
      <c r="A1374" t="s">
        <v>1438</v>
      </c>
    </row>
    <row r="1375" spans="1:1" x14ac:dyDescent="0.25">
      <c r="A1375" t="s">
        <v>1439</v>
      </c>
    </row>
    <row r="1376" spans="1:1" x14ac:dyDescent="0.25">
      <c r="A1376" t="s">
        <v>1440</v>
      </c>
    </row>
    <row r="1377" spans="1:1" x14ac:dyDescent="0.25">
      <c r="A1377" t="s">
        <v>1441</v>
      </c>
    </row>
    <row r="1378" spans="1:1" x14ac:dyDescent="0.25">
      <c r="A1378" t="s">
        <v>1442</v>
      </c>
    </row>
    <row r="1379" spans="1:1" x14ac:dyDescent="0.25">
      <c r="A1379" t="s">
        <v>1443</v>
      </c>
    </row>
    <row r="1380" spans="1:1" x14ac:dyDescent="0.25">
      <c r="A1380" t="s">
        <v>1444</v>
      </c>
    </row>
    <row r="1381" spans="1:1" x14ac:dyDescent="0.25">
      <c r="A1381" t="s">
        <v>1445</v>
      </c>
    </row>
    <row r="1382" spans="1:1" x14ac:dyDescent="0.25">
      <c r="A1382" t="s">
        <v>1446</v>
      </c>
    </row>
    <row r="1383" spans="1:1" x14ac:dyDescent="0.25">
      <c r="A1383" t="s">
        <v>1447</v>
      </c>
    </row>
    <row r="1384" spans="1:1" x14ac:dyDescent="0.25">
      <c r="A1384" t="s">
        <v>1448</v>
      </c>
    </row>
    <row r="1385" spans="1:1" x14ac:dyDescent="0.25">
      <c r="A1385" t="s">
        <v>1449</v>
      </c>
    </row>
    <row r="1386" spans="1:1" x14ac:dyDescent="0.25">
      <c r="A1386" t="s">
        <v>1450</v>
      </c>
    </row>
    <row r="1387" spans="1:1" x14ac:dyDescent="0.25">
      <c r="A1387" t="s">
        <v>1451</v>
      </c>
    </row>
    <row r="1388" spans="1:1" x14ac:dyDescent="0.25">
      <c r="A1388" t="s">
        <v>1452</v>
      </c>
    </row>
    <row r="1389" spans="1:1" x14ac:dyDescent="0.25">
      <c r="A1389" t="s">
        <v>1453</v>
      </c>
    </row>
    <row r="1390" spans="1:1" x14ac:dyDescent="0.25">
      <c r="A1390" t="s">
        <v>1454</v>
      </c>
    </row>
    <row r="1391" spans="1:1" x14ac:dyDescent="0.25">
      <c r="A1391" t="s">
        <v>1455</v>
      </c>
    </row>
    <row r="1392" spans="1:1" x14ac:dyDescent="0.25">
      <c r="A1392" t="s">
        <v>1456</v>
      </c>
    </row>
    <row r="1393" spans="1:1" x14ac:dyDescent="0.25">
      <c r="A1393" t="s">
        <v>1457</v>
      </c>
    </row>
    <row r="1394" spans="1:1" x14ac:dyDescent="0.25">
      <c r="A1394" t="s">
        <v>1458</v>
      </c>
    </row>
    <row r="1395" spans="1:1" x14ac:dyDescent="0.25">
      <c r="A1395" t="s">
        <v>1459</v>
      </c>
    </row>
    <row r="1396" spans="1:1" x14ac:dyDescent="0.25">
      <c r="A1396" t="s">
        <v>1460</v>
      </c>
    </row>
    <row r="1397" spans="1:1" x14ac:dyDescent="0.25">
      <c r="A1397" t="s">
        <v>1461</v>
      </c>
    </row>
    <row r="1398" spans="1:1" x14ac:dyDescent="0.25">
      <c r="A1398" t="s">
        <v>1462</v>
      </c>
    </row>
    <row r="1399" spans="1:1" x14ac:dyDescent="0.25">
      <c r="A1399" t="s">
        <v>1463</v>
      </c>
    </row>
    <row r="1400" spans="1:1" x14ac:dyDescent="0.25">
      <c r="A1400" t="s">
        <v>1464</v>
      </c>
    </row>
    <row r="1401" spans="1:1" x14ac:dyDescent="0.25">
      <c r="A1401" t="s">
        <v>1465</v>
      </c>
    </row>
    <row r="1402" spans="1:1" x14ac:dyDescent="0.25">
      <c r="A1402" t="s">
        <v>1466</v>
      </c>
    </row>
    <row r="1403" spans="1:1" x14ac:dyDescent="0.25">
      <c r="A1403" t="s">
        <v>1467</v>
      </c>
    </row>
    <row r="1404" spans="1:1" x14ac:dyDescent="0.25">
      <c r="A1404" t="s">
        <v>1468</v>
      </c>
    </row>
    <row r="1405" spans="1:1" x14ac:dyDescent="0.25">
      <c r="A1405" t="s">
        <v>1469</v>
      </c>
    </row>
    <row r="1406" spans="1:1" x14ac:dyDescent="0.25">
      <c r="A1406" t="s">
        <v>1470</v>
      </c>
    </row>
    <row r="1407" spans="1:1" x14ac:dyDescent="0.25">
      <c r="A1407" t="s">
        <v>1471</v>
      </c>
    </row>
    <row r="1408" spans="1:1" x14ac:dyDescent="0.25">
      <c r="A1408" t="s">
        <v>1472</v>
      </c>
    </row>
    <row r="1409" spans="1:1" x14ac:dyDescent="0.25">
      <c r="A1409" t="s">
        <v>1473</v>
      </c>
    </row>
    <row r="1410" spans="1:1" x14ac:dyDescent="0.25">
      <c r="A1410" t="s">
        <v>1474</v>
      </c>
    </row>
    <row r="1411" spans="1:1" x14ac:dyDescent="0.25">
      <c r="A1411" t="s">
        <v>1475</v>
      </c>
    </row>
    <row r="1412" spans="1:1" x14ac:dyDescent="0.25">
      <c r="A1412" t="s">
        <v>1476</v>
      </c>
    </row>
    <row r="1413" spans="1:1" x14ac:dyDescent="0.25">
      <c r="A1413" t="s">
        <v>1477</v>
      </c>
    </row>
    <row r="1414" spans="1:1" x14ac:dyDescent="0.25">
      <c r="A1414" t="s">
        <v>1478</v>
      </c>
    </row>
    <row r="1415" spans="1:1" x14ac:dyDescent="0.25">
      <c r="A1415" t="s">
        <v>1479</v>
      </c>
    </row>
    <row r="1416" spans="1:1" x14ac:dyDescent="0.25">
      <c r="A1416" t="s">
        <v>1480</v>
      </c>
    </row>
    <row r="1417" spans="1:1" x14ac:dyDescent="0.25">
      <c r="A1417" t="s">
        <v>1481</v>
      </c>
    </row>
    <row r="1418" spans="1:1" x14ac:dyDescent="0.25">
      <c r="A1418" t="s">
        <v>1482</v>
      </c>
    </row>
    <row r="1419" spans="1:1" x14ac:dyDescent="0.25">
      <c r="A1419" t="s">
        <v>1483</v>
      </c>
    </row>
    <row r="1420" spans="1:1" x14ac:dyDescent="0.25">
      <c r="A1420" t="s">
        <v>1484</v>
      </c>
    </row>
    <row r="1421" spans="1:1" x14ac:dyDescent="0.25">
      <c r="A1421" t="s">
        <v>1485</v>
      </c>
    </row>
    <row r="1422" spans="1:1" x14ac:dyDescent="0.25">
      <c r="A1422" t="s">
        <v>1486</v>
      </c>
    </row>
    <row r="1423" spans="1:1" x14ac:dyDescent="0.25">
      <c r="A1423" t="s">
        <v>1487</v>
      </c>
    </row>
    <row r="1424" spans="1:1" x14ac:dyDescent="0.25">
      <c r="A1424" t="s">
        <v>1488</v>
      </c>
    </row>
    <row r="1425" spans="1:1" x14ac:dyDescent="0.25">
      <c r="A1425" t="s">
        <v>1489</v>
      </c>
    </row>
    <row r="1426" spans="1:1" x14ac:dyDescent="0.25">
      <c r="A1426" t="s">
        <v>1490</v>
      </c>
    </row>
    <row r="1427" spans="1:1" x14ac:dyDescent="0.25">
      <c r="A1427" t="s">
        <v>1491</v>
      </c>
    </row>
    <row r="1428" spans="1:1" x14ac:dyDescent="0.25">
      <c r="A1428" t="s">
        <v>1492</v>
      </c>
    </row>
    <row r="1429" spans="1:1" x14ac:dyDescent="0.25">
      <c r="A1429" t="s">
        <v>1493</v>
      </c>
    </row>
    <row r="1430" spans="1:1" x14ac:dyDescent="0.25">
      <c r="A1430" t="s">
        <v>1494</v>
      </c>
    </row>
    <row r="1431" spans="1:1" x14ac:dyDescent="0.25">
      <c r="A1431" t="s">
        <v>1495</v>
      </c>
    </row>
    <row r="1432" spans="1:1" x14ac:dyDescent="0.25">
      <c r="A1432" t="s">
        <v>1496</v>
      </c>
    </row>
    <row r="1433" spans="1:1" x14ac:dyDescent="0.25">
      <c r="A1433" t="s">
        <v>1497</v>
      </c>
    </row>
    <row r="1434" spans="1:1" x14ac:dyDescent="0.25">
      <c r="A1434" t="s">
        <v>1498</v>
      </c>
    </row>
    <row r="1435" spans="1:1" x14ac:dyDescent="0.25">
      <c r="A1435" t="s">
        <v>1499</v>
      </c>
    </row>
    <row r="1436" spans="1:1" x14ac:dyDescent="0.25">
      <c r="A1436" t="s">
        <v>1500</v>
      </c>
    </row>
    <row r="1437" spans="1:1" x14ac:dyDescent="0.25">
      <c r="A1437" t="s">
        <v>1501</v>
      </c>
    </row>
    <row r="1438" spans="1:1" x14ac:dyDescent="0.25">
      <c r="A1438" t="s">
        <v>1502</v>
      </c>
    </row>
    <row r="1439" spans="1:1" x14ac:dyDescent="0.25">
      <c r="A1439" t="s">
        <v>1503</v>
      </c>
    </row>
    <row r="1440" spans="1:1" x14ac:dyDescent="0.25">
      <c r="A1440" t="s">
        <v>1504</v>
      </c>
    </row>
    <row r="1441" spans="1:1" x14ac:dyDescent="0.25">
      <c r="A1441" t="s">
        <v>1505</v>
      </c>
    </row>
    <row r="1442" spans="1:1" x14ac:dyDescent="0.25">
      <c r="A1442" t="s">
        <v>1506</v>
      </c>
    </row>
    <row r="1443" spans="1:1" x14ac:dyDescent="0.25">
      <c r="A1443" t="s">
        <v>1507</v>
      </c>
    </row>
    <row r="1444" spans="1:1" x14ac:dyDescent="0.25">
      <c r="A1444" t="s">
        <v>1508</v>
      </c>
    </row>
    <row r="1445" spans="1:1" x14ac:dyDescent="0.25">
      <c r="A1445" t="s">
        <v>1509</v>
      </c>
    </row>
    <row r="1446" spans="1:1" x14ac:dyDescent="0.25">
      <c r="A1446" t="s">
        <v>1510</v>
      </c>
    </row>
    <row r="1447" spans="1:1" x14ac:dyDescent="0.25">
      <c r="A1447" t="s">
        <v>1511</v>
      </c>
    </row>
    <row r="1448" spans="1:1" x14ac:dyDescent="0.25">
      <c r="A1448" t="s">
        <v>1512</v>
      </c>
    </row>
    <row r="1449" spans="1:1" x14ac:dyDescent="0.25">
      <c r="A1449" t="s">
        <v>1513</v>
      </c>
    </row>
    <row r="1450" spans="1:1" x14ac:dyDescent="0.25">
      <c r="A1450" t="s">
        <v>1514</v>
      </c>
    </row>
    <row r="1451" spans="1:1" x14ac:dyDescent="0.25">
      <c r="A1451" t="s">
        <v>1515</v>
      </c>
    </row>
    <row r="1452" spans="1:1" x14ac:dyDescent="0.25">
      <c r="A1452" t="s">
        <v>1516</v>
      </c>
    </row>
    <row r="1453" spans="1:1" x14ac:dyDescent="0.25">
      <c r="A1453" t="s">
        <v>1517</v>
      </c>
    </row>
    <row r="1454" spans="1:1" x14ac:dyDescent="0.25">
      <c r="A1454" t="s">
        <v>1518</v>
      </c>
    </row>
    <row r="1455" spans="1:1" x14ac:dyDescent="0.25">
      <c r="A1455" t="s">
        <v>1519</v>
      </c>
    </row>
    <row r="1456" spans="1:1" x14ac:dyDescent="0.25">
      <c r="A1456" t="s">
        <v>1520</v>
      </c>
    </row>
    <row r="1457" spans="1:1" x14ac:dyDescent="0.25">
      <c r="A1457" t="s">
        <v>1521</v>
      </c>
    </row>
    <row r="1458" spans="1:1" x14ac:dyDescent="0.25">
      <c r="A1458" t="s">
        <v>1522</v>
      </c>
    </row>
    <row r="1459" spans="1:1" x14ac:dyDescent="0.25">
      <c r="A1459" t="s">
        <v>1523</v>
      </c>
    </row>
    <row r="1460" spans="1:1" x14ac:dyDescent="0.25">
      <c r="A1460" t="s">
        <v>1524</v>
      </c>
    </row>
    <row r="1461" spans="1:1" x14ac:dyDescent="0.25">
      <c r="A1461" t="s">
        <v>1525</v>
      </c>
    </row>
    <row r="1462" spans="1:1" x14ac:dyDescent="0.25">
      <c r="A1462" t="s">
        <v>1526</v>
      </c>
    </row>
    <row r="1463" spans="1:1" x14ac:dyDescent="0.25">
      <c r="A1463" t="s">
        <v>1527</v>
      </c>
    </row>
    <row r="1464" spans="1:1" x14ac:dyDescent="0.25">
      <c r="A1464" t="s">
        <v>1528</v>
      </c>
    </row>
    <row r="1465" spans="1:1" x14ac:dyDescent="0.25">
      <c r="A1465" t="s">
        <v>1529</v>
      </c>
    </row>
    <row r="1466" spans="1:1" x14ac:dyDescent="0.25">
      <c r="A1466" t="s">
        <v>1530</v>
      </c>
    </row>
    <row r="1467" spans="1:1" x14ac:dyDescent="0.25">
      <c r="A1467" t="s">
        <v>1531</v>
      </c>
    </row>
    <row r="1468" spans="1:1" x14ac:dyDescent="0.25">
      <c r="A1468" t="s">
        <v>1532</v>
      </c>
    </row>
    <row r="1469" spans="1:1" x14ac:dyDescent="0.25">
      <c r="A1469" t="s">
        <v>1533</v>
      </c>
    </row>
    <row r="1470" spans="1:1" x14ac:dyDescent="0.25">
      <c r="A1470" t="s">
        <v>1534</v>
      </c>
    </row>
    <row r="1471" spans="1:1" x14ac:dyDescent="0.25">
      <c r="A1471" t="s">
        <v>1535</v>
      </c>
    </row>
    <row r="1472" spans="1:1" x14ac:dyDescent="0.25">
      <c r="A1472" t="s">
        <v>1536</v>
      </c>
    </row>
    <row r="1473" spans="1:1" x14ac:dyDescent="0.25">
      <c r="A1473" t="s">
        <v>1537</v>
      </c>
    </row>
    <row r="1474" spans="1:1" x14ac:dyDescent="0.25">
      <c r="A1474" t="s">
        <v>1538</v>
      </c>
    </row>
    <row r="1475" spans="1:1" x14ac:dyDescent="0.25">
      <c r="A1475" t="s">
        <v>1539</v>
      </c>
    </row>
    <row r="1476" spans="1:1" x14ac:dyDescent="0.25">
      <c r="A1476" t="s">
        <v>1540</v>
      </c>
    </row>
    <row r="1477" spans="1:1" x14ac:dyDescent="0.25">
      <c r="A1477" t="s">
        <v>1541</v>
      </c>
    </row>
    <row r="1478" spans="1:1" x14ac:dyDescent="0.25">
      <c r="A1478" t="s">
        <v>1542</v>
      </c>
    </row>
    <row r="1479" spans="1:1" x14ac:dyDescent="0.25">
      <c r="A1479" t="s">
        <v>1543</v>
      </c>
    </row>
    <row r="1480" spans="1:1" x14ac:dyDescent="0.25">
      <c r="A1480" t="s">
        <v>1544</v>
      </c>
    </row>
    <row r="1481" spans="1:1" x14ac:dyDescent="0.25">
      <c r="A1481" t="s">
        <v>1545</v>
      </c>
    </row>
    <row r="1482" spans="1:1" x14ac:dyDescent="0.25">
      <c r="A1482" t="s">
        <v>1546</v>
      </c>
    </row>
    <row r="1483" spans="1:1" x14ac:dyDescent="0.25">
      <c r="A1483" t="s">
        <v>1547</v>
      </c>
    </row>
    <row r="1484" spans="1:1" x14ac:dyDescent="0.25">
      <c r="A1484" t="s">
        <v>1548</v>
      </c>
    </row>
    <row r="1485" spans="1:1" x14ac:dyDescent="0.25">
      <c r="A1485" t="s">
        <v>1549</v>
      </c>
    </row>
    <row r="1486" spans="1:1" x14ac:dyDescent="0.25">
      <c r="A1486" t="s">
        <v>1550</v>
      </c>
    </row>
    <row r="1487" spans="1:1" x14ac:dyDescent="0.25">
      <c r="A1487" t="s">
        <v>1551</v>
      </c>
    </row>
    <row r="1488" spans="1:1" x14ac:dyDescent="0.25">
      <c r="A1488" t="s">
        <v>1552</v>
      </c>
    </row>
    <row r="1489" spans="1:1" x14ac:dyDescent="0.25">
      <c r="A1489" t="s">
        <v>1553</v>
      </c>
    </row>
    <row r="1490" spans="1:1" x14ac:dyDescent="0.25">
      <c r="A1490" t="s">
        <v>1554</v>
      </c>
    </row>
    <row r="1491" spans="1:1" x14ac:dyDescent="0.25">
      <c r="A1491" t="s">
        <v>1555</v>
      </c>
    </row>
    <row r="1492" spans="1:1" x14ac:dyDescent="0.25">
      <c r="A1492" t="s">
        <v>1556</v>
      </c>
    </row>
    <row r="1493" spans="1:1" x14ac:dyDescent="0.25">
      <c r="A1493" t="s">
        <v>1557</v>
      </c>
    </row>
    <row r="1494" spans="1:1" x14ac:dyDescent="0.25">
      <c r="A1494" t="s">
        <v>1558</v>
      </c>
    </row>
    <row r="1495" spans="1:1" x14ac:dyDescent="0.25">
      <c r="A1495" t="s">
        <v>1559</v>
      </c>
    </row>
    <row r="1496" spans="1:1" x14ac:dyDescent="0.25">
      <c r="A1496" t="s">
        <v>1560</v>
      </c>
    </row>
    <row r="1497" spans="1:1" x14ac:dyDescent="0.25">
      <c r="A1497" t="s">
        <v>1561</v>
      </c>
    </row>
    <row r="1498" spans="1:1" x14ac:dyDescent="0.25">
      <c r="A1498" t="s">
        <v>1562</v>
      </c>
    </row>
    <row r="1499" spans="1:1" x14ac:dyDescent="0.25">
      <c r="A1499" t="s">
        <v>1563</v>
      </c>
    </row>
    <row r="1500" spans="1:1" x14ac:dyDescent="0.25">
      <c r="A1500" t="s">
        <v>1564</v>
      </c>
    </row>
    <row r="1501" spans="1:1" x14ac:dyDescent="0.25">
      <c r="A1501" t="s">
        <v>1565</v>
      </c>
    </row>
    <row r="1502" spans="1:1" x14ac:dyDescent="0.25">
      <c r="A1502" t="s">
        <v>1566</v>
      </c>
    </row>
    <row r="1503" spans="1:1" x14ac:dyDescent="0.25">
      <c r="A1503" t="s">
        <v>1567</v>
      </c>
    </row>
    <row r="1504" spans="1:1" x14ac:dyDescent="0.25">
      <c r="A1504" t="s">
        <v>1568</v>
      </c>
    </row>
    <row r="1505" spans="1:1" x14ac:dyDescent="0.25">
      <c r="A1505" t="s">
        <v>1569</v>
      </c>
    </row>
    <row r="1506" spans="1:1" x14ac:dyDescent="0.25">
      <c r="A1506" t="s">
        <v>1570</v>
      </c>
    </row>
    <row r="1507" spans="1:1" x14ac:dyDescent="0.25">
      <c r="A1507" t="s">
        <v>1571</v>
      </c>
    </row>
    <row r="1508" spans="1:1" x14ac:dyDescent="0.25">
      <c r="A1508" t="s">
        <v>1572</v>
      </c>
    </row>
    <row r="1509" spans="1:1" x14ac:dyDescent="0.25">
      <c r="A1509" t="s">
        <v>1573</v>
      </c>
    </row>
    <row r="1510" spans="1:1" x14ac:dyDescent="0.25">
      <c r="A1510" t="s">
        <v>1574</v>
      </c>
    </row>
    <row r="1511" spans="1:1" x14ac:dyDescent="0.25">
      <c r="A1511" t="s">
        <v>1575</v>
      </c>
    </row>
    <row r="1512" spans="1:1" x14ac:dyDescent="0.25">
      <c r="A1512" t="s">
        <v>1576</v>
      </c>
    </row>
    <row r="1513" spans="1:1" x14ac:dyDescent="0.25">
      <c r="A1513" t="s">
        <v>1577</v>
      </c>
    </row>
    <row r="1514" spans="1:1" x14ac:dyDescent="0.25">
      <c r="A1514" t="s">
        <v>1578</v>
      </c>
    </row>
    <row r="1515" spans="1:1" x14ac:dyDescent="0.25">
      <c r="A1515" t="s">
        <v>1579</v>
      </c>
    </row>
    <row r="1516" spans="1:1" x14ac:dyDescent="0.25">
      <c r="A1516" t="s">
        <v>1580</v>
      </c>
    </row>
    <row r="1517" spans="1:1" x14ac:dyDescent="0.25">
      <c r="A1517" t="s">
        <v>1581</v>
      </c>
    </row>
    <row r="1518" spans="1:1" x14ac:dyDescent="0.25">
      <c r="A1518" t="s">
        <v>1582</v>
      </c>
    </row>
    <row r="1519" spans="1:1" x14ac:dyDescent="0.25">
      <c r="A1519" t="s">
        <v>1583</v>
      </c>
    </row>
    <row r="1520" spans="1:1" x14ac:dyDescent="0.25">
      <c r="A1520" t="s">
        <v>1584</v>
      </c>
    </row>
    <row r="1521" spans="1:1" x14ac:dyDescent="0.25">
      <c r="A1521" t="s">
        <v>1585</v>
      </c>
    </row>
    <row r="1522" spans="1:1" x14ac:dyDescent="0.25">
      <c r="A1522" t="s">
        <v>1586</v>
      </c>
    </row>
    <row r="1523" spans="1:1" x14ac:dyDescent="0.25">
      <c r="A1523" t="s">
        <v>1587</v>
      </c>
    </row>
    <row r="1524" spans="1:1" x14ac:dyDescent="0.25">
      <c r="A1524" t="s">
        <v>1588</v>
      </c>
    </row>
    <row r="1525" spans="1:1" x14ac:dyDescent="0.25">
      <c r="A1525" t="s">
        <v>1589</v>
      </c>
    </row>
    <row r="1526" spans="1:1" x14ac:dyDescent="0.25">
      <c r="A1526" t="s">
        <v>1590</v>
      </c>
    </row>
    <row r="1527" spans="1:1" x14ac:dyDescent="0.25">
      <c r="A1527" t="s">
        <v>1591</v>
      </c>
    </row>
    <row r="1528" spans="1:1" x14ac:dyDescent="0.25">
      <c r="A1528" t="s">
        <v>1592</v>
      </c>
    </row>
    <row r="1529" spans="1:1" x14ac:dyDescent="0.25">
      <c r="A1529" t="s">
        <v>1593</v>
      </c>
    </row>
    <row r="1530" spans="1:1" x14ac:dyDescent="0.25">
      <c r="A1530" t="s">
        <v>1594</v>
      </c>
    </row>
    <row r="1531" spans="1:1" x14ac:dyDescent="0.25">
      <c r="A1531" t="s">
        <v>1595</v>
      </c>
    </row>
    <row r="1532" spans="1:1" x14ac:dyDescent="0.25">
      <c r="A1532" t="s">
        <v>1596</v>
      </c>
    </row>
    <row r="1533" spans="1:1" x14ac:dyDescent="0.25">
      <c r="A1533" t="s">
        <v>1597</v>
      </c>
    </row>
    <row r="1534" spans="1:1" x14ac:dyDescent="0.25">
      <c r="A1534" t="s">
        <v>1598</v>
      </c>
    </row>
    <row r="1535" spans="1:1" x14ac:dyDescent="0.25">
      <c r="A1535" t="s">
        <v>1599</v>
      </c>
    </row>
    <row r="1536" spans="1:1" x14ac:dyDescent="0.25">
      <c r="A1536" t="s">
        <v>1600</v>
      </c>
    </row>
    <row r="1537" spans="1:1" x14ac:dyDescent="0.25">
      <c r="A1537" t="s">
        <v>1601</v>
      </c>
    </row>
    <row r="1538" spans="1:1" x14ac:dyDescent="0.25">
      <c r="A1538" t="s">
        <v>1602</v>
      </c>
    </row>
    <row r="1539" spans="1:1" x14ac:dyDescent="0.25">
      <c r="A1539" t="s">
        <v>1603</v>
      </c>
    </row>
    <row r="1540" spans="1:1" x14ac:dyDescent="0.25">
      <c r="A1540" t="s">
        <v>1604</v>
      </c>
    </row>
    <row r="1541" spans="1:1" x14ac:dyDescent="0.25">
      <c r="A1541" t="s">
        <v>1605</v>
      </c>
    </row>
    <row r="1542" spans="1:1" x14ac:dyDescent="0.25">
      <c r="A1542" t="s">
        <v>1606</v>
      </c>
    </row>
    <row r="1543" spans="1:1" x14ac:dyDescent="0.25">
      <c r="A1543" t="s">
        <v>1607</v>
      </c>
    </row>
    <row r="1544" spans="1:1" x14ac:dyDescent="0.25">
      <c r="A1544" t="s">
        <v>1608</v>
      </c>
    </row>
    <row r="1545" spans="1:1" x14ac:dyDescent="0.25">
      <c r="A1545" t="s">
        <v>1609</v>
      </c>
    </row>
    <row r="1546" spans="1:1" x14ac:dyDescent="0.25">
      <c r="A1546" t="s">
        <v>1610</v>
      </c>
    </row>
    <row r="1547" spans="1:1" x14ac:dyDescent="0.25">
      <c r="A1547" t="s">
        <v>1611</v>
      </c>
    </row>
    <row r="1548" spans="1:1" x14ac:dyDescent="0.25">
      <c r="A1548" t="s">
        <v>1612</v>
      </c>
    </row>
    <row r="1549" spans="1:1" x14ac:dyDescent="0.25">
      <c r="A1549" t="s">
        <v>1613</v>
      </c>
    </row>
    <row r="1550" spans="1:1" x14ac:dyDescent="0.25">
      <c r="A1550" t="s">
        <v>1614</v>
      </c>
    </row>
    <row r="1551" spans="1:1" x14ac:dyDescent="0.25">
      <c r="A1551" t="s">
        <v>1615</v>
      </c>
    </row>
    <row r="1552" spans="1:1" x14ac:dyDescent="0.25">
      <c r="A1552" t="s">
        <v>1616</v>
      </c>
    </row>
    <row r="1553" spans="1:1" x14ac:dyDescent="0.25">
      <c r="A1553" t="s">
        <v>1617</v>
      </c>
    </row>
    <row r="1554" spans="1:1" x14ac:dyDescent="0.25">
      <c r="A1554" t="s">
        <v>1618</v>
      </c>
    </row>
    <row r="1555" spans="1:1" x14ac:dyDescent="0.25">
      <c r="A1555" t="s">
        <v>1619</v>
      </c>
    </row>
    <row r="1556" spans="1:1" x14ac:dyDescent="0.25">
      <c r="A1556" t="s">
        <v>1620</v>
      </c>
    </row>
    <row r="1557" spans="1:1" x14ac:dyDescent="0.25">
      <c r="A1557" t="s">
        <v>1621</v>
      </c>
    </row>
    <row r="1558" spans="1:1" x14ac:dyDescent="0.25">
      <c r="A1558" t="s">
        <v>1622</v>
      </c>
    </row>
    <row r="1559" spans="1:1" x14ac:dyDescent="0.25">
      <c r="A1559" t="s">
        <v>1623</v>
      </c>
    </row>
    <row r="1560" spans="1:1" x14ac:dyDescent="0.25">
      <c r="A1560" t="s">
        <v>1624</v>
      </c>
    </row>
    <row r="1561" spans="1:1" x14ac:dyDescent="0.25">
      <c r="A1561" t="s">
        <v>1625</v>
      </c>
    </row>
    <row r="1562" spans="1:1" x14ac:dyDescent="0.25">
      <c r="A1562" t="s">
        <v>1626</v>
      </c>
    </row>
    <row r="1563" spans="1:1" x14ac:dyDescent="0.25">
      <c r="A1563" t="s">
        <v>1627</v>
      </c>
    </row>
    <row r="1564" spans="1:1" x14ac:dyDescent="0.25">
      <c r="A1564" t="s">
        <v>1628</v>
      </c>
    </row>
    <row r="1565" spans="1:1" x14ac:dyDescent="0.25">
      <c r="A1565" t="s">
        <v>1629</v>
      </c>
    </row>
    <row r="1566" spans="1:1" x14ac:dyDescent="0.25">
      <c r="A1566" t="s">
        <v>1630</v>
      </c>
    </row>
    <row r="1567" spans="1:1" x14ac:dyDescent="0.25">
      <c r="A1567" t="s">
        <v>1631</v>
      </c>
    </row>
    <row r="1568" spans="1:1" x14ac:dyDescent="0.25">
      <c r="A1568" t="s">
        <v>1632</v>
      </c>
    </row>
    <row r="1569" spans="1:1" x14ac:dyDescent="0.25">
      <c r="A1569" t="s">
        <v>1633</v>
      </c>
    </row>
    <row r="1570" spans="1:1" x14ac:dyDescent="0.25">
      <c r="A1570" t="s">
        <v>1634</v>
      </c>
    </row>
    <row r="1571" spans="1:1" x14ac:dyDescent="0.25">
      <c r="A1571" t="s">
        <v>1635</v>
      </c>
    </row>
    <row r="1572" spans="1:1" x14ac:dyDescent="0.25">
      <c r="A1572" t="s">
        <v>1636</v>
      </c>
    </row>
    <row r="1573" spans="1:1" x14ac:dyDescent="0.25">
      <c r="A1573" t="s">
        <v>1637</v>
      </c>
    </row>
    <row r="1574" spans="1:1" x14ac:dyDescent="0.25">
      <c r="A1574" t="s">
        <v>1638</v>
      </c>
    </row>
    <row r="1575" spans="1:1" x14ac:dyDescent="0.25">
      <c r="A1575" t="s">
        <v>1639</v>
      </c>
    </row>
    <row r="1576" spans="1:1" x14ac:dyDescent="0.25">
      <c r="A1576" t="s">
        <v>1640</v>
      </c>
    </row>
    <row r="1577" spans="1:1" x14ac:dyDescent="0.25">
      <c r="A1577" t="s">
        <v>1641</v>
      </c>
    </row>
    <row r="1578" spans="1:1" x14ac:dyDescent="0.25">
      <c r="A1578" t="s">
        <v>1642</v>
      </c>
    </row>
    <row r="1579" spans="1:1" x14ac:dyDescent="0.25">
      <c r="A1579" t="s">
        <v>1643</v>
      </c>
    </row>
    <row r="1580" spans="1:1" x14ac:dyDescent="0.25">
      <c r="A1580" t="s">
        <v>1644</v>
      </c>
    </row>
    <row r="1581" spans="1:1" x14ac:dyDescent="0.25">
      <c r="A1581" t="s">
        <v>1645</v>
      </c>
    </row>
    <row r="1582" spans="1:1" x14ac:dyDescent="0.25">
      <c r="A1582" t="s">
        <v>1646</v>
      </c>
    </row>
    <row r="1583" spans="1:1" x14ac:dyDescent="0.25">
      <c r="A1583" t="s">
        <v>1647</v>
      </c>
    </row>
    <row r="1584" spans="1:1" x14ac:dyDescent="0.25">
      <c r="A1584" t="s">
        <v>1648</v>
      </c>
    </row>
    <row r="1585" spans="1:1" x14ac:dyDescent="0.25">
      <c r="A1585" t="s">
        <v>1649</v>
      </c>
    </row>
    <row r="1586" spans="1:1" x14ac:dyDescent="0.25">
      <c r="A1586" t="s">
        <v>1650</v>
      </c>
    </row>
    <row r="1587" spans="1:1" x14ac:dyDescent="0.25">
      <c r="A1587" t="s">
        <v>1651</v>
      </c>
    </row>
    <row r="1588" spans="1:1" x14ac:dyDescent="0.25">
      <c r="A1588" t="s">
        <v>1652</v>
      </c>
    </row>
    <row r="1589" spans="1:1" x14ac:dyDescent="0.25">
      <c r="A1589" t="s">
        <v>1653</v>
      </c>
    </row>
    <row r="1590" spans="1:1" x14ac:dyDescent="0.25">
      <c r="A1590" t="s">
        <v>1654</v>
      </c>
    </row>
    <row r="1591" spans="1:1" x14ac:dyDescent="0.25">
      <c r="A1591" t="s">
        <v>1655</v>
      </c>
    </row>
    <row r="1592" spans="1:1" x14ac:dyDescent="0.25">
      <c r="A1592" t="s">
        <v>1656</v>
      </c>
    </row>
    <row r="1593" spans="1:1" x14ac:dyDescent="0.25">
      <c r="A1593" t="s">
        <v>1657</v>
      </c>
    </row>
    <row r="1594" spans="1:1" x14ac:dyDescent="0.25">
      <c r="A1594" t="s">
        <v>1658</v>
      </c>
    </row>
    <row r="1595" spans="1:1" x14ac:dyDescent="0.25">
      <c r="A1595" t="s">
        <v>1659</v>
      </c>
    </row>
    <row r="1596" spans="1:1" x14ac:dyDescent="0.25">
      <c r="A1596" t="s">
        <v>1660</v>
      </c>
    </row>
    <row r="1597" spans="1:1" x14ac:dyDescent="0.25">
      <c r="A1597" t="s">
        <v>1661</v>
      </c>
    </row>
    <row r="1598" spans="1:1" x14ac:dyDescent="0.25">
      <c r="A1598" t="s">
        <v>1662</v>
      </c>
    </row>
    <row r="1599" spans="1:1" x14ac:dyDescent="0.25">
      <c r="A1599" t="s">
        <v>1663</v>
      </c>
    </row>
    <row r="1600" spans="1:1" x14ac:dyDescent="0.25">
      <c r="A1600" t="s">
        <v>1664</v>
      </c>
    </row>
    <row r="1601" spans="1:1" x14ac:dyDescent="0.25">
      <c r="A1601" t="s">
        <v>1665</v>
      </c>
    </row>
    <row r="1602" spans="1:1" x14ac:dyDescent="0.25">
      <c r="A1602" t="s">
        <v>1666</v>
      </c>
    </row>
    <row r="1603" spans="1:1" x14ac:dyDescent="0.25">
      <c r="A1603" t="s">
        <v>1667</v>
      </c>
    </row>
    <row r="1604" spans="1:1" x14ac:dyDescent="0.25">
      <c r="A1604" t="s">
        <v>1668</v>
      </c>
    </row>
    <row r="1605" spans="1:1" x14ac:dyDescent="0.25">
      <c r="A1605" t="s">
        <v>1669</v>
      </c>
    </row>
    <row r="1606" spans="1:1" x14ac:dyDescent="0.25">
      <c r="A1606" t="s">
        <v>1670</v>
      </c>
    </row>
    <row r="1607" spans="1:1" x14ac:dyDescent="0.25">
      <c r="A1607" t="s">
        <v>1671</v>
      </c>
    </row>
    <row r="1608" spans="1:1" x14ac:dyDescent="0.25">
      <c r="A1608" t="s">
        <v>1672</v>
      </c>
    </row>
    <row r="1609" spans="1:1" x14ac:dyDescent="0.25">
      <c r="A1609" t="s">
        <v>1673</v>
      </c>
    </row>
    <row r="1610" spans="1:1" x14ac:dyDescent="0.25">
      <c r="A1610" t="s">
        <v>1674</v>
      </c>
    </row>
    <row r="1611" spans="1:1" x14ac:dyDescent="0.25">
      <c r="A1611" t="s">
        <v>1675</v>
      </c>
    </row>
    <row r="1612" spans="1:1" x14ac:dyDescent="0.25">
      <c r="A1612" t="s">
        <v>1676</v>
      </c>
    </row>
    <row r="1613" spans="1:1" x14ac:dyDescent="0.25">
      <c r="A1613" t="s">
        <v>1677</v>
      </c>
    </row>
    <row r="1614" spans="1:1" x14ac:dyDescent="0.25">
      <c r="A1614" t="s">
        <v>1678</v>
      </c>
    </row>
    <row r="1615" spans="1:1" x14ac:dyDescent="0.25">
      <c r="A1615" t="s">
        <v>1679</v>
      </c>
    </row>
    <row r="1616" spans="1:1" x14ac:dyDescent="0.25">
      <c r="A1616" t="s">
        <v>1680</v>
      </c>
    </row>
    <row r="1617" spans="1:1" x14ac:dyDescent="0.25">
      <c r="A1617" t="s">
        <v>1681</v>
      </c>
    </row>
    <row r="1618" spans="1:1" x14ac:dyDescent="0.25">
      <c r="A1618" t="s">
        <v>1682</v>
      </c>
    </row>
    <row r="1619" spans="1:1" x14ac:dyDescent="0.25">
      <c r="A1619" t="s">
        <v>1683</v>
      </c>
    </row>
    <row r="1620" spans="1:1" x14ac:dyDescent="0.25">
      <c r="A1620" t="s">
        <v>1684</v>
      </c>
    </row>
    <row r="1621" spans="1:1" x14ac:dyDescent="0.25">
      <c r="A1621" t="s">
        <v>1685</v>
      </c>
    </row>
    <row r="1622" spans="1:1" x14ac:dyDescent="0.25">
      <c r="A1622" t="s">
        <v>1686</v>
      </c>
    </row>
    <row r="1623" spans="1:1" x14ac:dyDescent="0.25">
      <c r="A1623" t="s">
        <v>1687</v>
      </c>
    </row>
    <row r="1624" spans="1:1" x14ac:dyDescent="0.25">
      <c r="A1624" t="s">
        <v>1688</v>
      </c>
    </row>
    <row r="1625" spans="1:1" x14ac:dyDescent="0.25">
      <c r="A1625" t="s">
        <v>1689</v>
      </c>
    </row>
    <row r="1626" spans="1:1" x14ac:dyDescent="0.25">
      <c r="A1626" t="s">
        <v>1690</v>
      </c>
    </row>
    <row r="1627" spans="1:1" x14ac:dyDescent="0.25">
      <c r="A1627" t="s">
        <v>1691</v>
      </c>
    </row>
    <row r="1628" spans="1:1" x14ac:dyDescent="0.25">
      <c r="A1628" t="s">
        <v>1692</v>
      </c>
    </row>
    <row r="1629" spans="1:1" x14ac:dyDescent="0.25">
      <c r="A1629" t="s">
        <v>1693</v>
      </c>
    </row>
    <row r="1630" spans="1:1" x14ac:dyDescent="0.25">
      <c r="A1630" t="s">
        <v>1694</v>
      </c>
    </row>
    <row r="1631" spans="1:1" x14ac:dyDescent="0.25">
      <c r="A1631" t="s">
        <v>1695</v>
      </c>
    </row>
    <row r="1632" spans="1:1" x14ac:dyDescent="0.25">
      <c r="A1632" t="s">
        <v>1696</v>
      </c>
    </row>
    <row r="1633" spans="1:1" x14ac:dyDescent="0.25">
      <c r="A1633" t="s">
        <v>1697</v>
      </c>
    </row>
    <row r="1634" spans="1:1" x14ac:dyDescent="0.25">
      <c r="A1634" t="s">
        <v>1698</v>
      </c>
    </row>
    <row r="1635" spans="1:1" x14ac:dyDescent="0.25">
      <c r="A1635" t="s">
        <v>1699</v>
      </c>
    </row>
    <row r="1636" spans="1:1" x14ac:dyDescent="0.25">
      <c r="A1636" t="s">
        <v>1700</v>
      </c>
    </row>
    <row r="1637" spans="1:1" x14ac:dyDescent="0.25">
      <c r="A1637" t="s">
        <v>1701</v>
      </c>
    </row>
    <row r="1638" spans="1:1" x14ac:dyDescent="0.25">
      <c r="A1638" t="s">
        <v>1702</v>
      </c>
    </row>
    <row r="1639" spans="1:1" x14ac:dyDescent="0.25">
      <c r="A1639" t="s">
        <v>1703</v>
      </c>
    </row>
    <row r="1640" spans="1:1" x14ac:dyDescent="0.25">
      <c r="A1640" t="s">
        <v>1704</v>
      </c>
    </row>
    <row r="1641" spans="1:1" x14ac:dyDescent="0.25">
      <c r="A1641" t="s">
        <v>1705</v>
      </c>
    </row>
    <row r="1642" spans="1:1" x14ac:dyDescent="0.25">
      <c r="A1642" t="s">
        <v>1706</v>
      </c>
    </row>
    <row r="1643" spans="1:1" x14ac:dyDescent="0.25">
      <c r="A1643" t="s">
        <v>1707</v>
      </c>
    </row>
    <row r="1644" spans="1:1" x14ac:dyDescent="0.25">
      <c r="A1644" t="s">
        <v>1708</v>
      </c>
    </row>
    <row r="1645" spans="1:1" x14ac:dyDescent="0.25">
      <c r="A1645" t="s">
        <v>1709</v>
      </c>
    </row>
    <row r="1646" spans="1:1" x14ac:dyDescent="0.25">
      <c r="A1646" t="s">
        <v>1710</v>
      </c>
    </row>
    <row r="1647" spans="1:1" x14ac:dyDescent="0.25">
      <c r="A1647" t="s">
        <v>1711</v>
      </c>
    </row>
    <row r="1648" spans="1:1" x14ac:dyDescent="0.25">
      <c r="A1648" t="s">
        <v>1712</v>
      </c>
    </row>
    <row r="1649" spans="1:1" x14ac:dyDescent="0.25">
      <c r="A1649" t="s">
        <v>1713</v>
      </c>
    </row>
    <row r="1650" spans="1:1" x14ac:dyDescent="0.25">
      <c r="A1650" t="s">
        <v>1714</v>
      </c>
    </row>
    <row r="1651" spans="1:1" x14ac:dyDescent="0.25">
      <c r="A1651" t="s">
        <v>1715</v>
      </c>
    </row>
    <row r="1652" spans="1:1" x14ac:dyDescent="0.25">
      <c r="A1652" t="s">
        <v>1716</v>
      </c>
    </row>
    <row r="1653" spans="1:1" x14ac:dyDescent="0.25">
      <c r="A1653" t="s">
        <v>1717</v>
      </c>
    </row>
    <row r="1654" spans="1:1" x14ac:dyDescent="0.25">
      <c r="A1654" t="s">
        <v>1718</v>
      </c>
    </row>
    <row r="1655" spans="1:1" x14ac:dyDescent="0.25">
      <c r="A1655" t="s">
        <v>1719</v>
      </c>
    </row>
    <row r="1656" spans="1:1" x14ac:dyDescent="0.25">
      <c r="A1656" t="s">
        <v>1720</v>
      </c>
    </row>
    <row r="1657" spans="1:1" x14ac:dyDescent="0.25">
      <c r="A1657" t="s">
        <v>1721</v>
      </c>
    </row>
    <row r="1658" spans="1:1" x14ac:dyDescent="0.25">
      <c r="A1658" t="s">
        <v>1722</v>
      </c>
    </row>
    <row r="1659" spans="1:1" x14ac:dyDescent="0.25">
      <c r="A1659" t="s">
        <v>1723</v>
      </c>
    </row>
    <row r="1660" spans="1:1" x14ac:dyDescent="0.25">
      <c r="A1660" t="s">
        <v>1724</v>
      </c>
    </row>
    <row r="1661" spans="1:1" x14ac:dyDescent="0.25">
      <c r="A1661" t="s">
        <v>1725</v>
      </c>
    </row>
    <row r="1662" spans="1:1" x14ac:dyDescent="0.25">
      <c r="A1662" t="s">
        <v>1726</v>
      </c>
    </row>
    <row r="1663" spans="1:1" x14ac:dyDescent="0.25">
      <c r="A1663" t="s">
        <v>1727</v>
      </c>
    </row>
    <row r="1664" spans="1:1" x14ac:dyDescent="0.25">
      <c r="A1664" t="s">
        <v>1728</v>
      </c>
    </row>
    <row r="1665" spans="1:1" x14ac:dyDescent="0.25">
      <c r="A1665" t="s">
        <v>1729</v>
      </c>
    </row>
    <row r="1666" spans="1:1" x14ac:dyDescent="0.25">
      <c r="A1666" t="s">
        <v>1730</v>
      </c>
    </row>
    <row r="1667" spans="1:1" x14ac:dyDescent="0.25">
      <c r="A1667" t="s">
        <v>1731</v>
      </c>
    </row>
    <row r="1668" spans="1:1" x14ac:dyDescent="0.25">
      <c r="A1668" t="s">
        <v>1732</v>
      </c>
    </row>
    <row r="1669" spans="1:1" x14ac:dyDescent="0.25">
      <c r="A1669" t="s">
        <v>1733</v>
      </c>
    </row>
    <row r="1670" spans="1:1" x14ac:dyDescent="0.25">
      <c r="A1670" t="s">
        <v>1734</v>
      </c>
    </row>
    <row r="1671" spans="1:1" x14ac:dyDescent="0.25">
      <c r="A1671" t="s">
        <v>1735</v>
      </c>
    </row>
    <row r="1672" spans="1:1" x14ac:dyDescent="0.25">
      <c r="A1672" t="s">
        <v>1736</v>
      </c>
    </row>
    <row r="1673" spans="1:1" x14ac:dyDescent="0.25">
      <c r="A1673" t="s">
        <v>1737</v>
      </c>
    </row>
    <row r="1674" spans="1:1" x14ac:dyDescent="0.25">
      <c r="A1674" t="s">
        <v>1738</v>
      </c>
    </row>
    <row r="1675" spans="1:1" x14ac:dyDescent="0.25">
      <c r="A1675" t="s">
        <v>1739</v>
      </c>
    </row>
    <row r="1676" spans="1:1" x14ac:dyDescent="0.25">
      <c r="A1676" t="s">
        <v>1740</v>
      </c>
    </row>
    <row r="1677" spans="1:1" x14ac:dyDescent="0.25">
      <c r="A1677" t="s">
        <v>1741</v>
      </c>
    </row>
    <row r="1678" spans="1:1" x14ac:dyDescent="0.25">
      <c r="A1678" t="s">
        <v>1742</v>
      </c>
    </row>
    <row r="1679" spans="1:1" x14ac:dyDescent="0.25">
      <c r="A1679" t="s">
        <v>1743</v>
      </c>
    </row>
    <row r="1680" spans="1:1" x14ac:dyDescent="0.25">
      <c r="A1680" t="s">
        <v>1744</v>
      </c>
    </row>
    <row r="1681" spans="1:1" x14ac:dyDescent="0.25">
      <c r="A1681" t="s">
        <v>1745</v>
      </c>
    </row>
    <row r="1682" spans="1:1" x14ac:dyDescent="0.25">
      <c r="A1682" t="s">
        <v>1746</v>
      </c>
    </row>
    <row r="1683" spans="1:1" x14ac:dyDescent="0.25">
      <c r="A1683" t="s">
        <v>1747</v>
      </c>
    </row>
    <row r="1684" spans="1:1" x14ac:dyDescent="0.25">
      <c r="A1684" t="s">
        <v>1748</v>
      </c>
    </row>
    <row r="1685" spans="1:1" x14ac:dyDescent="0.25">
      <c r="A1685" t="s">
        <v>1749</v>
      </c>
    </row>
    <row r="1686" spans="1:1" x14ac:dyDescent="0.25">
      <c r="A1686" t="s">
        <v>1750</v>
      </c>
    </row>
    <row r="1687" spans="1:1" x14ac:dyDescent="0.25">
      <c r="A1687" t="s">
        <v>1751</v>
      </c>
    </row>
    <row r="1688" spans="1:1" x14ac:dyDescent="0.25">
      <c r="A1688" t="s">
        <v>1752</v>
      </c>
    </row>
    <row r="1689" spans="1:1" x14ac:dyDescent="0.25">
      <c r="A1689" t="s">
        <v>1753</v>
      </c>
    </row>
    <row r="1690" spans="1:1" x14ac:dyDescent="0.25">
      <c r="A1690" t="s">
        <v>1754</v>
      </c>
    </row>
    <row r="1691" spans="1:1" x14ac:dyDescent="0.25">
      <c r="A1691" t="s">
        <v>1755</v>
      </c>
    </row>
    <row r="1692" spans="1:1" x14ac:dyDescent="0.25">
      <c r="A1692" t="s">
        <v>1756</v>
      </c>
    </row>
    <row r="1693" spans="1:1" x14ac:dyDescent="0.25">
      <c r="A1693" t="s">
        <v>1757</v>
      </c>
    </row>
    <row r="1694" spans="1:1" x14ac:dyDescent="0.25">
      <c r="A1694" t="s">
        <v>1758</v>
      </c>
    </row>
    <row r="1695" spans="1:1" x14ac:dyDescent="0.25">
      <c r="A1695" t="s">
        <v>1759</v>
      </c>
    </row>
    <row r="1696" spans="1:1" x14ac:dyDescent="0.25">
      <c r="A1696" t="s">
        <v>1760</v>
      </c>
    </row>
    <row r="1697" spans="1:1" x14ac:dyDescent="0.25">
      <c r="A1697" t="s">
        <v>1761</v>
      </c>
    </row>
    <row r="1698" spans="1:1" x14ac:dyDescent="0.25">
      <c r="A1698" t="s">
        <v>1762</v>
      </c>
    </row>
    <row r="1699" spans="1:1" x14ac:dyDescent="0.25">
      <c r="A1699" t="s">
        <v>1763</v>
      </c>
    </row>
    <row r="1700" spans="1:1" x14ac:dyDescent="0.25">
      <c r="A1700" t="s">
        <v>1764</v>
      </c>
    </row>
    <row r="1701" spans="1:1" x14ac:dyDescent="0.25">
      <c r="A1701" t="s">
        <v>1765</v>
      </c>
    </row>
    <row r="1702" spans="1:1" x14ac:dyDescent="0.25">
      <c r="A1702" t="s">
        <v>1766</v>
      </c>
    </row>
    <row r="1703" spans="1:1" x14ac:dyDescent="0.25">
      <c r="A1703" t="s">
        <v>1767</v>
      </c>
    </row>
    <row r="1704" spans="1:1" x14ac:dyDescent="0.25">
      <c r="A1704" t="s">
        <v>1768</v>
      </c>
    </row>
    <row r="1705" spans="1:1" x14ac:dyDescent="0.25">
      <c r="A1705" t="s">
        <v>1769</v>
      </c>
    </row>
    <row r="1706" spans="1:1" x14ac:dyDescent="0.25">
      <c r="A1706" t="s">
        <v>1770</v>
      </c>
    </row>
    <row r="1707" spans="1:1" x14ac:dyDescent="0.25">
      <c r="A1707" t="s">
        <v>1771</v>
      </c>
    </row>
    <row r="1708" spans="1:1" x14ac:dyDescent="0.25">
      <c r="A1708" t="s">
        <v>1772</v>
      </c>
    </row>
    <row r="1709" spans="1:1" x14ac:dyDescent="0.25">
      <c r="A1709" t="s">
        <v>1773</v>
      </c>
    </row>
    <row r="1710" spans="1:1" x14ac:dyDescent="0.25">
      <c r="A1710" t="s">
        <v>1774</v>
      </c>
    </row>
    <row r="1711" spans="1:1" x14ac:dyDescent="0.25">
      <c r="A1711" t="s">
        <v>1775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5D4D4-4A4F-47B9-91D3-3EB5C4EDF79E}">
  <sheetPr codeName="Sheet18"/>
  <dimension ref="A2:A1711"/>
  <sheetViews>
    <sheetView workbookViewId="0"/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92</v>
      </c>
    </row>
    <row r="29" spans="1:1" x14ac:dyDescent="0.25">
      <c r="A29" t="s">
        <v>93</v>
      </c>
    </row>
    <row r="30" spans="1:1" x14ac:dyDescent="0.25">
      <c r="A30" t="s">
        <v>94</v>
      </c>
    </row>
    <row r="31" spans="1:1" x14ac:dyDescent="0.25">
      <c r="A31" t="s">
        <v>95</v>
      </c>
    </row>
    <row r="32" spans="1:1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234</v>
      </c>
    </row>
    <row r="171" spans="1:1" x14ac:dyDescent="0.25">
      <c r="A171" t="s">
        <v>235</v>
      </c>
    </row>
    <row r="172" spans="1:1" x14ac:dyDescent="0.25">
      <c r="A172" t="s">
        <v>236</v>
      </c>
    </row>
    <row r="173" spans="1:1" x14ac:dyDescent="0.25">
      <c r="A173" t="s">
        <v>237</v>
      </c>
    </row>
    <row r="174" spans="1:1" x14ac:dyDescent="0.25">
      <c r="A174" t="s">
        <v>238</v>
      </c>
    </row>
    <row r="175" spans="1:1" x14ac:dyDescent="0.25">
      <c r="A175" t="s">
        <v>239</v>
      </c>
    </row>
    <row r="176" spans="1:1" x14ac:dyDescent="0.25">
      <c r="A176" t="s">
        <v>240</v>
      </c>
    </row>
    <row r="177" spans="1:1" x14ac:dyDescent="0.25">
      <c r="A177" t="s">
        <v>241</v>
      </c>
    </row>
    <row r="178" spans="1:1" x14ac:dyDescent="0.25">
      <c r="A178" t="s">
        <v>242</v>
      </c>
    </row>
    <row r="179" spans="1:1" x14ac:dyDescent="0.25">
      <c r="A179" t="s">
        <v>243</v>
      </c>
    </row>
    <row r="180" spans="1:1" x14ac:dyDescent="0.25">
      <c r="A180" t="s">
        <v>244</v>
      </c>
    </row>
    <row r="181" spans="1:1" x14ac:dyDescent="0.25">
      <c r="A181" t="s">
        <v>245</v>
      </c>
    </row>
    <row r="182" spans="1:1" x14ac:dyDescent="0.25">
      <c r="A182" t="s">
        <v>246</v>
      </c>
    </row>
    <row r="183" spans="1:1" x14ac:dyDescent="0.25">
      <c r="A183" t="s">
        <v>247</v>
      </c>
    </row>
    <row r="184" spans="1:1" x14ac:dyDescent="0.25">
      <c r="A184" t="s">
        <v>248</v>
      </c>
    </row>
    <row r="185" spans="1:1" x14ac:dyDescent="0.25">
      <c r="A185" t="s">
        <v>249</v>
      </c>
    </row>
    <row r="186" spans="1:1" x14ac:dyDescent="0.25">
      <c r="A186" t="s">
        <v>250</v>
      </c>
    </row>
    <row r="187" spans="1:1" x14ac:dyDescent="0.25">
      <c r="A187" t="s">
        <v>251</v>
      </c>
    </row>
    <row r="188" spans="1:1" x14ac:dyDescent="0.25">
      <c r="A188" t="s">
        <v>252</v>
      </c>
    </row>
    <row r="189" spans="1:1" x14ac:dyDescent="0.25">
      <c r="A189" t="s">
        <v>253</v>
      </c>
    </row>
    <row r="190" spans="1:1" x14ac:dyDescent="0.25">
      <c r="A190" t="s">
        <v>254</v>
      </c>
    </row>
    <row r="191" spans="1:1" x14ac:dyDescent="0.25">
      <c r="A191" t="s">
        <v>255</v>
      </c>
    </row>
    <row r="192" spans="1:1" x14ac:dyDescent="0.25">
      <c r="A192" t="s">
        <v>256</v>
      </c>
    </row>
    <row r="193" spans="1:1" x14ac:dyDescent="0.25">
      <c r="A193" t="s">
        <v>257</v>
      </c>
    </row>
    <row r="194" spans="1:1" x14ac:dyDescent="0.25">
      <c r="A194" t="s">
        <v>258</v>
      </c>
    </row>
    <row r="195" spans="1:1" x14ac:dyDescent="0.25">
      <c r="A195" t="s">
        <v>259</v>
      </c>
    </row>
    <row r="196" spans="1:1" x14ac:dyDescent="0.25">
      <c r="A196" t="s">
        <v>260</v>
      </c>
    </row>
    <row r="197" spans="1:1" x14ac:dyDescent="0.25">
      <c r="A197" t="s">
        <v>261</v>
      </c>
    </row>
    <row r="198" spans="1:1" x14ac:dyDescent="0.25">
      <c r="A198" t="s">
        <v>262</v>
      </c>
    </row>
    <row r="199" spans="1:1" x14ac:dyDescent="0.25">
      <c r="A199" t="s">
        <v>263</v>
      </c>
    </row>
    <row r="200" spans="1:1" x14ac:dyDescent="0.25">
      <c r="A200" t="s">
        <v>264</v>
      </c>
    </row>
    <row r="201" spans="1:1" x14ac:dyDescent="0.25">
      <c r="A201" t="s">
        <v>265</v>
      </c>
    </row>
    <row r="202" spans="1:1" x14ac:dyDescent="0.25">
      <c r="A202" t="s">
        <v>266</v>
      </c>
    </row>
    <row r="203" spans="1:1" x14ac:dyDescent="0.25">
      <c r="A203" t="s">
        <v>267</v>
      </c>
    </row>
    <row r="204" spans="1:1" x14ac:dyDescent="0.25">
      <c r="A204" t="s">
        <v>268</v>
      </c>
    </row>
    <row r="205" spans="1:1" x14ac:dyDescent="0.25">
      <c r="A205" t="s">
        <v>269</v>
      </c>
    </row>
    <row r="206" spans="1:1" x14ac:dyDescent="0.25">
      <c r="A206" t="s">
        <v>270</v>
      </c>
    </row>
    <row r="207" spans="1:1" x14ac:dyDescent="0.25">
      <c r="A207" t="s">
        <v>271</v>
      </c>
    </row>
    <row r="208" spans="1:1" x14ac:dyDescent="0.25">
      <c r="A208" t="s">
        <v>272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277</v>
      </c>
    </row>
    <row r="214" spans="1:1" x14ac:dyDescent="0.25">
      <c r="A214" t="s">
        <v>278</v>
      </c>
    </row>
    <row r="215" spans="1:1" x14ac:dyDescent="0.25">
      <c r="A215" t="s">
        <v>279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282</v>
      </c>
    </row>
    <row r="219" spans="1:1" x14ac:dyDescent="0.25">
      <c r="A219" t="s">
        <v>283</v>
      </c>
    </row>
    <row r="220" spans="1:1" x14ac:dyDescent="0.25">
      <c r="A220" t="s">
        <v>284</v>
      </c>
    </row>
    <row r="221" spans="1:1" x14ac:dyDescent="0.25">
      <c r="A221" t="s">
        <v>285</v>
      </c>
    </row>
    <row r="222" spans="1:1" x14ac:dyDescent="0.25">
      <c r="A222" t="s">
        <v>286</v>
      </c>
    </row>
    <row r="223" spans="1:1" x14ac:dyDescent="0.25">
      <c r="A223" t="s">
        <v>287</v>
      </c>
    </row>
    <row r="224" spans="1:1" x14ac:dyDescent="0.25">
      <c r="A224" t="s">
        <v>288</v>
      </c>
    </row>
    <row r="225" spans="1:1" x14ac:dyDescent="0.25">
      <c r="A225" t="s">
        <v>289</v>
      </c>
    </row>
    <row r="226" spans="1:1" x14ac:dyDescent="0.25">
      <c r="A226" t="s">
        <v>290</v>
      </c>
    </row>
    <row r="227" spans="1:1" x14ac:dyDescent="0.25">
      <c r="A227" t="s">
        <v>291</v>
      </c>
    </row>
    <row r="228" spans="1:1" x14ac:dyDescent="0.25">
      <c r="A228" t="s">
        <v>292</v>
      </c>
    </row>
    <row r="229" spans="1:1" x14ac:dyDescent="0.25">
      <c r="A229" t="s">
        <v>293</v>
      </c>
    </row>
    <row r="230" spans="1:1" x14ac:dyDescent="0.25">
      <c r="A230" t="s">
        <v>294</v>
      </c>
    </row>
    <row r="231" spans="1:1" x14ac:dyDescent="0.25">
      <c r="A231" t="s">
        <v>295</v>
      </c>
    </row>
    <row r="232" spans="1:1" x14ac:dyDescent="0.25">
      <c r="A232" t="s">
        <v>296</v>
      </c>
    </row>
    <row r="233" spans="1:1" x14ac:dyDescent="0.25">
      <c r="A233" t="s">
        <v>297</v>
      </c>
    </row>
    <row r="234" spans="1:1" x14ac:dyDescent="0.25">
      <c r="A234" t="s">
        <v>298</v>
      </c>
    </row>
    <row r="235" spans="1:1" x14ac:dyDescent="0.25">
      <c r="A235" t="s">
        <v>299</v>
      </c>
    </row>
    <row r="236" spans="1:1" x14ac:dyDescent="0.25">
      <c r="A236" t="s">
        <v>300</v>
      </c>
    </row>
    <row r="237" spans="1:1" x14ac:dyDescent="0.25">
      <c r="A237" t="s">
        <v>301</v>
      </c>
    </row>
    <row r="238" spans="1:1" x14ac:dyDescent="0.25">
      <c r="A238" t="s">
        <v>302</v>
      </c>
    </row>
    <row r="239" spans="1:1" x14ac:dyDescent="0.25">
      <c r="A239" t="s">
        <v>303</v>
      </c>
    </row>
    <row r="240" spans="1:1" x14ac:dyDescent="0.25">
      <c r="A240" t="s">
        <v>304</v>
      </c>
    </row>
    <row r="241" spans="1:1" x14ac:dyDescent="0.25">
      <c r="A241" t="s">
        <v>305</v>
      </c>
    </row>
    <row r="242" spans="1:1" x14ac:dyDescent="0.25">
      <c r="A242" t="s">
        <v>306</v>
      </c>
    </row>
    <row r="243" spans="1:1" x14ac:dyDescent="0.25">
      <c r="A243" t="s">
        <v>307</v>
      </c>
    </row>
    <row r="244" spans="1:1" x14ac:dyDescent="0.25">
      <c r="A244" t="s">
        <v>308</v>
      </c>
    </row>
    <row r="245" spans="1:1" x14ac:dyDescent="0.25">
      <c r="A245" t="s">
        <v>309</v>
      </c>
    </row>
    <row r="246" spans="1:1" x14ac:dyDescent="0.25">
      <c r="A246" t="s">
        <v>310</v>
      </c>
    </row>
    <row r="247" spans="1:1" x14ac:dyDescent="0.25">
      <c r="A247" t="s">
        <v>311</v>
      </c>
    </row>
    <row r="248" spans="1:1" x14ac:dyDescent="0.25">
      <c r="A248" t="s">
        <v>312</v>
      </c>
    </row>
    <row r="249" spans="1:1" x14ac:dyDescent="0.25">
      <c r="A249" t="s">
        <v>313</v>
      </c>
    </row>
    <row r="250" spans="1:1" x14ac:dyDescent="0.25">
      <c r="A250" t="s">
        <v>314</v>
      </c>
    </row>
    <row r="251" spans="1:1" x14ac:dyDescent="0.25">
      <c r="A251" t="s">
        <v>315</v>
      </c>
    </row>
    <row r="252" spans="1:1" x14ac:dyDescent="0.25">
      <c r="A252" t="s">
        <v>316</v>
      </c>
    </row>
    <row r="253" spans="1:1" x14ac:dyDescent="0.25">
      <c r="A253" t="s">
        <v>317</v>
      </c>
    </row>
    <row r="254" spans="1:1" x14ac:dyDescent="0.25">
      <c r="A254" t="s">
        <v>318</v>
      </c>
    </row>
    <row r="255" spans="1:1" x14ac:dyDescent="0.25">
      <c r="A255" t="s">
        <v>319</v>
      </c>
    </row>
    <row r="256" spans="1:1" x14ac:dyDescent="0.25">
      <c r="A256" t="s">
        <v>320</v>
      </c>
    </row>
    <row r="257" spans="1:1" x14ac:dyDescent="0.25">
      <c r="A257" t="s">
        <v>321</v>
      </c>
    </row>
    <row r="258" spans="1:1" x14ac:dyDescent="0.25">
      <c r="A258" t="s">
        <v>322</v>
      </c>
    </row>
    <row r="259" spans="1:1" x14ac:dyDescent="0.25">
      <c r="A259" t="s">
        <v>323</v>
      </c>
    </row>
    <row r="260" spans="1:1" x14ac:dyDescent="0.25">
      <c r="A260" t="s">
        <v>324</v>
      </c>
    </row>
    <row r="261" spans="1:1" x14ac:dyDescent="0.25">
      <c r="A261" t="s">
        <v>325</v>
      </c>
    </row>
    <row r="262" spans="1:1" x14ac:dyDescent="0.25">
      <c r="A262" t="s">
        <v>326</v>
      </c>
    </row>
    <row r="263" spans="1:1" x14ac:dyDescent="0.25">
      <c r="A263" t="s">
        <v>327</v>
      </c>
    </row>
    <row r="264" spans="1:1" x14ac:dyDescent="0.25">
      <c r="A264" t="s">
        <v>328</v>
      </c>
    </row>
    <row r="265" spans="1:1" x14ac:dyDescent="0.25">
      <c r="A265" t="s">
        <v>329</v>
      </c>
    </row>
    <row r="266" spans="1:1" x14ac:dyDescent="0.25">
      <c r="A266" t="s">
        <v>330</v>
      </c>
    </row>
    <row r="267" spans="1:1" x14ac:dyDescent="0.25">
      <c r="A267" t="s">
        <v>331</v>
      </c>
    </row>
    <row r="268" spans="1:1" x14ac:dyDescent="0.25">
      <c r="A268" t="s">
        <v>332</v>
      </c>
    </row>
    <row r="269" spans="1:1" x14ac:dyDescent="0.25">
      <c r="A269" t="s">
        <v>333</v>
      </c>
    </row>
    <row r="270" spans="1:1" x14ac:dyDescent="0.25">
      <c r="A270" t="s">
        <v>334</v>
      </c>
    </row>
    <row r="271" spans="1:1" x14ac:dyDescent="0.25">
      <c r="A271" t="s">
        <v>335</v>
      </c>
    </row>
    <row r="272" spans="1:1" x14ac:dyDescent="0.25">
      <c r="A272" t="s">
        <v>336</v>
      </c>
    </row>
    <row r="273" spans="1:1" x14ac:dyDescent="0.25">
      <c r="A273" t="s">
        <v>337</v>
      </c>
    </row>
    <row r="274" spans="1:1" x14ac:dyDescent="0.25">
      <c r="A274" t="s">
        <v>338</v>
      </c>
    </row>
    <row r="275" spans="1:1" x14ac:dyDescent="0.25">
      <c r="A275" t="s">
        <v>339</v>
      </c>
    </row>
    <row r="276" spans="1:1" x14ac:dyDescent="0.25">
      <c r="A276" t="s">
        <v>340</v>
      </c>
    </row>
    <row r="277" spans="1:1" x14ac:dyDescent="0.25">
      <c r="A277" t="s">
        <v>341</v>
      </c>
    </row>
    <row r="278" spans="1:1" x14ac:dyDescent="0.25">
      <c r="A278" t="s">
        <v>342</v>
      </c>
    </row>
    <row r="279" spans="1:1" x14ac:dyDescent="0.25">
      <c r="A279" t="s">
        <v>343</v>
      </c>
    </row>
    <row r="280" spans="1:1" x14ac:dyDescent="0.25">
      <c r="A280" t="s">
        <v>344</v>
      </c>
    </row>
    <row r="281" spans="1:1" x14ac:dyDescent="0.25">
      <c r="A281" t="s">
        <v>345</v>
      </c>
    </row>
    <row r="282" spans="1:1" x14ac:dyDescent="0.25">
      <c r="A282" t="s">
        <v>346</v>
      </c>
    </row>
    <row r="283" spans="1:1" x14ac:dyDescent="0.25">
      <c r="A283" t="s">
        <v>347</v>
      </c>
    </row>
    <row r="284" spans="1:1" x14ac:dyDescent="0.25">
      <c r="A284" t="s">
        <v>348</v>
      </c>
    </row>
    <row r="285" spans="1:1" x14ac:dyDescent="0.25">
      <c r="A285" t="s">
        <v>349</v>
      </c>
    </row>
    <row r="286" spans="1:1" x14ac:dyDescent="0.25">
      <c r="A286" t="s">
        <v>350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353</v>
      </c>
    </row>
    <row r="290" spans="1:1" x14ac:dyDescent="0.25">
      <c r="A290" t="s">
        <v>354</v>
      </c>
    </row>
    <row r="291" spans="1:1" x14ac:dyDescent="0.25">
      <c r="A291" t="s">
        <v>355</v>
      </c>
    </row>
    <row r="292" spans="1:1" x14ac:dyDescent="0.25">
      <c r="A292" t="s">
        <v>356</v>
      </c>
    </row>
    <row r="293" spans="1:1" x14ac:dyDescent="0.25">
      <c r="A293" t="s">
        <v>357</v>
      </c>
    </row>
    <row r="294" spans="1:1" x14ac:dyDescent="0.25">
      <c r="A294" t="s">
        <v>358</v>
      </c>
    </row>
    <row r="295" spans="1:1" x14ac:dyDescent="0.25">
      <c r="A295" t="s">
        <v>359</v>
      </c>
    </row>
    <row r="296" spans="1:1" x14ac:dyDescent="0.25">
      <c r="A296" t="s">
        <v>360</v>
      </c>
    </row>
    <row r="297" spans="1:1" x14ac:dyDescent="0.25">
      <c r="A297" t="s">
        <v>361</v>
      </c>
    </row>
    <row r="298" spans="1:1" x14ac:dyDescent="0.25">
      <c r="A298" t="s">
        <v>362</v>
      </c>
    </row>
    <row r="299" spans="1:1" x14ac:dyDescent="0.25">
      <c r="A299" t="s">
        <v>363</v>
      </c>
    </row>
    <row r="300" spans="1:1" x14ac:dyDescent="0.25">
      <c r="A300" t="s">
        <v>364</v>
      </c>
    </row>
    <row r="301" spans="1:1" x14ac:dyDescent="0.25">
      <c r="A301" t="s">
        <v>365</v>
      </c>
    </row>
    <row r="302" spans="1:1" x14ac:dyDescent="0.25">
      <c r="A302" t="s">
        <v>366</v>
      </c>
    </row>
    <row r="303" spans="1:1" x14ac:dyDescent="0.25">
      <c r="A303" t="s">
        <v>367</v>
      </c>
    </row>
    <row r="304" spans="1:1" x14ac:dyDescent="0.25">
      <c r="A304" t="s">
        <v>368</v>
      </c>
    </row>
    <row r="305" spans="1:1" x14ac:dyDescent="0.25">
      <c r="A305" t="s">
        <v>369</v>
      </c>
    </row>
    <row r="306" spans="1:1" x14ac:dyDescent="0.25">
      <c r="A306" t="s">
        <v>370</v>
      </c>
    </row>
    <row r="307" spans="1:1" x14ac:dyDescent="0.25">
      <c r="A307" t="s">
        <v>371</v>
      </c>
    </row>
    <row r="308" spans="1:1" x14ac:dyDescent="0.25">
      <c r="A308" t="s">
        <v>372</v>
      </c>
    </row>
    <row r="309" spans="1:1" x14ac:dyDescent="0.25">
      <c r="A309" t="s">
        <v>373</v>
      </c>
    </row>
    <row r="310" spans="1:1" x14ac:dyDescent="0.25">
      <c r="A310" t="s">
        <v>374</v>
      </c>
    </row>
    <row r="311" spans="1:1" x14ac:dyDescent="0.25">
      <c r="A311" t="s">
        <v>375</v>
      </c>
    </row>
    <row r="312" spans="1:1" x14ac:dyDescent="0.25">
      <c r="A312" t="s">
        <v>376</v>
      </c>
    </row>
    <row r="313" spans="1:1" x14ac:dyDescent="0.25">
      <c r="A313" t="s">
        <v>377</v>
      </c>
    </row>
    <row r="314" spans="1:1" x14ac:dyDescent="0.25">
      <c r="A314" t="s">
        <v>378</v>
      </c>
    </row>
    <row r="315" spans="1:1" x14ac:dyDescent="0.25">
      <c r="A315" t="s">
        <v>379</v>
      </c>
    </row>
    <row r="316" spans="1:1" x14ac:dyDescent="0.25">
      <c r="A316" t="s">
        <v>380</v>
      </c>
    </row>
    <row r="317" spans="1:1" x14ac:dyDescent="0.25">
      <c r="A317" t="s">
        <v>381</v>
      </c>
    </row>
    <row r="318" spans="1:1" x14ac:dyDescent="0.25">
      <c r="A318" t="s">
        <v>382</v>
      </c>
    </row>
    <row r="319" spans="1:1" x14ac:dyDescent="0.25">
      <c r="A319" t="s">
        <v>383</v>
      </c>
    </row>
    <row r="320" spans="1:1" x14ac:dyDescent="0.25">
      <c r="A320" t="s">
        <v>384</v>
      </c>
    </row>
    <row r="321" spans="1:1" x14ac:dyDescent="0.25">
      <c r="A321" t="s">
        <v>385</v>
      </c>
    </row>
    <row r="322" spans="1:1" x14ac:dyDescent="0.25">
      <c r="A322" t="s">
        <v>386</v>
      </c>
    </row>
    <row r="323" spans="1:1" x14ac:dyDescent="0.25">
      <c r="A323" t="s">
        <v>387</v>
      </c>
    </row>
    <row r="324" spans="1:1" x14ac:dyDescent="0.25">
      <c r="A324" t="s">
        <v>388</v>
      </c>
    </row>
    <row r="325" spans="1:1" x14ac:dyDescent="0.25">
      <c r="A325" t="s">
        <v>389</v>
      </c>
    </row>
    <row r="326" spans="1:1" x14ac:dyDescent="0.25">
      <c r="A326" t="s">
        <v>390</v>
      </c>
    </row>
    <row r="327" spans="1:1" x14ac:dyDescent="0.25">
      <c r="A327" t="s">
        <v>391</v>
      </c>
    </row>
    <row r="328" spans="1:1" x14ac:dyDescent="0.25">
      <c r="A328" t="s">
        <v>392</v>
      </c>
    </row>
    <row r="329" spans="1:1" x14ac:dyDescent="0.25">
      <c r="A329" t="s">
        <v>393</v>
      </c>
    </row>
    <row r="330" spans="1:1" x14ac:dyDescent="0.25">
      <c r="A330" t="s">
        <v>394</v>
      </c>
    </row>
    <row r="331" spans="1:1" x14ac:dyDescent="0.25">
      <c r="A331" t="s">
        <v>395</v>
      </c>
    </row>
    <row r="332" spans="1:1" x14ac:dyDescent="0.25">
      <c r="A332" t="s">
        <v>396</v>
      </c>
    </row>
    <row r="333" spans="1:1" x14ac:dyDescent="0.25">
      <c r="A333" t="s">
        <v>397</v>
      </c>
    </row>
    <row r="334" spans="1:1" x14ac:dyDescent="0.25">
      <c r="A334" t="s">
        <v>398</v>
      </c>
    </row>
    <row r="335" spans="1:1" x14ac:dyDescent="0.25">
      <c r="A335" t="s">
        <v>399</v>
      </c>
    </row>
    <row r="336" spans="1:1" x14ac:dyDescent="0.25">
      <c r="A336" t="s">
        <v>400</v>
      </c>
    </row>
    <row r="337" spans="1:1" x14ac:dyDescent="0.25">
      <c r="A337" t="s">
        <v>401</v>
      </c>
    </row>
    <row r="338" spans="1:1" x14ac:dyDescent="0.25">
      <c r="A338" t="s">
        <v>402</v>
      </c>
    </row>
    <row r="339" spans="1:1" x14ac:dyDescent="0.25">
      <c r="A339" t="s">
        <v>403</v>
      </c>
    </row>
    <row r="340" spans="1:1" x14ac:dyDescent="0.25">
      <c r="A340" t="s">
        <v>404</v>
      </c>
    </row>
    <row r="341" spans="1:1" x14ac:dyDescent="0.25">
      <c r="A341" t="s">
        <v>405</v>
      </c>
    </row>
    <row r="342" spans="1:1" x14ac:dyDescent="0.25">
      <c r="A342" t="s">
        <v>406</v>
      </c>
    </row>
    <row r="343" spans="1:1" x14ac:dyDescent="0.25">
      <c r="A343" t="s">
        <v>407</v>
      </c>
    </row>
    <row r="344" spans="1:1" x14ac:dyDescent="0.25">
      <c r="A344" t="s">
        <v>408</v>
      </c>
    </row>
    <row r="345" spans="1:1" x14ac:dyDescent="0.25">
      <c r="A345" t="s">
        <v>409</v>
      </c>
    </row>
    <row r="346" spans="1:1" x14ac:dyDescent="0.25">
      <c r="A346" t="s">
        <v>410</v>
      </c>
    </row>
    <row r="347" spans="1:1" x14ac:dyDescent="0.25">
      <c r="A347" t="s">
        <v>411</v>
      </c>
    </row>
    <row r="348" spans="1:1" x14ac:dyDescent="0.25">
      <c r="A348" t="s">
        <v>412</v>
      </c>
    </row>
    <row r="349" spans="1:1" x14ac:dyDescent="0.25">
      <c r="A349" t="s">
        <v>413</v>
      </c>
    </row>
    <row r="350" spans="1:1" x14ac:dyDescent="0.25">
      <c r="A350" t="s">
        <v>414</v>
      </c>
    </row>
    <row r="351" spans="1:1" x14ac:dyDescent="0.25">
      <c r="A351" t="s">
        <v>415</v>
      </c>
    </row>
    <row r="352" spans="1:1" x14ac:dyDescent="0.25">
      <c r="A352" t="s">
        <v>416</v>
      </c>
    </row>
    <row r="353" spans="1:1" x14ac:dyDescent="0.25">
      <c r="A353" t="s">
        <v>417</v>
      </c>
    </row>
    <row r="354" spans="1:1" x14ac:dyDescent="0.25">
      <c r="A354" t="s">
        <v>418</v>
      </c>
    </row>
    <row r="355" spans="1:1" x14ac:dyDescent="0.25">
      <c r="A355" t="s">
        <v>419</v>
      </c>
    </row>
    <row r="356" spans="1:1" x14ac:dyDescent="0.25">
      <c r="A356" t="s">
        <v>420</v>
      </c>
    </row>
    <row r="357" spans="1:1" x14ac:dyDescent="0.25">
      <c r="A357" t="s">
        <v>421</v>
      </c>
    </row>
    <row r="358" spans="1:1" x14ac:dyDescent="0.25">
      <c r="A358" t="s">
        <v>422</v>
      </c>
    </row>
    <row r="359" spans="1:1" x14ac:dyDescent="0.25">
      <c r="A359" t="s">
        <v>423</v>
      </c>
    </row>
    <row r="360" spans="1:1" x14ac:dyDescent="0.25">
      <c r="A360" t="s">
        <v>424</v>
      </c>
    </row>
    <row r="361" spans="1:1" x14ac:dyDescent="0.25">
      <c r="A361" t="s">
        <v>425</v>
      </c>
    </row>
    <row r="362" spans="1:1" x14ac:dyDescent="0.25">
      <c r="A362" t="s">
        <v>426</v>
      </c>
    </row>
    <row r="363" spans="1:1" x14ac:dyDescent="0.25">
      <c r="A363" t="s">
        <v>427</v>
      </c>
    </row>
    <row r="364" spans="1:1" x14ac:dyDescent="0.25">
      <c r="A364" t="s">
        <v>428</v>
      </c>
    </row>
    <row r="365" spans="1:1" x14ac:dyDescent="0.25">
      <c r="A365" t="s">
        <v>429</v>
      </c>
    </row>
    <row r="366" spans="1:1" x14ac:dyDescent="0.25">
      <c r="A366" t="s">
        <v>430</v>
      </c>
    </row>
    <row r="367" spans="1:1" x14ac:dyDescent="0.25">
      <c r="A367" t="s">
        <v>431</v>
      </c>
    </row>
    <row r="368" spans="1:1" x14ac:dyDescent="0.25">
      <c r="A368" t="s">
        <v>432</v>
      </c>
    </row>
    <row r="369" spans="1:1" x14ac:dyDescent="0.25">
      <c r="A369" t="s">
        <v>433</v>
      </c>
    </row>
    <row r="370" spans="1:1" x14ac:dyDescent="0.25">
      <c r="A370" t="s">
        <v>434</v>
      </c>
    </row>
    <row r="371" spans="1:1" x14ac:dyDescent="0.25">
      <c r="A371" t="s">
        <v>435</v>
      </c>
    </row>
    <row r="372" spans="1:1" x14ac:dyDescent="0.25">
      <c r="A372" t="s">
        <v>436</v>
      </c>
    </row>
    <row r="373" spans="1:1" x14ac:dyDescent="0.25">
      <c r="A373" t="s">
        <v>437</v>
      </c>
    </row>
    <row r="374" spans="1:1" x14ac:dyDescent="0.25">
      <c r="A374" t="s">
        <v>438</v>
      </c>
    </row>
    <row r="375" spans="1:1" x14ac:dyDescent="0.25">
      <c r="A375" t="s">
        <v>439</v>
      </c>
    </row>
    <row r="376" spans="1:1" x14ac:dyDescent="0.25">
      <c r="A376" t="s">
        <v>440</v>
      </c>
    </row>
    <row r="377" spans="1:1" x14ac:dyDescent="0.25">
      <c r="A377" t="s">
        <v>441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450</v>
      </c>
    </row>
    <row r="387" spans="1:1" x14ac:dyDescent="0.25">
      <c r="A387" t="s">
        <v>451</v>
      </c>
    </row>
    <row r="388" spans="1:1" x14ac:dyDescent="0.25">
      <c r="A388" t="s">
        <v>452</v>
      </c>
    </row>
    <row r="389" spans="1:1" x14ac:dyDescent="0.25">
      <c r="A389" t="s">
        <v>453</v>
      </c>
    </row>
    <row r="390" spans="1:1" x14ac:dyDescent="0.25">
      <c r="A390" t="s">
        <v>454</v>
      </c>
    </row>
    <row r="391" spans="1:1" x14ac:dyDescent="0.25">
      <c r="A391" t="s">
        <v>455</v>
      </c>
    </row>
    <row r="392" spans="1:1" x14ac:dyDescent="0.25">
      <c r="A392" t="s">
        <v>456</v>
      </c>
    </row>
    <row r="393" spans="1:1" x14ac:dyDescent="0.25">
      <c r="A393" t="s">
        <v>457</v>
      </c>
    </row>
    <row r="394" spans="1:1" x14ac:dyDescent="0.25">
      <c r="A394" t="s">
        <v>458</v>
      </c>
    </row>
    <row r="395" spans="1:1" x14ac:dyDescent="0.25">
      <c r="A395" t="s">
        <v>459</v>
      </c>
    </row>
    <row r="396" spans="1:1" x14ac:dyDescent="0.25">
      <c r="A396" t="s">
        <v>460</v>
      </c>
    </row>
    <row r="397" spans="1:1" x14ac:dyDescent="0.25">
      <c r="A397" t="s">
        <v>461</v>
      </c>
    </row>
    <row r="398" spans="1:1" x14ac:dyDescent="0.25">
      <c r="A398" t="s">
        <v>462</v>
      </c>
    </row>
    <row r="399" spans="1:1" x14ac:dyDescent="0.25">
      <c r="A399" t="s">
        <v>463</v>
      </c>
    </row>
    <row r="400" spans="1:1" x14ac:dyDescent="0.25">
      <c r="A400" t="s">
        <v>464</v>
      </c>
    </row>
    <row r="401" spans="1:1" x14ac:dyDescent="0.25">
      <c r="A401" t="s">
        <v>465</v>
      </c>
    </row>
    <row r="402" spans="1:1" x14ac:dyDescent="0.25">
      <c r="A402" t="s">
        <v>466</v>
      </c>
    </row>
    <row r="403" spans="1:1" x14ac:dyDescent="0.25">
      <c r="A403" t="s">
        <v>467</v>
      </c>
    </row>
    <row r="404" spans="1:1" x14ac:dyDescent="0.25">
      <c r="A404" t="s">
        <v>468</v>
      </c>
    </row>
    <row r="405" spans="1:1" x14ac:dyDescent="0.25">
      <c r="A405" t="s">
        <v>469</v>
      </c>
    </row>
    <row r="406" spans="1:1" x14ac:dyDescent="0.25">
      <c r="A406" t="s">
        <v>470</v>
      </c>
    </row>
    <row r="407" spans="1:1" x14ac:dyDescent="0.25">
      <c r="A407" t="s">
        <v>471</v>
      </c>
    </row>
    <row r="408" spans="1:1" x14ac:dyDescent="0.25">
      <c r="A408" t="s">
        <v>472</v>
      </c>
    </row>
    <row r="409" spans="1:1" x14ac:dyDescent="0.25">
      <c r="A409" t="s">
        <v>473</v>
      </c>
    </row>
    <row r="410" spans="1:1" x14ac:dyDescent="0.25">
      <c r="A410" t="s">
        <v>474</v>
      </c>
    </row>
    <row r="411" spans="1:1" x14ac:dyDescent="0.25">
      <c r="A411" t="s">
        <v>475</v>
      </c>
    </row>
    <row r="412" spans="1:1" x14ac:dyDescent="0.25">
      <c r="A412" t="s">
        <v>476</v>
      </c>
    </row>
    <row r="413" spans="1:1" x14ac:dyDescent="0.25">
      <c r="A413" t="s">
        <v>477</v>
      </c>
    </row>
    <row r="414" spans="1:1" x14ac:dyDescent="0.25">
      <c r="A414" t="s">
        <v>478</v>
      </c>
    </row>
    <row r="415" spans="1:1" x14ac:dyDescent="0.25">
      <c r="A415" t="s">
        <v>479</v>
      </c>
    </row>
    <row r="416" spans="1:1" x14ac:dyDescent="0.25">
      <c r="A416" t="s">
        <v>480</v>
      </c>
    </row>
    <row r="417" spans="1:1" x14ac:dyDescent="0.25">
      <c r="A417" t="s">
        <v>481</v>
      </c>
    </row>
    <row r="418" spans="1:1" x14ac:dyDescent="0.25">
      <c r="A418" t="s">
        <v>482</v>
      </c>
    </row>
    <row r="419" spans="1:1" x14ac:dyDescent="0.25">
      <c r="A419" t="s">
        <v>483</v>
      </c>
    </row>
    <row r="420" spans="1:1" x14ac:dyDescent="0.25">
      <c r="A420" t="s">
        <v>484</v>
      </c>
    </row>
    <row r="421" spans="1:1" x14ac:dyDescent="0.25">
      <c r="A421" t="s">
        <v>485</v>
      </c>
    </row>
    <row r="422" spans="1:1" x14ac:dyDescent="0.25">
      <c r="A422" t="s">
        <v>486</v>
      </c>
    </row>
    <row r="423" spans="1:1" x14ac:dyDescent="0.25">
      <c r="A423" t="s">
        <v>487</v>
      </c>
    </row>
    <row r="424" spans="1:1" x14ac:dyDescent="0.25">
      <c r="A424" t="s">
        <v>488</v>
      </c>
    </row>
    <row r="425" spans="1:1" x14ac:dyDescent="0.25">
      <c r="A425" t="s">
        <v>489</v>
      </c>
    </row>
    <row r="426" spans="1:1" x14ac:dyDescent="0.25">
      <c r="A426" t="s">
        <v>490</v>
      </c>
    </row>
    <row r="427" spans="1:1" x14ac:dyDescent="0.25">
      <c r="A427" t="s">
        <v>491</v>
      </c>
    </row>
    <row r="428" spans="1:1" x14ac:dyDescent="0.25">
      <c r="A428" t="s">
        <v>492</v>
      </c>
    </row>
    <row r="429" spans="1:1" x14ac:dyDescent="0.25">
      <c r="A429" t="s">
        <v>493</v>
      </c>
    </row>
    <row r="430" spans="1:1" x14ac:dyDescent="0.25">
      <c r="A430" t="s">
        <v>494</v>
      </c>
    </row>
    <row r="431" spans="1:1" x14ac:dyDescent="0.25">
      <c r="A431" t="s">
        <v>495</v>
      </c>
    </row>
    <row r="432" spans="1:1" x14ac:dyDescent="0.25">
      <c r="A432" t="s">
        <v>496</v>
      </c>
    </row>
    <row r="433" spans="1:1" x14ac:dyDescent="0.25">
      <c r="A433" t="s">
        <v>497</v>
      </c>
    </row>
    <row r="434" spans="1:1" x14ac:dyDescent="0.25">
      <c r="A434" t="s">
        <v>498</v>
      </c>
    </row>
    <row r="435" spans="1:1" x14ac:dyDescent="0.25">
      <c r="A435" t="s">
        <v>499</v>
      </c>
    </row>
    <row r="436" spans="1:1" x14ac:dyDescent="0.25">
      <c r="A436" t="s">
        <v>500</v>
      </c>
    </row>
    <row r="437" spans="1:1" x14ac:dyDescent="0.25">
      <c r="A437" t="s">
        <v>501</v>
      </c>
    </row>
    <row r="438" spans="1:1" x14ac:dyDescent="0.25">
      <c r="A438" t="s">
        <v>502</v>
      </c>
    </row>
    <row r="439" spans="1:1" x14ac:dyDescent="0.25">
      <c r="A439" t="s">
        <v>503</v>
      </c>
    </row>
    <row r="440" spans="1:1" x14ac:dyDescent="0.25">
      <c r="A440" t="s">
        <v>504</v>
      </c>
    </row>
    <row r="441" spans="1:1" x14ac:dyDescent="0.25">
      <c r="A441" t="s">
        <v>505</v>
      </c>
    </row>
    <row r="442" spans="1:1" x14ac:dyDescent="0.25">
      <c r="A442" t="s">
        <v>506</v>
      </c>
    </row>
    <row r="443" spans="1:1" x14ac:dyDescent="0.25">
      <c r="A443" t="s">
        <v>507</v>
      </c>
    </row>
    <row r="444" spans="1:1" x14ac:dyDescent="0.25">
      <c r="A444" t="s">
        <v>508</v>
      </c>
    </row>
    <row r="445" spans="1:1" x14ac:dyDescent="0.25">
      <c r="A445" t="s">
        <v>509</v>
      </c>
    </row>
    <row r="446" spans="1:1" x14ac:dyDescent="0.25">
      <c r="A446" t="s">
        <v>510</v>
      </c>
    </row>
    <row r="447" spans="1:1" x14ac:dyDescent="0.25">
      <c r="A447" t="s">
        <v>511</v>
      </c>
    </row>
    <row r="448" spans="1:1" x14ac:dyDescent="0.25">
      <c r="A448" t="s">
        <v>512</v>
      </c>
    </row>
    <row r="449" spans="1:1" x14ac:dyDescent="0.25">
      <c r="A449" t="s">
        <v>513</v>
      </c>
    </row>
    <row r="450" spans="1:1" x14ac:dyDescent="0.25">
      <c r="A450" t="s">
        <v>514</v>
      </c>
    </row>
    <row r="451" spans="1:1" x14ac:dyDescent="0.25">
      <c r="A451" t="s">
        <v>515</v>
      </c>
    </row>
    <row r="452" spans="1:1" x14ac:dyDescent="0.25">
      <c r="A452" t="s">
        <v>516</v>
      </c>
    </row>
    <row r="453" spans="1:1" x14ac:dyDescent="0.25">
      <c r="A453" t="s">
        <v>517</v>
      </c>
    </row>
    <row r="454" spans="1:1" x14ac:dyDescent="0.25">
      <c r="A454" t="s">
        <v>518</v>
      </c>
    </row>
    <row r="455" spans="1:1" x14ac:dyDescent="0.25">
      <c r="A455" t="s">
        <v>519</v>
      </c>
    </row>
    <row r="456" spans="1:1" x14ac:dyDescent="0.25">
      <c r="A456" t="s">
        <v>520</v>
      </c>
    </row>
    <row r="457" spans="1:1" x14ac:dyDescent="0.25">
      <c r="A457" t="s">
        <v>521</v>
      </c>
    </row>
    <row r="458" spans="1:1" x14ac:dyDescent="0.25">
      <c r="A458" t="s">
        <v>522</v>
      </c>
    </row>
    <row r="459" spans="1:1" x14ac:dyDescent="0.25">
      <c r="A459" t="s">
        <v>523</v>
      </c>
    </row>
    <row r="460" spans="1:1" x14ac:dyDescent="0.25">
      <c r="A460" t="s">
        <v>524</v>
      </c>
    </row>
    <row r="461" spans="1:1" x14ac:dyDescent="0.25">
      <c r="A461" t="s">
        <v>525</v>
      </c>
    </row>
    <row r="462" spans="1:1" x14ac:dyDescent="0.25">
      <c r="A462" t="s">
        <v>526</v>
      </c>
    </row>
    <row r="463" spans="1:1" x14ac:dyDescent="0.25">
      <c r="A463" t="s">
        <v>527</v>
      </c>
    </row>
    <row r="464" spans="1:1" x14ac:dyDescent="0.25">
      <c r="A464" t="s">
        <v>528</v>
      </c>
    </row>
    <row r="465" spans="1:1" x14ac:dyDescent="0.25">
      <c r="A465" t="s">
        <v>529</v>
      </c>
    </row>
    <row r="466" spans="1:1" x14ac:dyDescent="0.25">
      <c r="A466" t="s">
        <v>530</v>
      </c>
    </row>
    <row r="467" spans="1:1" x14ac:dyDescent="0.25">
      <c r="A467" t="s">
        <v>531</v>
      </c>
    </row>
    <row r="468" spans="1:1" x14ac:dyDescent="0.25">
      <c r="A468" t="s">
        <v>532</v>
      </c>
    </row>
    <row r="469" spans="1:1" x14ac:dyDescent="0.25">
      <c r="A469" t="s">
        <v>533</v>
      </c>
    </row>
    <row r="470" spans="1:1" x14ac:dyDescent="0.25">
      <c r="A470" t="s">
        <v>534</v>
      </c>
    </row>
    <row r="471" spans="1:1" x14ac:dyDescent="0.25">
      <c r="A471" t="s">
        <v>535</v>
      </c>
    </row>
    <row r="472" spans="1:1" x14ac:dyDescent="0.25">
      <c r="A472" t="s">
        <v>536</v>
      </c>
    </row>
    <row r="473" spans="1:1" x14ac:dyDescent="0.25">
      <c r="A473" t="s">
        <v>537</v>
      </c>
    </row>
    <row r="474" spans="1:1" x14ac:dyDescent="0.25">
      <c r="A474" t="s">
        <v>538</v>
      </c>
    </row>
    <row r="475" spans="1:1" x14ac:dyDescent="0.25">
      <c r="A475" t="s">
        <v>539</v>
      </c>
    </row>
    <row r="476" spans="1:1" x14ac:dyDescent="0.25">
      <c r="A476" t="s">
        <v>540</v>
      </c>
    </row>
    <row r="477" spans="1:1" x14ac:dyDescent="0.25">
      <c r="A477" t="s">
        <v>541</v>
      </c>
    </row>
    <row r="478" spans="1:1" x14ac:dyDescent="0.25">
      <c r="A478" t="s">
        <v>542</v>
      </c>
    </row>
    <row r="479" spans="1:1" x14ac:dyDescent="0.25">
      <c r="A479" t="s">
        <v>543</v>
      </c>
    </row>
    <row r="480" spans="1:1" x14ac:dyDescent="0.25">
      <c r="A480" t="s">
        <v>544</v>
      </c>
    </row>
    <row r="481" spans="1:1" x14ac:dyDescent="0.25">
      <c r="A481" t="s">
        <v>545</v>
      </c>
    </row>
    <row r="482" spans="1:1" x14ac:dyDescent="0.25">
      <c r="A482" t="s">
        <v>546</v>
      </c>
    </row>
    <row r="483" spans="1:1" x14ac:dyDescent="0.25">
      <c r="A483" t="s">
        <v>547</v>
      </c>
    </row>
    <row r="484" spans="1:1" x14ac:dyDescent="0.25">
      <c r="A484" t="s">
        <v>548</v>
      </c>
    </row>
    <row r="485" spans="1:1" x14ac:dyDescent="0.25">
      <c r="A485" t="s">
        <v>549</v>
      </c>
    </row>
    <row r="486" spans="1:1" x14ac:dyDescent="0.25">
      <c r="A486" t="s">
        <v>550</v>
      </c>
    </row>
    <row r="487" spans="1:1" x14ac:dyDescent="0.25">
      <c r="A487" t="s">
        <v>551</v>
      </c>
    </row>
    <row r="488" spans="1:1" x14ac:dyDescent="0.25">
      <c r="A488" t="s">
        <v>552</v>
      </c>
    </row>
    <row r="489" spans="1:1" x14ac:dyDescent="0.25">
      <c r="A489" t="s">
        <v>553</v>
      </c>
    </row>
    <row r="490" spans="1:1" x14ac:dyDescent="0.25">
      <c r="A490" t="s">
        <v>554</v>
      </c>
    </row>
    <row r="491" spans="1:1" x14ac:dyDescent="0.25">
      <c r="A491" t="s">
        <v>555</v>
      </c>
    </row>
    <row r="492" spans="1:1" x14ac:dyDescent="0.25">
      <c r="A492" t="s">
        <v>556</v>
      </c>
    </row>
    <row r="493" spans="1:1" x14ac:dyDescent="0.25">
      <c r="A493" t="s">
        <v>557</v>
      </c>
    </row>
    <row r="494" spans="1:1" x14ac:dyDescent="0.25">
      <c r="A494" t="s">
        <v>558</v>
      </c>
    </row>
    <row r="495" spans="1:1" x14ac:dyDescent="0.25">
      <c r="A495" t="s">
        <v>559</v>
      </c>
    </row>
    <row r="496" spans="1:1" x14ac:dyDescent="0.25">
      <c r="A496" t="s">
        <v>560</v>
      </c>
    </row>
    <row r="497" spans="1:1" x14ac:dyDescent="0.25">
      <c r="A497" t="s">
        <v>561</v>
      </c>
    </row>
    <row r="498" spans="1:1" x14ac:dyDescent="0.25">
      <c r="A498" t="s">
        <v>562</v>
      </c>
    </row>
    <row r="499" spans="1:1" x14ac:dyDescent="0.25">
      <c r="A499" t="s">
        <v>563</v>
      </c>
    </row>
    <row r="500" spans="1:1" x14ac:dyDescent="0.25">
      <c r="A500" t="s">
        <v>564</v>
      </c>
    </row>
    <row r="501" spans="1:1" x14ac:dyDescent="0.25">
      <c r="A501" t="s">
        <v>565</v>
      </c>
    </row>
    <row r="502" spans="1:1" x14ac:dyDescent="0.25">
      <c r="A502" t="s">
        <v>566</v>
      </c>
    </row>
    <row r="503" spans="1:1" x14ac:dyDescent="0.25">
      <c r="A503" t="s">
        <v>567</v>
      </c>
    </row>
    <row r="504" spans="1:1" x14ac:dyDescent="0.25">
      <c r="A504" t="s">
        <v>568</v>
      </c>
    </row>
    <row r="505" spans="1:1" x14ac:dyDescent="0.25">
      <c r="A505" t="s">
        <v>569</v>
      </c>
    </row>
    <row r="506" spans="1:1" x14ac:dyDescent="0.25">
      <c r="A506" t="s">
        <v>570</v>
      </c>
    </row>
    <row r="507" spans="1:1" x14ac:dyDescent="0.25">
      <c r="A507" t="s">
        <v>571</v>
      </c>
    </row>
    <row r="508" spans="1:1" x14ac:dyDescent="0.25">
      <c r="A508" t="s">
        <v>572</v>
      </c>
    </row>
    <row r="509" spans="1:1" x14ac:dyDescent="0.25">
      <c r="A509" t="s">
        <v>573</v>
      </c>
    </row>
    <row r="510" spans="1:1" x14ac:dyDescent="0.25">
      <c r="A510" t="s">
        <v>574</v>
      </c>
    </row>
    <row r="511" spans="1:1" x14ac:dyDescent="0.25">
      <c r="A511" t="s">
        <v>575</v>
      </c>
    </row>
    <row r="512" spans="1:1" x14ac:dyDescent="0.25">
      <c r="A512" t="s">
        <v>576</v>
      </c>
    </row>
    <row r="513" spans="1:1" x14ac:dyDescent="0.25">
      <c r="A513" t="s">
        <v>577</v>
      </c>
    </row>
    <row r="514" spans="1:1" x14ac:dyDescent="0.25">
      <c r="A514" t="s">
        <v>578</v>
      </c>
    </row>
    <row r="515" spans="1:1" x14ac:dyDescent="0.25">
      <c r="A515" t="s">
        <v>579</v>
      </c>
    </row>
    <row r="516" spans="1:1" x14ac:dyDescent="0.25">
      <c r="A516" t="s">
        <v>580</v>
      </c>
    </row>
    <row r="517" spans="1:1" x14ac:dyDescent="0.25">
      <c r="A517" t="s">
        <v>581</v>
      </c>
    </row>
    <row r="518" spans="1:1" x14ac:dyDescent="0.25">
      <c r="A518" t="s">
        <v>582</v>
      </c>
    </row>
    <row r="519" spans="1:1" x14ac:dyDescent="0.25">
      <c r="A519" t="s">
        <v>583</v>
      </c>
    </row>
    <row r="520" spans="1:1" x14ac:dyDescent="0.25">
      <c r="A520" t="s">
        <v>584</v>
      </c>
    </row>
    <row r="521" spans="1:1" x14ac:dyDescent="0.25">
      <c r="A521" t="s">
        <v>585</v>
      </c>
    </row>
    <row r="522" spans="1:1" x14ac:dyDescent="0.25">
      <c r="A522" t="s">
        <v>586</v>
      </c>
    </row>
    <row r="523" spans="1:1" x14ac:dyDescent="0.25">
      <c r="A523" t="s">
        <v>587</v>
      </c>
    </row>
    <row r="524" spans="1:1" x14ac:dyDescent="0.25">
      <c r="A524" t="s">
        <v>588</v>
      </c>
    </row>
    <row r="525" spans="1:1" x14ac:dyDescent="0.25">
      <c r="A525" t="s">
        <v>589</v>
      </c>
    </row>
    <row r="526" spans="1:1" x14ac:dyDescent="0.25">
      <c r="A526" t="s">
        <v>590</v>
      </c>
    </row>
    <row r="527" spans="1:1" x14ac:dyDescent="0.25">
      <c r="A527" t="s">
        <v>591</v>
      </c>
    </row>
    <row r="528" spans="1:1" x14ac:dyDescent="0.25">
      <c r="A528" t="s">
        <v>592</v>
      </c>
    </row>
    <row r="529" spans="1:1" x14ac:dyDescent="0.25">
      <c r="A529" t="s">
        <v>593</v>
      </c>
    </row>
    <row r="530" spans="1:1" x14ac:dyDescent="0.25">
      <c r="A530" t="s">
        <v>594</v>
      </c>
    </row>
    <row r="531" spans="1:1" x14ac:dyDescent="0.25">
      <c r="A531" t="s">
        <v>595</v>
      </c>
    </row>
    <row r="532" spans="1:1" x14ac:dyDescent="0.25">
      <c r="A532" t="s">
        <v>596</v>
      </c>
    </row>
    <row r="533" spans="1:1" x14ac:dyDescent="0.25">
      <c r="A533" t="s">
        <v>597</v>
      </c>
    </row>
    <row r="534" spans="1:1" x14ac:dyDescent="0.25">
      <c r="A534" t="s">
        <v>598</v>
      </c>
    </row>
    <row r="535" spans="1:1" x14ac:dyDescent="0.25">
      <c r="A535" t="s">
        <v>599</v>
      </c>
    </row>
    <row r="536" spans="1:1" x14ac:dyDescent="0.25">
      <c r="A536" t="s">
        <v>600</v>
      </c>
    </row>
    <row r="537" spans="1:1" x14ac:dyDescent="0.25">
      <c r="A537" t="s">
        <v>601</v>
      </c>
    </row>
    <row r="538" spans="1:1" x14ac:dyDescent="0.25">
      <c r="A538" t="s">
        <v>602</v>
      </c>
    </row>
    <row r="539" spans="1:1" x14ac:dyDescent="0.25">
      <c r="A539" t="s">
        <v>603</v>
      </c>
    </row>
    <row r="540" spans="1:1" x14ac:dyDescent="0.25">
      <c r="A540" t="s">
        <v>604</v>
      </c>
    </row>
    <row r="541" spans="1:1" x14ac:dyDescent="0.25">
      <c r="A541" t="s">
        <v>605</v>
      </c>
    </row>
    <row r="542" spans="1:1" x14ac:dyDescent="0.25">
      <c r="A542" t="s">
        <v>606</v>
      </c>
    </row>
    <row r="543" spans="1:1" x14ac:dyDescent="0.25">
      <c r="A543" t="s">
        <v>607</v>
      </c>
    </row>
    <row r="544" spans="1:1" x14ac:dyDescent="0.25">
      <c r="A544" t="s">
        <v>608</v>
      </c>
    </row>
    <row r="545" spans="1:1" x14ac:dyDescent="0.25">
      <c r="A545" t="s">
        <v>609</v>
      </c>
    </row>
    <row r="546" spans="1:1" x14ac:dyDescent="0.25">
      <c r="A546" t="s">
        <v>610</v>
      </c>
    </row>
    <row r="547" spans="1:1" x14ac:dyDescent="0.25">
      <c r="A547" t="s">
        <v>611</v>
      </c>
    </row>
    <row r="548" spans="1:1" x14ac:dyDescent="0.25">
      <c r="A548" t="s">
        <v>612</v>
      </c>
    </row>
    <row r="549" spans="1:1" x14ac:dyDescent="0.25">
      <c r="A549" t="s">
        <v>613</v>
      </c>
    </row>
    <row r="550" spans="1:1" x14ac:dyDescent="0.25">
      <c r="A550" t="s">
        <v>614</v>
      </c>
    </row>
    <row r="551" spans="1:1" x14ac:dyDescent="0.25">
      <c r="A551" t="s">
        <v>615</v>
      </c>
    </row>
    <row r="552" spans="1:1" x14ac:dyDescent="0.25">
      <c r="A552" t="s">
        <v>616</v>
      </c>
    </row>
    <row r="553" spans="1:1" x14ac:dyDescent="0.25">
      <c r="A553" t="s">
        <v>617</v>
      </c>
    </row>
    <row r="554" spans="1:1" x14ac:dyDescent="0.25">
      <c r="A554" t="s">
        <v>618</v>
      </c>
    </row>
    <row r="555" spans="1:1" x14ac:dyDescent="0.25">
      <c r="A555" t="s">
        <v>619</v>
      </c>
    </row>
    <row r="556" spans="1:1" x14ac:dyDescent="0.25">
      <c r="A556" t="s">
        <v>620</v>
      </c>
    </row>
    <row r="557" spans="1:1" x14ac:dyDescent="0.25">
      <c r="A557" t="s">
        <v>621</v>
      </c>
    </row>
    <row r="558" spans="1:1" x14ac:dyDescent="0.25">
      <c r="A558" t="s">
        <v>622</v>
      </c>
    </row>
    <row r="559" spans="1:1" x14ac:dyDescent="0.25">
      <c r="A559" t="s">
        <v>623</v>
      </c>
    </row>
    <row r="560" spans="1:1" x14ac:dyDescent="0.25">
      <c r="A560" t="s">
        <v>624</v>
      </c>
    </row>
    <row r="561" spans="1:1" x14ac:dyDescent="0.25">
      <c r="A561" t="s">
        <v>625</v>
      </c>
    </row>
    <row r="562" spans="1:1" x14ac:dyDescent="0.25">
      <c r="A562" t="s">
        <v>626</v>
      </c>
    </row>
    <row r="563" spans="1:1" x14ac:dyDescent="0.25">
      <c r="A563" t="s">
        <v>627</v>
      </c>
    </row>
    <row r="564" spans="1:1" x14ac:dyDescent="0.25">
      <c r="A564" t="s">
        <v>628</v>
      </c>
    </row>
    <row r="565" spans="1:1" x14ac:dyDescent="0.25">
      <c r="A565" t="s">
        <v>629</v>
      </c>
    </row>
    <row r="566" spans="1:1" x14ac:dyDescent="0.25">
      <c r="A566" t="s">
        <v>630</v>
      </c>
    </row>
    <row r="567" spans="1:1" x14ac:dyDescent="0.25">
      <c r="A567" t="s">
        <v>631</v>
      </c>
    </row>
    <row r="568" spans="1:1" x14ac:dyDescent="0.25">
      <c r="A568" t="s">
        <v>632</v>
      </c>
    </row>
    <row r="569" spans="1:1" x14ac:dyDescent="0.25">
      <c r="A569" t="s">
        <v>633</v>
      </c>
    </row>
    <row r="570" spans="1:1" x14ac:dyDescent="0.25">
      <c r="A570" t="s">
        <v>634</v>
      </c>
    </row>
    <row r="571" spans="1:1" x14ac:dyDescent="0.25">
      <c r="A571" t="s">
        <v>635</v>
      </c>
    </row>
    <row r="572" spans="1:1" x14ac:dyDescent="0.25">
      <c r="A572" t="s">
        <v>636</v>
      </c>
    </row>
    <row r="573" spans="1:1" x14ac:dyDescent="0.25">
      <c r="A573" t="s">
        <v>637</v>
      </c>
    </row>
    <row r="574" spans="1:1" x14ac:dyDescent="0.25">
      <c r="A574" t="s">
        <v>638</v>
      </c>
    </row>
    <row r="575" spans="1:1" x14ac:dyDescent="0.25">
      <c r="A575" t="s">
        <v>639</v>
      </c>
    </row>
    <row r="576" spans="1:1" x14ac:dyDescent="0.25">
      <c r="A576" t="s">
        <v>640</v>
      </c>
    </row>
    <row r="577" spans="1:1" x14ac:dyDescent="0.25">
      <c r="A577" t="s">
        <v>641</v>
      </c>
    </row>
    <row r="578" spans="1:1" x14ac:dyDescent="0.25">
      <c r="A578" t="s">
        <v>642</v>
      </c>
    </row>
    <row r="579" spans="1:1" x14ac:dyDescent="0.25">
      <c r="A579" t="s">
        <v>643</v>
      </c>
    </row>
    <row r="580" spans="1:1" x14ac:dyDescent="0.25">
      <c r="A580" t="s">
        <v>644</v>
      </c>
    </row>
    <row r="581" spans="1:1" x14ac:dyDescent="0.25">
      <c r="A581" t="s">
        <v>645</v>
      </c>
    </row>
    <row r="582" spans="1:1" x14ac:dyDescent="0.25">
      <c r="A582" t="s">
        <v>646</v>
      </c>
    </row>
    <row r="583" spans="1:1" x14ac:dyDescent="0.25">
      <c r="A583" t="s">
        <v>647</v>
      </c>
    </row>
    <row r="584" spans="1:1" x14ac:dyDescent="0.25">
      <c r="A584" t="s">
        <v>648</v>
      </c>
    </row>
    <row r="585" spans="1:1" x14ac:dyDescent="0.25">
      <c r="A585" t="s">
        <v>649</v>
      </c>
    </row>
    <row r="586" spans="1:1" x14ac:dyDescent="0.25">
      <c r="A586" t="s">
        <v>650</v>
      </c>
    </row>
    <row r="587" spans="1:1" x14ac:dyDescent="0.25">
      <c r="A587" t="s">
        <v>651</v>
      </c>
    </row>
    <row r="588" spans="1:1" x14ac:dyDescent="0.25">
      <c r="A588" t="s">
        <v>652</v>
      </c>
    </row>
    <row r="589" spans="1:1" x14ac:dyDescent="0.25">
      <c r="A589" t="s">
        <v>653</v>
      </c>
    </row>
    <row r="590" spans="1:1" x14ac:dyDescent="0.25">
      <c r="A590" t="s">
        <v>654</v>
      </c>
    </row>
    <row r="591" spans="1:1" x14ac:dyDescent="0.25">
      <c r="A591" t="s">
        <v>655</v>
      </c>
    </row>
    <row r="592" spans="1:1" x14ac:dyDescent="0.25">
      <c r="A592" t="s">
        <v>656</v>
      </c>
    </row>
    <row r="593" spans="1:1" x14ac:dyDescent="0.25">
      <c r="A593" t="s">
        <v>657</v>
      </c>
    </row>
    <row r="594" spans="1:1" x14ac:dyDescent="0.25">
      <c r="A594" t="s">
        <v>658</v>
      </c>
    </row>
    <row r="595" spans="1:1" x14ac:dyDescent="0.25">
      <c r="A595" t="s">
        <v>659</v>
      </c>
    </row>
    <row r="596" spans="1:1" x14ac:dyDescent="0.25">
      <c r="A596" t="s">
        <v>660</v>
      </c>
    </row>
    <row r="597" spans="1:1" x14ac:dyDescent="0.25">
      <c r="A597" t="s">
        <v>661</v>
      </c>
    </row>
    <row r="598" spans="1:1" x14ac:dyDescent="0.25">
      <c r="A598" t="s">
        <v>662</v>
      </c>
    </row>
    <row r="599" spans="1:1" x14ac:dyDescent="0.25">
      <c r="A599" t="s">
        <v>663</v>
      </c>
    </row>
    <row r="600" spans="1:1" x14ac:dyDescent="0.25">
      <c r="A600" t="s">
        <v>664</v>
      </c>
    </row>
    <row r="601" spans="1:1" x14ac:dyDescent="0.25">
      <c r="A601" t="s">
        <v>665</v>
      </c>
    </row>
    <row r="602" spans="1:1" x14ac:dyDescent="0.25">
      <c r="A602" t="s">
        <v>666</v>
      </c>
    </row>
    <row r="603" spans="1:1" x14ac:dyDescent="0.25">
      <c r="A603" t="s">
        <v>667</v>
      </c>
    </row>
    <row r="604" spans="1:1" x14ac:dyDescent="0.25">
      <c r="A604" t="s">
        <v>668</v>
      </c>
    </row>
    <row r="605" spans="1:1" x14ac:dyDescent="0.25">
      <c r="A605" t="s">
        <v>669</v>
      </c>
    </row>
    <row r="606" spans="1:1" x14ac:dyDescent="0.25">
      <c r="A606" t="s">
        <v>670</v>
      </c>
    </row>
    <row r="607" spans="1:1" x14ac:dyDescent="0.25">
      <c r="A607" t="s">
        <v>671</v>
      </c>
    </row>
    <row r="608" spans="1:1" x14ac:dyDescent="0.25">
      <c r="A608" t="s">
        <v>672</v>
      </c>
    </row>
    <row r="609" spans="1:1" x14ac:dyDescent="0.25">
      <c r="A609" t="s">
        <v>673</v>
      </c>
    </row>
    <row r="610" spans="1:1" x14ac:dyDescent="0.25">
      <c r="A610" t="s">
        <v>674</v>
      </c>
    </row>
    <row r="611" spans="1:1" x14ac:dyDescent="0.25">
      <c r="A611" t="s">
        <v>675</v>
      </c>
    </row>
    <row r="612" spans="1:1" x14ac:dyDescent="0.25">
      <c r="A612" t="s">
        <v>676</v>
      </c>
    </row>
    <row r="613" spans="1:1" x14ac:dyDescent="0.25">
      <c r="A613" t="s">
        <v>677</v>
      </c>
    </row>
    <row r="614" spans="1:1" x14ac:dyDescent="0.25">
      <c r="A614" t="s">
        <v>678</v>
      </c>
    </row>
    <row r="615" spans="1:1" x14ac:dyDescent="0.25">
      <c r="A615" t="s">
        <v>679</v>
      </c>
    </row>
    <row r="616" spans="1:1" x14ac:dyDescent="0.25">
      <c r="A616" t="s">
        <v>680</v>
      </c>
    </row>
    <row r="617" spans="1:1" x14ac:dyDescent="0.25">
      <c r="A617" t="s">
        <v>681</v>
      </c>
    </row>
    <row r="618" spans="1:1" x14ac:dyDescent="0.25">
      <c r="A618" t="s">
        <v>682</v>
      </c>
    </row>
    <row r="619" spans="1:1" x14ac:dyDescent="0.25">
      <c r="A619" t="s">
        <v>683</v>
      </c>
    </row>
    <row r="620" spans="1:1" x14ac:dyDescent="0.25">
      <c r="A620" t="s">
        <v>684</v>
      </c>
    </row>
    <row r="621" spans="1:1" x14ac:dyDescent="0.25">
      <c r="A621" t="s">
        <v>685</v>
      </c>
    </row>
    <row r="622" spans="1:1" x14ac:dyDescent="0.25">
      <c r="A622" t="s">
        <v>686</v>
      </c>
    </row>
    <row r="623" spans="1:1" x14ac:dyDescent="0.25">
      <c r="A623" t="s">
        <v>687</v>
      </c>
    </row>
    <row r="624" spans="1:1" x14ac:dyDescent="0.25">
      <c r="A624" t="s">
        <v>688</v>
      </c>
    </row>
    <row r="625" spans="1:1" x14ac:dyDescent="0.25">
      <c r="A625" t="s">
        <v>689</v>
      </c>
    </row>
    <row r="626" spans="1:1" x14ac:dyDescent="0.25">
      <c r="A626" t="s">
        <v>690</v>
      </c>
    </row>
    <row r="627" spans="1:1" x14ac:dyDescent="0.25">
      <c r="A627" t="s">
        <v>691</v>
      </c>
    </row>
    <row r="628" spans="1:1" x14ac:dyDescent="0.25">
      <c r="A628" t="s">
        <v>692</v>
      </c>
    </row>
    <row r="629" spans="1:1" x14ac:dyDescent="0.25">
      <c r="A629" t="s">
        <v>693</v>
      </c>
    </row>
    <row r="630" spans="1:1" x14ac:dyDescent="0.25">
      <c r="A630" t="s">
        <v>694</v>
      </c>
    </row>
    <row r="631" spans="1:1" x14ac:dyDescent="0.25">
      <c r="A631" t="s">
        <v>695</v>
      </c>
    </row>
    <row r="632" spans="1:1" x14ac:dyDescent="0.25">
      <c r="A632" t="s">
        <v>696</v>
      </c>
    </row>
    <row r="633" spans="1:1" x14ac:dyDescent="0.25">
      <c r="A633" t="s">
        <v>697</v>
      </c>
    </row>
    <row r="634" spans="1:1" x14ac:dyDescent="0.25">
      <c r="A634" t="s">
        <v>698</v>
      </c>
    </row>
    <row r="635" spans="1:1" x14ac:dyDescent="0.25">
      <c r="A635" t="s">
        <v>699</v>
      </c>
    </row>
    <row r="636" spans="1:1" x14ac:dyDescent="0.25">
      <c r="A636" t="s">
        <v>700</v>
      </c>
    </row>
    <row r="637" spans="1:1" x14ac:dyDescent="0.25">
      <c r="A637" t="s">
        <v>701</v>
      </c>
    </row>
    <row r="638" spans="1:1" x14ac:dyDescent="0.25">
      <c r="A638" t="s">
        <v>702</v>
      </c>
    </row>
    <row r="639" spans="1:1" x14ac:dyDescent="0.25">
      <c r="A639" t="s">
        <v>703</v>
      </c>
    </row>
    <row r="640" spans="1:1" x14ac:dyDescent="0.25">
      <c r="A640" t="s">
        <v>704</v>
      </c>
    </row>
    <row r="641" spans="1:1" x14ac:dyDescent="0.25">
      <c r="A641" t="s">
        <v>705</v>
      </c>
    </row>
    <row r="642" spans="1:1" x14ac:dyDescent="0.25">
      <c r="A642" t="s">
        <v>706</v>
      </c>
    </row>
    <row r="643" spans="1:1" x14ac:dyDescent="0.25">
      <c r="A643" t="s">
        <v>707</v>
      </c>
    </row>
    <row r="644" spans="1:1" x14ac:dyDescent="0.25">
      <c r="A644" t="s">
        <v>708</v>
      </c>
    </row>
    <row r="645" spans="1:1" x14ac:dyDescent="0.25">
      <c r="A645" t="s">
        <v>709</v>
      </c>
    </row>
    <row r="646" spans="1:1" x14ac:dyDescent="0.25">
      <c r="A646" t="s">
        <v>710</v>
      </c>
    </row>
    <row r="647" spans="1:1" x14ac:dyDescent="0.25">
      <c r="A647" t="s">
        <v>711</v>
      </c>
    </row>
    <row r="648" spans="1:1" x14ac:dyDescent="0.25">
      <c r="A648" t="s">
        <v>712</v>
      </c>
    </row>
    <row r="649" spans="1:1" x14ac:dyDescent="0.25">
      <c r="A649" t="s">
        <v>713</v>
      </c>
    </row>
    <row r="650" spans="1:1" x14ac:dyDescent="0.25">
      <c r="A650" t="s">
        <v>714</v>
      </c>
    </row>
    <row r="651" spans="1:1" x14ac:dyDescent="0.25">
      <c r="A651" t="s">
        <v>715</v>
      </c>
    </row>
    <row r="652" spans="1:1" x14ac:dyDescent="0.25">
      <c r="A652" t="s">
        <v>716</v>
      </c>
    </row>
    <row r="653" spans="1:1" x14ac:dyDescent="0.25">
      <c r="A653" t="s">
        <v>717</v>
      </c>
    </row>
    <row r="654" spans="1:1" x14ac:dyDescent="0.25">
      <c r="A654" t="s">
        <v>718</v>
      </c>
    </row>
    <row r="655" spans="1:1" x14ac:dyDescent="0.25">
      <c r="A655" t="s">
        <v>719</v>
      </c>
    </row>
    <row r="656" spans="1:1" x14ac:dyDescent="0.25">
      <c r="A656" t="s">
        <v>720</v>
      </c>
    </row>
    <row r="657" spans="1:1" x14ac:dyDescent="0.25">
      <c r="A657" t="s">
        <v>721</v>
      </c>
    </row>
    <row r="658" spans="1:1" x14ac:dyDescent="0.25">
      <c r="A658" t="s">
        <v>722</v>
      </c>
    </row>
    <row r="659" spans="1:1" x14ac:dyDescent="0.25">
      <c r="A659" t="s">
        <v>723</v>
      </c>
    </row>
    <row r="660" spans="1:1" x14ac:dyDescent="0.25">
      <c r="A660" t="s">
        <v>724</v>
      </c>
    </row>
    <row r="661" spans="1:1" x14ac:dyDescent="0.25">
      <c r="A661" t="s">
        <v>725</v>
      </c>
    </row>
    <row r="662" spans="1:1" x14ac:dyDescent="0.25">
      <c r="A662" t="s">
        <v>726</v>
      </c>
    </row>
    <row r="663" spans="1:1" x14ac:dyDescent="0.25">
      <c r="A663" t="s">
        <v>727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733</v>
      </c>
    </row>
    <row r="670" spans="1:1" x14ac:dyDescent="0.25">
      <c r="A670" t="s">
        <v>734</v>
      </c>
    </row>
    <row r="671" spans="1:1" x14ac:dyDescent="0.25">
      <c r="A671" t="s">
        <v>735</v>
      </c>
    </row>
    <row r="672" spans="1:1" x14ac:dyDescent="0.25">
      <c r="A672" t="s">
        <v>736</v>
      </c>
    </row>
    <row r="673" spans="1:1" x14ac:dyDescent="0.25">
      <c r="A673" t="s">
        <v>737</v>
      </c>
    </row>
    <row r="674" spans="1:1" x14ac:dyDescent="0.25">
      <c r="A674" t="s">
        <v>738</v>
      </c>
    </row>
    <row r="675" spans="1:1" x14ac:dyDescent="0.25">
      <c r="A675" t="s">
        <v>739</v>
      </c>
    </row>
    <row r="676" spans="1:1" x14ac:dyDescent="0.25">
      <c r="A676" t="s">
        <v>740</v>
      </c>
    </row>
    <row r="677" spans="1:1" x14ac:dyDescent="0.25">
      <c r="A677" t="s">
        <v>741</v>
      </c>
    </row>
    <row r="678" spans="1:1" x14ac:dyDescent="0.25">
      <c r="A678" t="s">
        <v>742</v>
      </c>
    </row>
    <row r="679" spans="1:1" x14ac:dyDescent="0.25">
      <c r="A679" t="s">
        <v>743</v>
      </c>
    </row>
    <row r="680" spans="1:1" x14ac:dyDescent="0.25">
      <c r="A680" t="s">
        <v>744</v>
      </c>
    </row>
    <row r="681" spans="1:1" x14ac:dyDescent="0.25">
      <c r="A681" t="s">
        <v>745</v>
      </c>
    </row>
    <row r="682" spans="1:1" x14ac:dyDescent="0.25">
      <c r="A682" t="s">
        <v>746</v>
      </c>
    </row>
    <row r="683" spans="1:1" x14ac:dyDescent="0.25">
      <c r="A683" t="s">
        <v>747</v>
      </c>
    </row>
    <row r="684" spans="1:1" x14ac:dyDescent="0.25">
      <c r="A684" t="s">
        <v>748</v>
      </c>
    </row>
    <row r="685" spans="1:1" x14ac:dyDescent="0.25">
      <c r="A685" t="s">
        <v>749</v>
      </c>
    </row>
    <row r="686" spans="1:1" x14ac:dyDescent="0.25">
      <c r="A686" t="s">
        <v>750</v>
      </c>
    </row>
    <row r="687" spans="1:1" x14ac:dyDescent="0.25">
      <c r="A687" t="s">
        <v>751</v>
      </c>
    </row>
    <row r="688" spans="1:1" x14ac:dyDescent="0.25">
      <c r="A688" t="s">
        <v>752</v>
      </c>
    </row>
    <row r="689" spans="1:1" x14ac:dyDescent="0.25">
      <c r="A689" t="s">
        <v>753</v>
      </c>
    </row>
    <row r="690" spans="1:1" x14ac:dyDescent="0.25">
      <c r="A690" t="s">
        <v>754</v>
      </c>
    </row>
    <row r="691" spans="1:1" x14ac:dyDescent="0.25">
      <c r="A691" t="s">
        <v>755</v>
      </c>
    </row>
    <row r="692" spans="1:1" x14ac:dyDescent="0.25">
      <c r="A692" t="s">
        <v>756</v>
      </c>
    </row>
    <row r="693" spans="1:1" x14ac:dyDescent="0.25">
      <c r="A693" t="s">
        <v>757</v>
      </c>
    </row>
    <row r="694" spans="1:1" x14ac:dyDescent="0.25">
      <c r="A694" t="s">
        <v>758</v>
      </c>
    </row>
    <row r="695" spans="1:1" x14ac:dyDescent="0.25">
      <c r="A695" t="s">
        <v>759</v>
      </c>
    </row>
    <row r="696" spans="1:1" x14ac:dyDescent="0.25">
      <c r="A696" t="s">
        <v>760</v>
      </c>
    </row>
    <row r="697" spans="1:1" x14ac:dyDescent="0.25">
      <c r="A697" t="s">
        <v>761</v>
      </c>
    </row>
    <row r="698" spans="1:1" x14ac:dyDescent="0.25">
      <c r="A698" t="s">
        <v>762</v>
      </c>
    </row>
    <row r="699" spans="1:1" x14ac:dyDescent="0.25">
      <c r="A699" t="s">
        <v>763</v>
      </c>
    </row>
    <row r="700" spans="1:1" x14ac:dyDescent="0.25">
      <c r="A700" t="s">
        <v>764</v>
      </c>
    </row>
    <row r="701" spans="1:1" x14ac:dyDescent="0.25">
      <c r="A701" t="s">
        <v>765</v>
      </c>
    </row>
    <row r="702" spans="1:1" x14ac:dyDescent="0.25">
      <c r="A702" t="s">
        <v>766</v>
      </c>
    </row>
    <row r="703" spans="1:1" x14ac:dyDescent="0.25">
      <c r="A703" t="s">
        <v>767</v>
      </c>
    </row>
    <row r="704" spans="1:1" x14ac:dyDescent="0.25">
      <c r="A704" t="s">
        <v>768</v>
      </c>
    </row>
    <row r="705" spans="1:1" x14ac:dyDescent="0.25">
      <c r="A705" t="s">
        <v>769</v>
      </c>
    </row>
    <row r="706" spans="1:1" x14ac:dyDescent="0.25">
      <c r="A706" t="s">
        <v>770</v>
      </c>
    </row>
    <row r="707" spans="1:1" x14ac:dyDescent="0.25">
      <c r="A707" t="s">
        <v>771</v>
      </c>
    </row>
    <row r="708" spans="1:1" x14ac:dyDescent="0.25">
      <c r="A708" t="s">
        <v>772</v>
      </c>
    </row>
    <row r="709" spans="1:1" x14ac:dyDescent="0.25">
      <c r="A709" t="s">
        <v>773</v>
      </c>
    </row>
    <row r="710" spans="1:1" x14ac:dyDescent="0.25">
      <c r="A710" t="s">
        <v>774</v>
      </c>
    </row>
    <row r="711" spans="1:1" x14ac:dyDescent="0.25">
      <c r="A711" t="s">
        <v>775</v>
      </c>
    </row>
    <row r="712" spans="1:1" x14ac:dyDescent="0.25">
      <c r="A712" t="s">
        <v>776</v>
      </c>
    </row>
    <row r="713" spans="1:1" x14ac:dyDescent="0.25">
      <c r="A713" t="s">
        <v>777</v>
      </c>
    </row>
    <row r="714" spans="1:1" x14ac:dyDescent="0.25">
      <c r="A714" t="s">
        <v>778</v>
      </c>
    </row>
    <row r="715" spans="1:1" x14ac:dyDescent="0.25">
      <c r="A715" t="s">
        <v>779</v>
      </c>
    </row>
    <row r="716" spans="1:1" x14ac:dyDescent="0.25">
      <c r="A716" t="s">
        <v>780</v>
      </c>
    </row>
    <row r="717" spans="1:1" x14ac:dyDescent="0.25">
      <c r="A717" t="s">
        <v>781</v>
      </c>
    </row>
    <row r="718" spans="1:1" x14ac:dyDescent="0.25">
      <c r="A718" t="s">
        <v>782</v>
      </c>
    </row>
    <row r="719" spans="1:1" x14ac:dyDescent="0.25">
      <c r="A719" t="s">
        <v>783</v>
      </c>
    </row>
    <row r="720" spans="1:1" x14ac:dyDescent="0.25">
      <c r="A720" t="s">
        <v>784</v>
      </c>
    </row>
    <row r="721" spans="1:1" x14ac:dyDescent="0.25">
      <c r="A721" t="s">
        <v>785</v>
      </c>
    </row>
    <row r="722" spans="1:1" x14ac:dyDescent="0.25">
      <c r="A722" t="s">
        <v>786</v>
      </c>
    </row>
    <row r="723" spans="1:1" x14ac:dyDescent="0.25">
      <c r="A723" t="s">
        <v>787</v>
      </c>
    </row>
    <row r="724" spans="1:1" x14ac:dyDescent="0.25">
      <c r="A724" t="s">
        <v>788</v>
      </c>
    </row>
    <row r="725" spans="1:1" x14ac:dyDescent="0.25">
      <c r="A725" t="s">
        <v>789</v>
      </c>
    </row>
    <row r="726" spans="1:1" x14ac:dyDescent="0.25">
      <c r="A726" t="s">
        <v>790</v>
      </c>
    </row>
    <row r="727" spans="1:1" x14ac:dyDescent="0.25">
      <c r="A727" t="s">
        <v>791</v>
      </c>
    </row>
    <row r="728" spans="1:1" x14ac:dyDescent="0.25">
      <c r="A728" t="s">
        <v>792</v>
      </c>
    </row>
    <row r="729" spans="1:1" x14ac:dyDescent="0.25">
      <c r="A729" t="s">
        <v>793</v>
      </c>
    </row>
    <row r="730" spans="1:1" x14ac:dyDescent="0.25">
      <c r="A730" t="s">
        <v>794</v>
      </c>
    </row>
    <row r="731" spans="1:1" x14ac:dyDescent="0.25">
      <c r="A731" t="s">
        <v>795</v>
      </c>
    </row>
    <row r="732" spans="1:1" x14ac:dyDescent="0.25">
      <c r="A732" t="s">
        <v>796</v>
      </c>
    </row>
    <row r="733" spans="1:1" x14ac:dyDescent="0.25">
      <c r="A733" t="s">
        <v>797</v>
      </c>
    </row>
    <row r="734" spans="1:1" x14ac:dyDescent="0.25">
      <c r="A734" t="s">
        <v>798</v>
      </c>
    </row>
    <row r="735" spans="1:1" x14ac:dyDescent="0.25">
      <c r="A735" t="s">
        <v>799</v>
      </c>
    </row>
    <row r="736" spans="1:1" x14ac:dyDescent="0.25">
      <c r="A736" t="s">
        <v>800</v>
      </c>
    </row>
    <row r="737" spans="1:1" x14ac:dyDescent="0.25">
      <c r="A737" t="s">
        <v>801</v>
      </c>
    </row>
    <row r="738" spans="1:1" x14ac:dyDescent="0.25">
      <c r="A738" t="s">
        <v>802</v>
      </c>
    </row>
    <row r="739" spans="1:1" x14ac:dyDescent="0.25">
      <c r="A739" t="s">
        <v>803</v>
      </c>
    </row>
    <row r="740" spans="1:1" x14ac:dyDescent="0.25">
      <c r="A740" t="s">
        <v>804</v>
      </c>
    </row>
    <row r="741" spans="1:1" x14ac:dyDescent="0.25">
      <c r="A741" t="s">
        <v>805</v>
      </c>
    </row>
    <row r="742" spans="1:1" x14ac:dyDescent="0.25">
      <c r="A742" t="s">
        <v>806</v>
      </c>
    </row>
    <row r="743" spans="1:1" x14ac:dyDescent="0.25">
      <c r="A743" t="s">
        <v>807</v>
      </c>
    </row>
    <row r="744" spans="1:1" x14ac:dyDescent="0.25">
      <c r="A744" t="s">
        <v>808</v>
      </c>
    </row>
    <row r="745" spans="1:1" x14ac:dyDescent="0.25">
      <c r="A745" t="s">
        <v>809</v>
      </c>
    </row>
    <row r="746" spans="1:1" x14ac:dyDescent="0.25">
      <c r="A746" t="s">
        <v>810</v>
      </c>
    </row>
    <row r="747" spans="1:1" x14ac:dyDescent="0.25">
      <c r="A747" t="s">
        <v>811</v>
      </c>
    </row>
    <row r="748" spans="1:1" x14ac:dyDescent="0.25">
      <c r="A748" t="s">
        <v>812</v>
      </c>
    </row>
    <row r="749" spans="1:1" x14ac:dyDescent="0.25">
      <c r="A749" t="s">
        <v>813</v>
      </c>
    </row>
    <row r="750" spans="1:1" x14ac:dyDescent="0.25">
      <c r="A750" t="s">
        <v>814</v>
      </c>
    </row>
    <row r="751" spans="1:1" x14ac:dyDescent="0.25">
      <c r="A751" t="s">
        <v>815</v>
      </c>
    </row>
    <row r="752" spans="1:1" x14ac:dyDescent="0.25">
      <c r="A752" t="s">
        <v>816</v>
      </c>
    </row>
    <row r="753" spans="1:1" x14ac:dyDescent="0.25">
      <c r="A753" t="s">
        <v>817</v>
      </c>
    </row>
    <row r="754" spans="1:1" x14ac:dyDescent="0.25">
      <c r="A754" t="s">
        <v>818</v>
      </c>
    </row>
    <row r="755" spans="1:1" x14ac:dyDescent="0.25">
      <c r="A755" t="s">
        <v>819</v>
      </c>
    </row>
    <row r="756" spans="1:1" x14ac:dyDescent="0.25">
      <c r="A756" t="s">
        <v>820</v>
      </c>
    </row>
    <row r="757" spans="1:1" x14ac:dyDescent="0.25">
      <c r="A757" t="s">
        <v>821</v>
      </c>
    </row>
    <row r="758" spans="1:1" x14ac:dyDescent="0.25">
      <c r="A758" t="s">
        <v>822</v>
      </c>
    </row>
    <row r="759" spans="1:1" x14ac:dyDescent="0.25">
      <c r="A759" t="s">
        <v>823</v>
      </c>
    </row>
    <row r="760" spans="1:1" x14ac:dyDescent="0.25">
      <c r="A760" t="s">
        <v>824</v>
      </c>
    </row>
    <row r="761" spans="1:1" x14ac:dyDescent="0.25">
      <c r="A761" t="s">
        <v>825</v>
      </c>
    </row>
    <row r="762" spans="1:1" x14ac:dyDescent="0.25">
      <c r="A762" t="s">
        <v>826</v>
      </c>
    </row>
    <row r="763" spans="1:1" x14ac:dyDescent="0.25">
      <c r="A763" t="s">
        <v>827</v>
      </c>
    </row>
    <row r="764" spans="1:1" x14ac:dyDescent="0.25">
      <c r="A764" t="s">
        <v>828</v>
      </c>
    </row>
    <row r="765" spans="1:1" x14ac:dyDescent="0.25">
      <c r="A765" t="s">
        <v>829</v>
      </c>
    </row>
    <row r="766" spans="1:1" x14ac:dyDescent="0.25">
      <c r="A766" t="s">
        <v>830</v>
      </c>
    </row>
    <row r="767" spans="1:1" x14ac:dyDescent="0.25">
      <c r="A767" t="s">
        <v>831</v>
      </c>
    </row>
    <row r="768" spans="1:1" x14ac:dyDescent="0.25">
      <c r="A768" t="s">
        <v>832</v>
      </c>
    </row>
    <row r="769" spans="1:1" x14ac:dyDescent="0.25">
      <c r="A769" t="s">
        <v>833</v>
      </c>
    </row>
    <row r="770" spans="1:1" x14ac:dyDescent="0.25">
      <c r="A770" t="s">
        <v>834</v>
      </c>
    </row>
    <row r="771" spans="1:1" x14ac:dyDescent="0.25">
      <c r="A771" t="s">
        <v>835</v>
      </c>
    </row>
    <row r="772" spans="1:1" x14ac:dyDescent="0.25">
      <c r="A772" t="s">
        <v>836</v>
      </c>
    </row>
    <row r="773" spans="1:1" x14ac:dyDescent="0.25">
      <c r="A773" t="s">
        <v>837</v>
      </c>
    </row>
    <row r="774" spans="1:1" x14ac:dyDescent="0.25">
      <c r="A774" t="s">
        <v>838</v>
      </c>
    </row>
    <row r="775" spans="1:1" x14ac:dyDescent="0.25">
      <c r="A775" t="s">
        <v>839</v>
      </c>
    </row>
    <row r="776" spans="1:1" x14ac:dyDescent="0.25">
      <c r="A776" t="s">
        <v>840</v>
      </c>
    </row>
    <row r="777" spans="1:1" x14ac:dyDescent="0.25">
      <c r="A777" t="s">
        <v>841</v>
      </c>
    </row>
    <row r="778" spans="1:1" x14ac:dyDescent="0.25">
      <c r="A778" t="s">
        <v>842</v>
      </c>
    </row>
    <row r="779" spans="1:1" x14ac:dyDescent="0.25">
      <c r="A779" t="s">
        <v>843</v>
      </c>
    </row>
    <row r="780" spans="1:1" x14ac:dyDescent="0.25">
      <c r="A780" t="s">
        <v>844</v>
      </c>
    </row>
    <row r="781" spans="1:1" x14ac:dyDescent="0.25">
      <c r="A781" t="s">
        <v>845</v>
      </c>
    </row>
    <row r="782" spans="1:1" x14ac:dyDescent="0.25">
      <c r="A782" t="s">
        <v>846</v>
      </c>
    </row>
    <row r="783" spans="1:1" x14ac:dyDescent="0.25">
      <c r="A783" t="s">
        <v>847</v>
      </c>
    </row>
    <row r="784" spans="1:1" x14ac:dyDescent="0.25">
      <c r="A784" t="s">
        <v>848</v>
      </c>
    </row>
    <row r="785" spans="1:1" x14ac:dyDescent="0.25">
      <c r="A785" t="s">
        <v>849</v>
      </c>
    </row>
    <row r="786" spans="1:1" x14ac:dyDescent="0.25">
      <c r="A786" t="s">
        <v>850</v>
      </c>
    </row>
    <row r="787" spans="1:1" x14ac:dyDescent="0.25">
      <c r="A787" t="s">
        <v>851</v>
      </c>
    </row>
    <row r="788" spans="1:1" x14ac:dyDescent="0.25">
      <c r="A788" t="s">
        <v>852</v>
      </c>
    </row>
    <row r="789" spans="1:1" x14ac:dyDescent="0.25">
      <c r="A789" t="s">
        <v>853</v>
      </c>
    </row>
    <row r="790" spans="1:1" x14ac:dyDescent="0.25">
      <c r="A790" t="s">
        <v>854</v>
      </c>
    </row>
    <row r="791" spans="1:1" x14ac:dyDescent="0.25">
      <c r="A791" t="s">
        <v>855</v>
      </c>
    </row>
    <row r="792" spans="1:1" x14ac:dyDescent="0.25">
      <c r="A792" t="s">
        <v>856</v>
      </c>
    </row>
    <row r="793" spans="1:1" x14ac:dyDescent="0.25">
      <c r="A793" t="s">
        <v>857</v>
      </c>
    </row>
    <row r="794" spans="1:1" x14ac:dyDescent="0.25">
      <c r="A794" t="s">
        <v>858</v>
      </c>
    </row>
    <row r="795" spans="1:1" x14ac:dyDescent="0.25">
      <c r="A795" t="s">
        <v>859</v>
      </c>
    </row>
    <row r="796" spans="1:1" x14ac:dyDescent="0.25">
      <c r="A796" t="s">
        <v>860</v>
      </c>
    </row>
    <row r="797" spans="1:1" x14ac:dyDescent="0.25">
      <c r="A797" t="s">
        <v>861</v>
      </c>
    </row>
    <row r="798" spans="1:1" x14ac:dyDescent="0.25">
      <c r="A798" t="s">
        <v>862</v>
      </c>
    </row>
    <row r="799" spans="1:1" x14ac:dyDescent="0.25">
      <c r="A799" t="s">
        <v>863</v>
      </c>
    </row>
    <row r="800" spans="1:1" x14ac:dyDescent="0.25">
      <c r="A800" t="s">
        <v>864</v>
      </c>
    </row>
    <row r="801" spans="1:1" x14ac:dyDescent="0.25">
      <c r="A801" t="s">
        <v>865</v>
      </c>
    </row>
    <row r="802" spans="1:1" x14ac:dyDescent="0.25">
      <c r="A802" t="s">
        <v>866</v>
      </c>
    </row>
    <row r="803" spans="1:1" x14ac:dyDescent="0.25">
      <c r="A803" t="s">
        <v>867</v>
      </c>
    </row>
    <row r="804" spans="1:1" x14ac:dyDescent="0.25">
      <c r="A804" t="s">
        <v>868</v>
      </c>
    </row>
    <row r="805" spans="1:1" x14ac:dyDescent="0.25">
      <c r="A805" t="s">
        <v>869</v>
      </c>
    </row>
    <row r="806" spans="1:1" x14ac:dyDescent="0.25">
      <c r="A806" t="s">
        <v>870</v>
      </c>
    </row>
    <row r="807" spans="1:1" x14ac:dyDescent="0.25">
      <c r="A807" t="s">
        <v>871</v>
      </c>
    </row>
    <row r="808" spans="1:1" x14ac:dyDescent="0.25">
      <c r="A808" t="s">
        <v>872</v>
      </c>
    </row>
    <row r="809" spans="1:1" x14ac:dyDescent="0.25">
      <c r="A809" t="s">
        <v>873</v>
      </c>
    </row>
    <row r="810" spans="1:1" x14ac:dyDescent="0.25">
      <c r="A810" t="s">
        <v>874</v>
      </c>
    </row>
    <row r="811" spans="1:1" x14ac:dyDescent="0.25">
      <c r="A811" t="s">
        <v>875</v>
      </c>
    </row>
    <row r="812" spans="1:1" x14ac:dyDescent="0.25">
      <c r="A812" t="s">
        <v>876</v>
      </c>
    </row>
    <row r="813" spans="1:1" x14ac:dyDescent="0.25">
      <c r="A813" t="s">
        <v>877</v>
      </c>
    </row>
    <row r="814" spans="1:1" x14ac:dyDescent="0.25">
      <c r="A814" t="s">
        <v>878</v>
      </c>
    </row>
    <row r="815" spans="1:1" x14ac:dyDescent="0.25">
      <c r="A815" t="s">
        <v>879</v>
      </c>
    </row>
    <row r="816" spans="1:1" x14ac:dyDescent="0.25">
      <c r="A816" t="s">
        <v>880</v>
      </c>
    </row>
    <row r="817" spans="1:1" x14ac:dyDescent="0.25">
      <c r="A817" t="s">
        <v>881</v>
      </c>
    </row>
    <row r="818" spans="1:1" x14ac:dyDescent="0.25">
      <c r="A818" t="s">
        <v>882</v>
      </c>
    </row>
    <row r="819" spans="1:1" x14ac:dyDescent="0.25">
      <c r="A819" t="s">
        <v>883</v>
      </c>
    </row>
    <row r="820" spans="1:1" x14ac:dyDescent="0.25">
      <c r="A820" t="s">
        <v>884</v>
      </c>
    </row>
    <row r="821" spans="1:1" x14ac:dyDescent="0.25">
      <c r="A821" t="s">
        <v>885</v>
      </c>
    </row>
    <row r="822" spans="1:1" x14ac:dyDescent="0.25">
      <c r="A822" t="s">
        <v>886</v>
      </c>
    </row>
    <row r="823" spans="1:1" x14ac:dyDescent="0.25">
      <c r="A823" t="s">
        <v>887</v>
      </c>
    </row>
    <row r="824" spans="1:1" x14ac:dyDescent="0.25">
      <c r="A824" t="s">
        <v>888</v>
      </c>
    </row>
    <row r="825" spans="1:1" x14ac:dyDescent="0.25">
      <c r="A825" t="s">
        <v>889</v>
      </c>
    </row>
    <row r="826" spans="1:1" x14ac:dyDescent="0.25">
      <c r="A826" t="s">
        <v>890</v>
      </c>
    </row>
    <row r="827" spans="1:1" x14ac:dyDescent="0.25">
      <c r="A827" t="s">
        <v>891</v>
      </c>
    </row>
    <row r="828" spans="1:1" x14ac:dyDescent="0.25">
      <c r="A828" t="s">
        <v>892</v>
      </c>
    </row>
    <row r="829" spans="1:1" x14ac:dyDescent="0.25">
      <c r="A829" t="s">
        <v>893</v>
      </c>
    </row>
    <row r="830" spans="1:1" x14ac:dyDescent="0.25">
      <c r="A830" t="s">
        <v>894</v>
      </c>
    </row>
    <row r="831" spans="1:1" x14ac:dyDescent="0.25">
      <c r="A831" t="s">
        <v>895</v>
      </c>
    </row>
    <row r="832" spans="1:1" x14ac:dyDescent="0.25">
      <c r="A832" t="s">
        <v>896</v>
      </c>
    </row>
    <row r="833" spans="1:1" x14ac:dyDescent="0.25">
      <c r="A833" t="s">
        <v>897</v>
      </c>
    </row>
    <row r="834" spans="1:1" x14ac:dyDescent="0.25">
      <c r="A834" t="s">
        <v>898</v>
      </c>
    </row>
    <row r="835" spans="1:1" x14ac:dyDescent="0.25">
      <c r="A835" t="s">
        <v>899</v>
      </c>
    </row>
    <row r="836" spans="1:1" x14ac:dyDescent="0.25">
      <c r="A836" t="s">
        <v>900</v>
      </c>
    </row>
    <row r="837" spans="1:1" x14ac:dyDescent="0.25">
      <c r="A837" t="s">
        <v>901</v>
      </c>
    </row>
    <row r="838" spans="1:1" x14ac:dyDescent="0.25">
      <c r="A838" t="s">
        <v>902</v>
      </c>
    </row>
    <row r="839" spans="1:1" x14ac:dyDescent="0.25">
      <c r="A839" t="s">
        <v>903</v>
      </c>
    </row>
    <row r="840" spans="1:1" x14ac:dyDescent="0.25">
      <c r="A840" t="s">
        <v>904</v>
      </c>
    </row>
    <row r="841" spans="1:1" x14ac:dyDescent="0.25">
      <c r="A841" t="s">
        <v>905</v>
      </c>
    </row>
    <row r="842" spans="1:1" x14ac:dyDescent="0.25">
      <c r="A842" t="s">
        <v>906</v>
      </c>
    </row>
    <row r="843" spans="1:1" x14ac:dyDescent="0.25">
      <c r="A843" t="s">
        <v>907</v>
      </c>
    </row>
    <row r="844" spans="1:1" x14ac:dyDescent="0.25">
      <c r="A844" t="s">
        <v>908</v>
      </c>
    </row>
    <row r="845" spans="1:1" x14ac:dyDescent="0.25">
      <c r="A845" t="s">
        <v>909</v>
      </c>
    </row>
    <row r="846" spans="1:1" x14ac:dyDescent="0.25">
      <c r="A846" t="s">
        <v>910</v>
      </c>
    </row>
    <row r="847" spans="1:1" x14ac:dyDescent="0.25">
      <c r="A847" t="s">
        <v>911</v>
      </c>
    </row>
    <row r="848" spans="1:1" x14ac:dyDescent="0.25">
      <c r="A848" t="s">
        <v>912</v>
      </c>
    </row>
    <row r="849" spans="1:1" x14ac:dyDescent="0.25">
      <c r="A849" t="s">
        <v>913</v>
      </c>
    </row>
    <row r="850" spans="1:1" x14ac:dyDescent="0.25">
      <c r="A850" t="s">
        <v>914</v>
      </c>
    </row>
    <row r="851" spans="1:1" x14ac:dyDescent="0.25">
      <c r="A851" t="s">
        <v>915</v>
      </c>
    </row>
    <row r="852" spans="1:1" x14ac:dyDescent="0.25">
      <c r="A852" t="s">
        <v>916</v>
      </c>
    </row>
    <row r="853" spans="1:1" x14ac:dyDescent="0.25">
      <c r="A853" t="s">
        <v>917</v>
      </c>
    </row>
    <row r="854" spans="1:1" x14ac:dyDescent="0.25">
      <c r="A854" t="s">
        <v>918</v>
      </c>
    </row>
    <row r="855" spans="1:1" x14ac:dyDescent="0.25">
      <c r="A855" t="s">
        <v>919</v>
      </c>
    </row>
    <row r="856" spans="1:1" x14ac:dyDescent="0.25">
      <c r="A856" t="s">
        <v>920</v>
      </c>
    </row>
    <row r="857" spans="1:1" x14ac:dyDescent="0.25">
      <c r="A857" t="s">
        <v>921</v>
      </c>
    </row>
    <row r="858" spans="1:1" x14ac:dyDescent="0.25">
      <c r="A858" t="s">
        <v>922</v>
      </c>
    </row>
    <row r="859" spans="1:1" x14ac:dyDescent="0.25">
      <c r="A859" t="s">
        <v>923</v>
      </c>
    </row>
    <row r="860" spans="1:1" x14ac:dyDescent="0.25">
      <c r="A860" t="s">
        <v>924</v>
      </c>
    </row>
    <row r="861" spans="1:1" x14ac:dyDescent="0.25">
      <c r="A861" t="s">
        <v>925</v>
      </c>
    </row>
    <row r="862" spans="1:1" x14ac:dyDescent="0.25">
      <c r="A862" t="s">
        <v>926</v>
      </c>
    </row>
    <row r="863" spans="1:1" x14ac:dyDescent="0.25">
      <c r="A863" t="s">
        <v>927</v>
      </c>
    </row>
    <row r="864" spans="1:1" x14ac:dyDescent="0.25">
      <c r="A864" t="s">
        <v>928</v>
      </c>
    </row>
    <row r="865" spans="1:1" x14ac:dyDescent="0.25">
      <c r="A865" t="s">
        <v>929</v>
      </c>
    </row>
    <row r="866" spans="1:1" x14ac:dyDescent="0.25">
      <c r="A866" t="s">
        <v>930</v>
      </c>
    </row>
    <row r="867" spans="1:1" x14ac:dyDescent="0.25">
      <c r="A867" t="s">
        <v>931</v>
      </c>
    </row>
    <row r="868" spans="1:1" x14ac:dyDescent="0.25">
      <c r="A868" t="s">
        <v>932</v>
      </c>
    </row>
    <row r="869" spans="1:1" x14ac:dyDescent="0.25">
      <c r="A869" t="s">
        <v>933</v>
      </c>
    </row>
    <row r="870" spans="1:1" x14ac:dyDescent="0.25">
      <c r="A870" t="s">
        <v>934</v>
      </c>
    </row>
    <row r="871" spans="1:1" x14ac:dyDescent="0.25">
      <c r="A871" t="s">
        <v>935</v>
      </c>
    </row>
    <row r="872" spans="1:1" x14ac:dyDescent="0.25">
      <c r="A872" t="s">
        <v>936</v>
      </c>
    </row>
    <row r="873" spans="1:1" x14ac:dyDescent="0.25">
      <c r="A873" t="s">
        <v>937</v>
      </c>
    </row>
    <row r="874" spans="1:1" x14ac:dyDescent="0.25">
      <c r="A874" t="s">
        <v>938</v>
      </c>
    </row>
    <row r="875" spans="1:1" x14ac:dyDescent="0.25">
      <c r="A875" t="s">
        <v>939</v>
      </c>
    </row>
    <row r="876" spans="1:1" x14ac:dyDescent="0.25">
      <c r="A876" t="s">
        <v>940</v>
      </c>
    </row>
    <row r="877" spans="1:1" x14ac:dyDescent="0.25">
      <c r="A877" t="s">
        <v>941</v>
      </c>
    </row>
    <row r="878" spans="1:1" x14ac:dyDescent="0.25">
      <c r="A878" t="s">
        <v>942</v>
      </c>
    </row>
    <row r="879" spans="1:1" x14ac:dyDescent="0.25">
      <c r="A879" t="s">
        <v>943</v>
      </c>
    </row>
    <row r="880" spans="1:1" x14ac:dyDescent="0.25">
      <c r="A880" t="s">
        <v>944</v>
      </c>
    </row>
    <row r="881" spans="1:1" x14ac:dyDescent="0.25">
      <c r="A881" t="s">
        <v>945</v>
      </c>
    </row>
    <row r="882" spans="1:1" x14ac:dyDescent="0.25">
      <c r="A882" t="s">
        <v>946</v>
      </c>
    </row>
    <row r="883" spans="1:1" x14ac:dyDescent="0.25">
      <c r="A883" t="s">
        <v>947</v>
      </c>
    </row>
    <row r="884" spans="1:1" x14ac:dyDescent="0.25">
      <c r="A884" t="s">
        <v>948</v>
      </c>
    </row>
    <row r="885" spans="1:1" x14ac:dyDescent="0.25">
      <c r="A885" t="s">
        <v>949</v>
      </c>
    </row>
    <row r="886" spans="1:1" x14ac:dyDescent="0.25">
      <c r="A886" t="s">
        <v>950</v>
      </c>
    </row>
    <row r="887" spans="1:1" x14ac:dyDescent="0.25">
      <c r="A887" t="s">
        <v>951</v>
      </c>
    </row>
    <row r="888" spans="1:1" x14ac:dyDescent="0.25">
      <c r="A888" t="s">
        <v>952</v>
      </c>
    </row>
    <row r="889" spans="1:1" x14ac:dyDescent="0.25">
      <c r="A889" t="s">
        <v>953</v>
      </c>
    </row>
    <row r="890" spans="1:1" x14ac:dyDescent="0.25">
      <c r="A890" t="s">
        <v>954</v>
      </c>
    </row>
    <row r="891" spans="1:1" x14ac:dyDescent="0.25">
      <c r="A891" t="s">
        <v>955</v>
      </c>
    </row>
    <row r="892" spans="1:1" x14ac:dyDescent="0.25">
      <c r="A892" t="s">
        <v>956</v>
      </c>
    </row>
    <row r="893" spans="1:1" x14ac:dyDescent="0.25">
      <c r="A893" t="s">
        <v>957</v>
      </c>
    </row>
    <row r="894" spans="1:1" x14ac:dyDescent="0.25">
      <c r="A894" t="s">
        <v>958</v>
      </c>
    </row>
    <row r="895" spans="1:1" x14ac:dyDescent="0.25">
      <c r="A895" t="s">
        <v>959</v>
      </c>
    </row>
    <row r="896" spans="1:1" x14ac:dyDescent="0.25">
      <c r="A896" t="s">
        <v>960</v>
      </c>
    </row>
    <row r="897" spans="1:1" x14ac:dyDescent="0.25">
      <c r="A897" t="s">
        <v>961</v>
      </c>
    </row>
    <row r="898" spans="1:1" x14ac:dyDescent="0.25">
      <c r="A898" t="s">
        <v>962</v>
      </c>
    </row>
    <row r="899" spans="1:1" x14ac:dyDescent="0.25">
      <c r="A899" t="s">
        <v>963</v>
      </c>
    </row>
    <row r="900" spans="1:1" x14ac:dyDescent="0.25">
      <c r="A900" t="s">
        <v>964</v>
      </c>
    </row>
    <row r="901" spans="1:1" x14ac:dyDescent="0.25">
      <c r="A901" t="s">
        <v>965</v>
      </c>
    </row>
    <row r="902" spans="1:1" x14ac:dyDescent="0.25">
      <c r="A902" t="s">
        <v>966</v>
      </c>
    </row>
    <row r="903" spans="1:1" x14ac:dyDescent="0.25">
      <c r="A903" t="s">
        <v>967</v>
      </c>
    </row>
    <row r="904" spans="1:1" x14ac:dyDescent="0.25">
      <c r="A904" t="s">
        <v>968</v>
      </c>
    </row>
    <row r="905" spans="1:1" x14ac:dyDescent="0.25">
      <c r="A905" t="s">
        <v>969</v>
      </c>
    </row>
    <row r="906" spans="1:1" x14ac:dyDescent="0.25">
      <c r="A906" t="s">
        <v>970</v>
      </c>
    </row>
    <row r="907" spans="1:1" x14ac:dyDescent="0.25">
      <c r="A907" t="s">
        <v>971</v>
      </c>
    </row>
    <row r="908" spans="1:1" x14ac:dyDescent="0.25">
      <c r="A908" t="s">
        <v>972</v>
      </c>
    </row>
    <row r="909" spans="1:1" x14ac:dyDescent="0.25">
      <c r="A909" t="s">
        <v>973</v>
      </c>
    </row>
    <row r="910" spans="1:1" x14ac:dyDescent="0.25">
      <c r="A910" t="s">
        <v>974</v>
      </c>
    </row>
    <row r="911" spans="1:1" x14ac:dyDescent="0.25">
      <c r="A911" t="s">
        <v>975</v>
      </c>
    </row>
    <row r="912" spans="1:1" x14ac:dyDescent="0.25">
      <c r="A912" t="s">
        <v>976</v>
      </c>
    </row>
    <row r="913" spans="1:1" x14ac:dyDescent="0.25">
      <c r="A913" t="s">
        <v>977</v>
      </c>
    </row>
    <row r="914" spans="1:1" x14ac:dyDescent="0.25">
      <c r="A914" t="s">
        <v>978</v>
      </c>
    </row>
    <row r="915" spans="1:1" x14ac:dyDescent="0.25">
      <c r="A915" t="s">
        <v>979</v>
      </c>
    </row>
    <row r="916" spans="1:1" x14ac:dyDescent="0.25">
      <c r="A916" t="s">
        <v>980</v>
      </c>
    </row>
    <row r="917" spans="1:1" x14ac:dyDescent="0.25">
      <c r="A917" t="s">
        <v>981</v>
      </c>
    </row>
    <row r="918" spans="1:1" x14ac:dyDescent="0.25">
      <c r="A918" t="s">
        <v>982</v>
      </c>
    </row>
    <row r="919" spans="1:1" x14ac:dyDescent="0.25">
      <c r="A919" t="s">
        <v>983</v>
      </c>
    </row>
    <row r="920" spans="1:1" x14ac:dyDescent="0.25">
      <c r="A920" t="s">
        <v>984</v>
      </c>
    </row>
    <row r="921" spans="1:1" x14ac:dyDescent="0.25">
      <c r="A921" t="s">
        <v>985</v>
      </c>
    </row>
    <row r="922" spans="1:1" x14ac:dyDescent="0.25">
      <c r="A922" t="s">
        <v>986</v>
      </c>
    </row>
    <row r="923" spans="1:1" x14ac:dyDescent="0.25">
      <c r="A923" t="s">
        <v>987</v>
      </c>
    </row>
    <row r="924" spans="1:1" x14ac:dyDescent="0.25">
      <c r="A924" t="s">
        <v>988</v>
      </c>
    </row>
    <row r="925" spans="1:1" x14ac:dyDescent="0.25">
      <c r="A925" t="s">
        <v>989</v>
      </c>
    </row>
    <row r="926" spans="1:1" x14ac:dyDescent="0.25">
      <c r="A926" t="s">
        <v>990</v>
      </c>
    </row>
    <row r="927" spans="1:1" x14ac:dyDescent="0.25">
      <c r="A927" t="s">
        <v>991</v>
      </c>
    </row>
    <row r="928" spans="1:1" x14ac:dyDescent="0.25">
      <c r="A928" t="s">
        <v>992</v>
      </c>
    </row>
    <row r="929" spans="1:1" x14ac:dyDescent="0.25">
      <c r="A929" t="s">
        <v>993</v>
      </c>
    </row>
    <row r="930" spans="1:1" x14ac:dyDescent="0.25">
      <c r="A930" t="s">
        <v>994</v>
      </c>
    </row>
    <row r="931" spans="1:1" x14ac:dyDescent="0.25">
      <c r="A931" t="s">
        <v>995</v>
      </c>
    </row>
    <row r="932" spans="1:1" x14ac:dyDescent="0.25">
      <c r="A932" t="s">
        <v>996</v>
      </c>
    </row>
    <row r="933" spans="1:1" x14ac:dyDescent="0.25">
      <c r="A933" t="s">
        <v>997</v>
      </c>
    </row>
    <row r="934" spans="1:1" x14ac:dyDescent="0.25">
      <c r="A934" t="s">
        <v>998</v>
      </c>
    </row>
    <row r="935" spans="1:1" x14ac:dyDescent="0.25">
      <c r="A935" t="s">
        <v>999</v>
      </c>
    </row>
    <row r="936" spans="1:1" x14ac:dyDescent="0.25">
      <c r="A936" t="s">
        <v>1000</v>
      </c>
    </row>
    <row r="937" spans="1:1" x14ac:dyDescent="0.25">
      <c r="A937" t="s">
        <v>1001</v>
      </c>
    </row>
    <row r="938" spans="1:1" x14ac:dyDescent="0.25">
      <c r="A938" t="s">
        <v>1002</v>
      </c>
    </row>
    <row r="939" spans="1:1" x14ac:dyDescent="0.25">
      <c r="A939" t="s">
        <v>1003</v>
      </c>
    </row>
    <row r="940" spans="1:1" x14ac:dyDescent="0.25">
      <c r="A940" t="s">
        <v>1004</v>
      </c>
    </row>
    <row r="941" spans="1:1" x14ac:dyDescent="0.25">
      <c r="A941" t="s">
        <v>1005</v>
      </c>
    </row>
    <row r="942" spans="1:1" x14ac:dyDescent="0.25">
      <c r="A942" t="s">
        <v>1006</v>
      </c>
    </row>
    <row r="943" spans="1:1" x14ac:dyDescent="0.25">
      <c r="A943" t="s">
        <v>1007</v>
      </c>
    </row>
    <row r="944" spans="1:1" x14ac:dyDescent="0.25">
      <c r="A944" t="s">
        <v>1008</v>
      </c>
    </row>
    <row r="945" spans="1:1" x14ac:dyDescent="0.25">
      <c r="A945" t="s">
        <v>1009</v>
      </c>
    </row>
    <row r="946" spans="1:1" x14ac:dyDescent="0.25">
      <c r="A946" t="s">
        <v>1010</v>
      </c>
    </row>
    <row r="947" spans="1:1" x14ac:dyDescent="0.25">
      <c r="A947" t="s">
        <v>1011</v>
      </c>
    </row>
    <row r="948" spans="1:1" x14ac:dyDescent="0.25">
      <c r="A948" t="s">
        <v>1012</v>
      </c>
    </row>
    <row r="949" spans="1:1" x14ac:dyDescent="0.25">
      <c r="A949" t="s">
        <v>1013</v>
      </c>
    </row>
    <row r="950" spans="1:1" x14ac:dyDescent="0.25">
      <c r="A950" t="s">
        <v>1014</v>
      </c>
    </row>
    <row r="951" spans="1:1" x14ac:dyDescent="0.25">
      <c r="A951" t="s">
        <v>1015</v>
      </c>
    </row>
    <row r="952" spans="1:1" x14ac:dyDescent="0.25">
      <c r="A952" t="s">
        <v>1016</v>
      </c>
    </row>
    <row r="953" spans="1:1" x14ac:dyDescent="0.25">
      <c r="A953" t="s">
        <v>1017</v>
      </c>
    </row>
    <row r="954" spans="1:1" x14ac:dyDescent="0.25">
      <c r="A954" t="s">
        <v>1018</v>
      </c>
    </row>
    <row r="955" spans="1:1" x14ac:dyDescent="0.25">
      <c r="A955" t="s">
        <v>1019</v>
      </c>
    </row>
    <row r="956" spans="1:1" x14ac:dyDescent="0.25">
      <c r="A956" t="s">
        <v>1020</v>
      </c>
    </row>
    <row r="957" spans="1:1" x14ac:dyDescent="0.25">
      <c r="A957" t="s">
        <v>1021</v>
      </c>
    </row>
    <row r="958" spans="1:1" x14ac:dyDescent="0.25">
      <c r="A958" t="s">
        <v>1022</v>
      </c>
    </row>
    <row r="959" spans="1:1" x14ac:dyDescent="0.25">
      <c r="A959" t="s">
        <v>1023</v>
      </c>
    </row>
    <row r="960" spans="1:1" x14ac:dyDescent="0.25">
      <c r="A960" t="s">
        <v>1024</v>
      </c>
    </row>
    <row r="961" spans="1:1" x14ac:dyDescent="0.25">
      <c r="A961" t="s">
        <v>1025</v>
      </c>
    </row>
    <row r="962" spans="1:1" x14ac:dyDescent="0.25">
      <c r="A962" t="s">
        <v>1026</v>
      </c>
    </row>
    <row r="963" spans="1:1" x14ac:dyDescent="0.25">
      <c r="A963" t="s">
        <v>1027</v>
      </c>
    </row>
    <row r="964" spans="1:1" x14ac:dyDescent="0.25">
      <c r="A964" t="s">
        <v>1028</v>
      </c>
    </row>
    <row r="965" spans="1:1" x14ac:dyDescent="0.25">
      <c r="A965" t="s">
        <v>1029</v>
      </c>
    </row>
    <row r="966" spans="1:1" x14ac:dyDescent="0.25">
      <c r="A966" t="s">
        <v>1030</v>
      </c>
    </row>
    <row r="967" spans="1:1" x14ac:dyDescent="0.25">
      <c r="A967" t="s">
        <v>1031</v>
      </c>
    </row>
    <row r="968" spans="1:1" x14ac:dyDescent="0.25">
      <c r="A968" t="s">
        <v>1032</v>
      </c>
    </row>
    <row r="969" spans="1:1" x14ac:dyDescent="0.25">
      <c r="A969" t="s">
        <v>1033</v>
      </c>
    </row>
    <row r="970" spans="1:1" x14ac:dyDescent="0.25">
      <c r="A970" t="s">
        <v>1034</v>
      </c>
    </row>
    <row r="971" spans="1:1" x14ac:dyDescent="0.25">
      <c r="A971" t="s">
        <v>1035</v>
      </c>
    </row>
    <row r="972" spans="1:1" x14ac:dyDescent="0.25">
      <c r="A972" t="s">
        <v>1036</v>
      </c>
    </row>
    <row r="973" spans="1:1" x14ac:dyDescent="0.25">
      <c r="A973" t="s">
        <v>1037</v>
      </c>
    </row>
    <row r="974" spans="1:1" x14ac:dyDescent="0.25">
      <c r="A974" t="s">
        <v>1038</v>
      </c>
    </row>
    <row r="975" spans="1:1" x14ac:dyDescent="0.25">
      <c r="A975" t="s">
        <v>1039</v>
      </c>
    </row>
    <row r="976" spans="1:1" x14ac:dyDescent="0.25">
      <c r="A976" t="s">
        <v>1040</v>
      </c>
    </row>
    <row r="977" spans="1:1" x14ac:dyDescent="0.25">
      <c r="A977" t="s">
        <v>1041</v>
      </c>
    </row>
    <row r="978" spans="1:1" x14ac:dyDescent="0.25">
      <c r="A978" t="s">
        <v>1042</v>
      </c>
    </row>
    <row r="979" spans="1:1" x14ac:dyDescent="0.25">
      <c r="A979" t="s">
        <v>1043</v>
      </c>
    </row>
    <row r="980" spans="1:1" x14ac:dyDescent="0.25">
      <c r="A980" t="s">
        <v>1044</v>
      </c>
    </row>
    <row r="981" spans="1:1" x14ac:dyDescent="0.25">
      <c r="A981" t="s">
        <v>1045</v>
      </c>
    </row>
    <row r="982" spans="1:1" x14ac:dyDescent="0.25">
      <c r="A982" t="s">
        <v>1046</v>
      </c>
    </row>
    <row r="983" spans="1:1" x14ac:dyDescent="0.25">
      <c r="A983" t="s">
        <v>1047</v>
      </c>
    </row>
    <row r="984" spans="1:1" x14ac:dyDescent="0.25">
      <c r="A984" t="s">
        <v>1048</v>
      </c>
    </row>
    <row r="985" spans="1:1" x14ac:dyDescent="0.25">
      <c r="A985" t="s">
        <v>1049</v>
      </c>
    </row>
    <row r="986" spans="1:1" x14ac:dyDescent="0.25">
      <c r="A986" t="s">
        <v>1050</v>
      </c>
    </row>
    <row r="987" spans="1:1" x14ac:dyDescent="0.25">
      <c r="A987" t="s">
        <v>1051</v>
      </c>
    </row>
    <row r="988" spans="1:1" x14ac:dyDescent="0.25">
      <c r="A988" t="s">
        <v>1052</v>
      </c>
    </row>
    <row r="989" spans="1:1" x14ac:dyDescent="0.25">
      <c r="A989" t="s">
        <v>1053</v>
      </c>
    </row>
    <row r="990" spans="1:1" x14ac:dyDescent="0.25">
      <c r="A990" t="s">
        <v>1054</v>
      </c>
    </row>
    <row r="991" spans="1:1" x14ac:dyDescent="0.25">
      <c r="A991" t="s">
        <v>1055</v>
      </c>
    </row>
    <row r="992" spans="1:1" x14ac:dyDescent="0.25">
      <c r="A992" t="s">
        <v>1056</v>
      </c>
    </row>
    <row r="993" spans="1:1" x14ac:dyDescent="0.25">
      <c r="A993" t="s">
        <v>1057</v>
      </c>
    </row>
    <row r="994" spans="1:1" x14ac:dyDescent="0.25">
      <c r="A994" t="s">
        <v>1058</v>
      </c>
    </row>
    <row r="995" spans="1:1" x14ac:dyDescent="0.25">
      <c r="A995" t="s">
        <v>1059</v>
      </c>
    </row>
    <row r="996" spans="1:1" x14ac:dyDescent="0.25">
      <c r="A996" t="s">
        <v>1060</v>
      </c>
    </row>
    <row r="997" spans="1:1" x14ac:dyDescent="0.25">
      <c r="A997" t="s">
        <v>1061</v>
      </c>
    </row>
    <row r="998" spans="1:1" x14ac:dyDescent="0.25">
      <c r="A998" t="s">
        <v>1062</v>
      </c>
    </row>
    <row r="999" spans="1:1" x14ac:dyDescent="0.25">
      <c r="A999" t="s">
        <v>1063</v>
      </c>
    </row>
    <row r="1000" spans="1:1" x14ac:dyDescent="0.25">
      <c r="A1000" t="s">
        <v>1064</v>
      </c>
    </row>
    <row r="1001" spans="1:1" x14ac:dyDescent="0.25">
      <c r="A1001" t="s">
        <v>1065</v>
      </c>
    </row>
    <row r="1002" spans="1:1" x14ac:dyDescent="0.25">
      <c r="A1002" t="s">
        <v>1066</v>
      </c>
    </row>
    <row r="1003" spans="1:1" x14ac:dyDescent="0.25">
      <c r="A1003" t="s">
        <v>1067</v>
      </c>
    </row>
    <row r="1004" spans="1:1" x14ac:dyDescent="0.25">
      <c r="A1004" t="s">
        <v>1068</v>
      </c>
    </row>
    <row r="1005" spans="1:1" x14ac:dyDescent="0.25">
      <c r="A1005" t="s">
        <v>1069</v>
      </c>
    </row>
    <row r="1006" spans="1:1" x14ac:dyDescent="0.25">
      <c r="A1006" t="s">
        <v>1070</v>
      </c>
    </row>
    <row r="1007" spans="1:1" x14ac:dyDescent="0.25">
      <c r="A1007" t="s">
        <v>1071</v>
      </c>
    </row>
    <row r="1008" spans="1:1" x14ac:dyDescent="0.25">
      <c r="A1008" t="s">
        <v>1072</v>
      </c>
    </row>
    <row r="1009" spans="1:1" x14ac:dyDescent="0.25">
      <c r="A1009" t="s">
        <v>1073</v>
      </c>
    </row>
    <row r="1010" spans="1:1" x14ac:dyDescent="0.25">
      <c r="A1010" t="s">
        <v>1074</v>
      </c>
    </row>
    <row r="1011" spans="1:1" x14ac:dyDescent="0.25">
      <c r="A1011" t="s">
        <v>1075</v>
      </c>
    </row>
    <row r="1012" spans="1:1" x14ac:dyDescent="0.25">
      <c r="A1012" t="s">
        <v>1076</v>
      </c>
    </row>
    <row r="1013" spans="1:1" x14ac:dyDescent="0.25">
      <c r="A1013" t="s">
        <v>1077</v>
      </c>
    </row>
    <row r="1014" spans="1:1" x14ac:dyDescent="0.25">
      <c r="A1014" t="s">
        <v>1078</v>
      </c>
    </row>
    <row r="1015" spans="1:1" x14ac:dyDescent="0.25">
      <c r="A1015" t="s">
        <v>1079</v>
      </c>
    </row>
    <row r="1016" spans="1:1" x14ac:dyDescent="0.25">
      <c r="A1016" t="s">
        <v>1080</v>
      </c>
    </row>
    <row r="1017" spans="1:1" x14ac:dyDescent="0.25">
      <c r="A1017" t="s">
        <v>1081</v>
      </c>
    </row>
    <row r="1018" spans="1:1" x14ac:dyDescent="0.25">
      <c r="A1018" t="s">
        <v>1082</v>
      </c>
    </row>
    <row r="1019" spans="1:1" x14ac:dyDescent="0.25">
      <c r="A1019" t="s">
        <v>1083</v>
      </c>
    </row>
    <row r="1020" spans="1:1" x14ac:dyDescent="0.25">
      <c r="A1020" t="s">
        <v>1084</v>
      </c>
    </row>
    <row r="1021" spans="1:1" x14ac:dyDescent="0.25">
      <c r="A1021" t="s">
        <v>1085</v>
      </c>
    </row>
    <row r="1022" spans="1:1" x14ac:dyDescent="0.25">
      <c r="A1022" t="s">
        <v>1086</v>
      </c>
    </row>
    <row r="1023" spans="1:1" x14ac:dyDescent="0.25">
      <c r="A1023" t="s">
        <v>1087</v>
      </c>
    </row>
    <row r="1024" spans="1:1" x14ac:dyDescent="0.25">
      <c r="A1024" t="s">
        <v>1088</v>
      </c>
    </row>
    <row r="1025" spans="1:1" x14ac:dyDescent="0.25">
      <c r="A1025" t="s">
        <v>1089</v>
      </c>
    </row>
    <row r="1026" spans="1:1" x14ac:dyDescent="0.25">
      <c r="A1026" t="s">
        <v>1090</v>
      </c>
    </row>
    <row r="1027" spans="1:1" x14ac:dyDescent="0.25">
      <c r="A1027" t="s">
        <v>1091</v>
      </c>
    </row>
    <row r="1028" spans="1:1" x14ac:dyDescent="0.25">
      <c r="A1028" t="s">
        <v>1092</v>
      </c>
    </row>
    <row r="1029" spans="1:1" x14ac:dyDescent="0.25">
      <c r="A1029" t="s">
        <v>1093</v>
      </c>
    </row>
    <row r="1030" spans="1:1" x14ac:dyDescent="0.25">
      <c r="A1030" t="s">
        <v>1094</v>
      </c>
    </row>
    <row r="1031" spans="1:1" x14ac:dyDescent="0.25">
      <c r="A1031" t="s">
        <v>1095</v>
      </c>
    </row>
    <row r="1032" spans="1:1" x14ac:dyDescent="0.25">
      <c r="A1032" t="s">
        <v>1096</v>
      </c>
    </row>
    <row r="1033" spans="1:1" x14ac:dyDescent="0.25">
      <c r="A1033" t="s">
        <v>1097</v>
      </c>
    </row>
    <row r="1034" spans="1:1" x14ac:dyDescent="0.25">
      <c r="A1034" t="s">
        <v>1098</v>
      </c>
    </row>
    <row r="1035" spans="1:1" x14ac:dyDescent="0.25">
      <c r="A1035" t="s">
        <v>1099</v>
      </c>
    </row>
    <row r="1036" spans="1:1" x14ac:dyDescent="0.25">
      <c r="A1036" t="s">
        <v>1100</v>
      </c>
    </row>
    <row r="1037" spans="1:1" x14ac:dyDescent="0.25">
      <c r="A1037" t="s">
        <v>1101</v>
      </c>
    </row>
    <row r="1038" spans="1:1" x14ac:dyDescent="0.25">
      <c r="A1038" t="s">
        <v>1102</v>
      </c>
    </row>
    <row r="1039" spans="1:1" x14ac:dyDescent="0.25">
      <c r="A1039" t="s">
        <v>1103</v>
      </c>
    </row>
    <row r="1040" spans="1:1" x14ac:dyDescent="0.25">
      <c r="A1040" t="s">
        <v>1104</v>
      </c>
    </row>
    <row r="1041" spans="1:1" x14ac:dyDescent="0.25">
      <c r="A1041" t="s">
        <v>1105</v>
      </c>
    </row>
    <row r="1042" spans="1:1" x14ac:dyDescent="0.25">
      <c r="A1042" t="s">
        <v>1106</v>
      </c>
    </row>
    <row r="1043" spans="1:1" x14ac:dyDescent="0.25">
      <c r="A1043" t="s">
        <v>1107</v>
      </c>
    </row>
    <row r="1044" spans="1:1" x14ac:dyDescent="0.25">
      <c r="A1044" t="s">
        <v>1108</v>
      </c>
    </row>
    <row r="1045" spans="1:1" x14ac:dyDescent="0.25">
      <c r="A1045" t="s">
        <v>1109</v>
      </c>
    </row>
    <row r="1046" spans="1:1" x14ac:dyDescent="0.25">
      <c r="A1046" t="s">
        <v>1110</v>
      </c>
    </row>
    <row r="1047" spans="1:1" x14ac:dyDescent="0.25">
      <c r="A1047" t="s">
        <v>1111</v>
      </c>
    </row>
    <row r="1048" spans="1:1" x14ac:dyDescent="0.25">
      <c r="A1048" t="s">
        <v>1112</v>
      </c>
    </row>
    <row r="1049" spans="1:1" x14ac:dyDescent="0.25">
      <c r="A1049" t="s">
        <v>1113</v>
      </c>
    </row>
    <row r="1050" spans="1:1" x14ac:dyDescent="0.25">
      <c r="A1050" t="s">
        <v>1114</v>
      </c>
    </row>
    <row r="1051" spans="1:1" x14ac:dyDescent="0.25">
      <c r="A1051" t="s">
        <v>1115</v>
      </c>
    </row>
    <row r="1052" spans="1:1" x14ac:dyDescent="0.25">
      <c r="A1052" t="s">
        <v>1116</v>
      </c>
    </row>
    <row r="1053" spans="1:1" x14ac:dyDescent="0.25">
      <c r="A1053" t="s">
        <v>1117</v>
      </c>
    </row>
    <row r="1054" spans="1:1" x14ac:dyDescent="0.25">
      <c r="A1054" t="s">
        <v>1118</v>
      </c>
    </row>
    <row r="1055" spans="1:1" x14ac:dyDescent="0.25">
      <c r="A1055" t="s">
        <v>1119</v>
      </c>
    </row>
    <row r="1056" spans="1:1" x14ac:dyDescent="0.25">
      <c r="A1056" t="s">
        <v>1120</v>
      </c>
    </row>
    <row r="1057" spans="1:1" x14ac:dyDescent="0.25">
      <c r="A1057" t="s">
        <v>1121</v>
      </c>
    </row>
    <row r="1058" spans="1:1" x14ac:dyDescent="0.25">
      <c r="A1058" t="s">
        <v>1122</v>
      </c>
    </row>
    <row r="1059" spans="1:1" x14ac:dyDescent="0.25">
      <c r="A1059" t="s">
        <v>1123</v>
      </c>
    </row>
    <row r="1060" spans="1:1" x14ac:dyDescent="0.25">
      <c r="A1060" t="s">
        <v>1124</v>
      </c>
    </row>
    <row r="1061" spans="1:1" x14ac:dyDescent="0.25">
      <c r="A1061" t="s">
        <v>1125</v>
      </c>
    </row>
    <row r="1062" spans="1:1" x14ac:dyDescent="0.25">
      <c r="A1062" t="s">
        <v>1126</v>
      </c>
    </row>
    <row r="1063" spans="1:1" x14ac:dyDescent="0.25">
      <c r="A1063" t="s">
        <v>1127</v>
      </c>
    </row>
    <row r="1064" spans="1:1" x14ac:dyDescent="0.25">
      <c r="A1064" t="s">
        <v>1128</v>
      </c>
    </row>
    <row r="1065" spans="1:1" x14ac:dyDescent="0.25">
      <c r="A1065" t="s">
        <v>1129</v>
      </c>
    </row>
    <row r="1066" spans="1:1" x14ac:dyDescent="0.25">
      <c r="A1066" t="s">
        <v>1130</v>
      </c>
    </row>
    <row r="1067" spans="1:1" x14ac:dyDescent="0.25">
      <c r="A1067" t="s">
        <v>1131</v>
      </c>
    </row>
    <row r="1068" spans="1:1" x14ac:dyDescent="0.25">
      <c r="A1068" t="s">
        <v>1132</v>
      </c>
    </row>
    <row r="1069" spans="1:1" x14ac:dyDescent="0.25">
      <c r="A1069" t="s">
        <v>1133</v>
      </c>
    </row>
    <row r="1070" spans="1:1" x14ac:dyDescent="0.25">
      <c r="A1070" t="s">
        <v>1134</v>
      </c>
    </row>
    <row r="1071" spans="1:1" x14ac:dyDescent="0.25">
      <c r="A1071" t="s">
        <v>1135</v>
      </c>
    </row>
    <row r="1072" spans="1:1" x14ac:dyDescent="0.25">
      <c r="A1072" t="s">
        <v>1136</v>
      </c>
    </row>
    <row r="1073" spans="1:1" x14ac:dyDescent="0.25">
      <c r="A1073" t="s">
        <v>1137</v>
      </c>
    </row>
    <row r="1074" spans="1:1" x14ac:dyDescent="0.25">
      <c r="A1074" t="s">
        <v>1138</v>
      </c>
    </row>
    <row r="1075" spans="1:1" x14ac:dyDescent="0.25">
      <c r="A1075" t="s">
        <v>1139</v>
      </c>
    </row>
    <row r="1076" spans="1:1" x14ac:dyDescent="0.25">
      <c r="A1076" t="s">
        <v>1140</v>
      </c>
    </row>
    <row r="1077" spans="1:1" x14ac:dyDescent="0.25">
      <c r="A1077" t="s">
        <v>1141</v>
      </c>
    </row>
    <row r="1078" spans="1:1" x14ac:dyDescent="0.25">
      <c r="A1078" t="s">
        <v>1142</v>
      </c>
    </row>
    <row r="1079" spans="1:1" x14ac:dyDescent="0.25">
      <c r="A1079" t="s">
        <v>1143</v>
      </c>
    </row>
    <row r="1080" spans="1:1" x14ac:dyDescent="0.25">
      <c r="A1080" t="s">
        <v>1144</v>
      </c>
    </row>
    <row r="1081" spans="1:1" x14ac:dyDescent="0.25">
      <c r="A1081" t="s">
        <v>1145</v>
      </c>
    </row>
    <row r="1082" spans="1:1" x14ac:dyDescent="0.25">
      <c r="A1082" t="s">
        <v>1146</v>
      </c>
    </row>
    <row r="1083" spans="1:1" x14ac:dyDescent="0.25">
      <c r="A1083" t="s">
        <v>1147</v>
      </c>
    </row>
    <row r="1084" spans="1:1" x14ac:dyDescent="0.25">
      <c r="A1084" t="s">
        <v>1148</v>
      </c>
    </row>
    <row r="1085" spans="1:1" x14ac:dyDescent="0.25">
      <c r="A1085" t="s">
        <v>1149</v>
      </c>
    </row>
    <row r="1086" spans="1:1" x14ac:dyDescent="0.25">
      <c r="A1086" t="s">
        <v>1150</v>
      </c>
    </row>
    <row r="1087" spans="1:1" x14ac:dyDescent="0.25">
      <c r="A1087" t="s">
        <v>1151</v>
      </c>
    </row>
    <row r="1088" spans="1:1" x14ac:dyDescent="0.25">
      <c r="A1088" t="s">
        <v>1152</v>
      </c>
    </row>
    <row r="1089" spans="1:1" x14ac:dyDescent="0.25">
      <c r="A1089" t="s">
        <v>1153</v>
      </c>
    </row>
    <row r="1090" spans="1:1" x14ac:dyDescent="0.25">
      <c r="A1090" t="s">
        <v>1154</v>
      </c>
    </row>
    <row r="1091" spans="1:1" x14ac:dyDescent="0.25">
      <c r="A1091" t="s">
        <v>1155</v>
      </c>
    </row>
    <row r="1092" spans="1:1" x14ac:dyDescent="0.25">
      <c r="A1092" t="s">
        <v>1156</v>
      </c>
    </row>
    <row r="1093" spans="1:1" x14ac:dyDescent="0.25">
      <c r="A1093" t="s">
        <v>1157</v>
      </c>
    </row>
    <row r="1094" spans="1:1" x14ac:dyDescent="0.25">
      <c r="A1094" t="s">
        <v>1158</v>
      </c>
    </row>
    <row r="1095" spans="1:1" x14ac:dyDescent="0.25">
      <c r="A1095" t="s">
        <v>1159</v>
      </c>
    </row>
    <row r="1096" spans="1:1" x14ac:dyDescent="0.25">
      <c r="A1096" t="s">
        <v>1160</v>
      </c>
    </row>
    <row r="1097" spans="1:1" x14ac:dyDescent="0.25">
      <c r="A1097" t="s">
        <v>1161</v>
      </c>
    </row>
    <row r="1098" spans="1:1" x14ac:dyDescent="0.25">
      <c r="A1098" t="s">
        <v>1162</v>
      </c>
    </row>
    <row r="1099" spans="1:1" x14ac:dyDescent="0.25">
      <c r="A1099" t="s">
        <v>1163</v>
      </c>
    </row>
    <row r="1100" spans="1:1" x14ac:dyDescent="0.25">
      <c r="A1100" t="s">
        <v>1164</v>
      </c>
    </row>
    <row r="1101" spans="1:1" x14ac:dyDescent="0.25">
      <c r="A1101" t="s">
        <v>1165</v>
      </c>
    </row>
    <row r="1102" spans="1:1" x14ac:dyDescent="0.25">
      <c r="A1102" t="s">
        <v>1166</v>
      </c>
    </row>
    <row r="1103" spans="1:1" x14ac:dyDescent="0.25">
      <c r="A1103" t="s">
        <v>1167</v>
      </c>
    </row>
    <row r="1104" spans="1:1" x14ac:dyDescent="0.25">
      <c r="A1104" t="s">
        <v>1168</v>
      </c>
    </row>
    <row r="1105" spans="1:1" x14ac:dyDescent="0.25">
      <c r="A1105" t="s">
        <v>1169</v>
      </c>
    </row>
    <row r="1106" spans="1:1" x14ac:dyDescent="0.25">
      <c r="A1106" t="s">
        <v>1170</v>
      </c>
    </row>
    <row r="1107" spans="1:1" x14ac:dyDescent="0.25">
      <c r="A1107" t="s">
        <v>1171</v>
      </c>
    </row>
    <row r="1108" spans="1:1" x14ac:dyDescent="0.25">
      <c r="A1108" t="s">
        <v>1172</v>
      </c>
    </row>
    <row r="1109" spans="1:1" x14ac:dyDescent="0.25">
      <c r="A1109" t="s">
        <v>1173</v>
      </c>
    </row>
    <row r="1110" spans="1:1" x14ac:dyDescent="0.25">
      <c r="A1110" t="s">
        <v>1174</v>
      </c>
    </row>
    <row r="1111" spans="1:1" x14ac:dyDescent="0.25">
      <c r="A1111" t="s">
        <v>1175</v>
      </c>
    </row>
    <row r="1112" spans="1:1" x14ac:dyDescent="0.25">
      <c r="A1112" t="s">
        <v>1176</v>
      </c>
    </row>
    <row r="1113" spans="1:1" x14ac:dyDescent="0.25">
      <c r="A1113" t="s">
        <v>1177</v>
      </c>
    </row>
    <row r="1114" spans="1:1" x14ac:dyDescent="0.25">
      <c r="A1114" t="s">
        <v>1178</v>
      </c>
    </row>
    <row r="1115" spans="1:1" x14ac:dyDescent="0.25">
      <c r="A1115" t="s">
        <v>1179</v>
      </c>
    </row>
    <row r="1116" spans="1:1" x14ac:dyDescent="0.25">
      <c r="A1116" t="s">
        <v>1180</v>
      </c>
    </row>
    <row r="1117" spans="1:1" x14ac:dyDescent="0.25">
      <c r="A1117" t="s">
        <v>1181</v>
      </c>
    </row>
    <row r="1118" spans="1:1" x14ac:dyDescent="0.25">
      <c r="A1118" t="s">
        <v>1182</v>
      </c>
    </row>
    <row r="1119" spans="1:1" x14ac:dyDescent="0.25">
      <c r="A1119" t="s">
        <v>1183</v>
      </c>
    </row>
    <row r="1120" spans="1:1" x14ac:dyDescent="0.25">
      <c r="A1120" t="s">
        <v>1184</v>
      </c>
    </row>
    <row r="1121" spans="1:1" x14ac:dyDescent="0.25">
      <c r="A1121" t="s">
        <v>1185</v>
      </c>
    </row>
    <row r="1122" spans="1:1" x14ac:dyDescent="0.25">
      <c r="A1122" t="s">
        <v>1186</v>
      </c>
    </row>
    <row r="1123" spans="1:1" x14ac:dyDescent="0.25">
      <c r="A1123" t="s">
        <v>1187</v>
      </c>
    </row>
    <row r="1124" spans="1:1" x14ac:dyDescent="0.25">
      <c r="A1124" t="s">
        <v>1188</v>
      </c>
    </row>
    <row r="1125" spans="1:1" x14ac:dyDescent="0.25">
      <c r="A1125" t="s">
        <v>1189</v>
      </c>
    </row>
    <row r="1126" spans="1:1" x14ac:dyDescent="0.25">
      <c r="A1126" t="s">
        <v>1190</v>
      </c>
    </row>
    <row r="1127" spans="1:1" x14ac:dyDescent="0.25">
      <c r="A1127" t="s">
        <v>1191</v>
      </c>
    </row>
    <row r="1128" spans="1:1" x14ac:dyDescent="0.25">
      <c r="A1128" t="s">
        <v>1192</v>
      </c>
    </row>
    <row r="1129" spans="1:1" x14ac:dyDescent="0.25">
      <c r="A1129" t="s">
        <v>1193</v>
      </c>
    </row>
    <row r="1130" spans="1:1" x14ac:dyDescent="0.25">
      <c r="A1130" t="s">
        <v>1194</v>
      </c>
    </row>
    <row r="1131" spans="1:1" x14ac:dyDescent="0.25">
      <c r="A1131" t="s">
        <v>1195</v>
      </c>
    </row>
    <row r="1132" spans="1:1" x14ac:dyDescent="0.25">
      <c r="A1132" t="s">
        <v>1196</v>
      </c>
    </row>
    <row r="1133" spans="1:1" x14ac:dyDescent="0.25">
      <c r="A1133" t="s">
        <v>1197</v>
      </c>
    </row>
    <row r="1134" spans="1:1" x14ac:dyDescent="0.25">
      <c r="A1134" t="s">
        <v>1198</v>
      </c>
    </row>
    <row r="1135" spans="1:1" x14ac:dyDescent="0.25">
      <c r="A1135" t="s">
        <v>1199</v>
      </c>
    </row>
    <row r="1136" spans="1:1" x14ac:dyDescent="0.25">
      <c r="A1136" t="s">
        <v>1200</v>
      </c>
    </row>
    <row r="1137" spans="1:1" x14ac:dyDescent="0.25">
      <c r="A1137" t="s">
        <v>1201</v>
      </c>
    </row>
    <row r="1138" spans="1:1" x14ac:dyDescent="0.25">
      <c r="A1138" t="s">
        <v>1202</v>
      </c>
    </row>
    <row r="1139" spans="1:1" x14ac:dyDescent="0.25">
      <c r="A1139" t="s">
        <v>1203</v>
      </c>
    </row>
    <row r="1140" spans="1:1" x14ac:dyDescent="0.25">
      <c r="A1140" t="s">
        <v>1204</v>
      </c>
    </row>
    <row r="1141" spans="1:1" x14ac:dyDescent="0.25">
      <c r="A1141" t="s">
        <v>1205</v>
      </c>
    </row>
    <row r="1142" spans="1:1" x14ac:dyDescent="0.25">
      <c r="A1142" t="s">
        <v>1206</v>
      </c>
    </row>
    <row r="1143" spans="1:1" x14ac:dyDescent="0.25">
      <c r="A1143" t="s">
        <v>1207</v>
      </c>
    </row>
    <row r="1144" spans="1:1" x14ac:dyDescent="0.25">
      <c r="A1144" t="s">
        <v>1208</v>
      </c>
    </row>
    <row r="1145" spans="1:1" x14ac:dyDescent="0.25">
      <c r="A1145" t="s">
        <v>1209</v>
      </c>
    </row>
    <row r="1146" spans="1:1" x14ac:dyDescent="0.25">
      <c r="A1146" t="s">
        <v>1210</v>
      </c>
    </row>
    <row r="1147" spans="1:1" x14ac:dyDescent="0.25">
      <c r="A1147" t="s">
        <v>1211</v>
      </c>
    </row>
    <row r="1148" spans="1:1" x14ac:dyDescent="0.25">
      <c r="A1148" t="s">
        <v>1212</v>
      </c>
    </row>
    <row r="1149" spans="1:1" x14ac:dyDescent="0.25">
      <c r="A1149" t="s">
        <v>1213</v>
      </c>
    </row>
    <row r="1150" spans="1:1" x14ac:dyDescent="0.25">
      <c r="A1150" t="s">
        <v>1214</v>
      </c>
    </row>
    <row r="1151" spans="1:1" x14ac:dyDescent="0.25">
      <c r="A1151" t="s">
        <v>1215</v>
      </c>
    </row>
    <row r="1152" spans="1:1" x14ac:dyDescent="0.25">
      <c r="A1152" t="s">
        <v>1216</v>
      </c>
    </row>
    <row r="1153" spans="1:1" x14ac:dyDescent="0.25">
      <c r="A1153" t="s">
        <v>1217</v>
      </c>
    </row>
    <row r="1154" spans="1:1" x14ac:dyDescent="0.25">
      <c r="A1154" t="s">
        <v>1218</v>
      </c>
    </row>
    <row r="1155" spans="1:1" x14ac:dyDescent="0.25">
      <c r="A1155" t="s">
        <v>1219</v>
      </c>
    </row>
    <row r="1156" spans="1:1" x14ac:dyDescent="0.25">
      <c r="A1156" t="s">
        <v>1220</v>
      </c>
    </row>
    <row r="1157" spans="1:1" x14ac:dyDescent="0.25">
      <c r="A1157" t="s">
        <v>1221</v>
      </c>
    </row>
    <row r="1158" spans="1:1" x14ac:dyDescent="0.25">
      <c r="A1158" t="s">
        <v>1222</v>
      </c>
    </row>
    <row r="1159" spans="1:1" x14ac:dyDescent="0.25">
      <c r="A1159" t="s">
        <v>1223</v>
      </c>
    </row>
    <row r="1160" spans="1:1" x14ac:dyDescent="0.25">
      <c r="A1160" t="s">
        <v>1224</v>
      </c>
    </row>
    <row r="1161" spans="1:1" x14ac:dyDescent="0.25">
      <c r="A1161" t="s">
        <v>1225</v>
      </c>
    </row>
    <row r="1162" spans="1:1" x14ac:dyDescent="0.25">
      <c r="A1162" t="s">
        <v>1226</v>
      </c>
    </row>
    <row r="1163" spans="1:1" x14ac:dyDescent="0.25">
      <c r="A1163" t="s">
        <v>1227</v>
      </c>
    </row>
    <row r="1164" spans="1:1" x14ac:dyDescent="0.25">
      <c r="A1164" t="s">
        <v>1228</v>
      </c>
    </row>
    <row r="1165" spans="1:1" x14ac:dyDescent="0.25">
      <c r="A1165" t="s">
        <v>1229</v>
      </c>
    </row>
    <row r="1166" spans="1:1" x14ac:dyDescent="0.25">
      <c r="A1166" t="s">
        <v>1230</v>
      </c>
    </row>
    <row r="1167" spans="1:1" x14ac:dyDescent="0.25">
      <c r="A1167" t="s">
        <v>1231</v>
      </c>
    </row>
    <row r="1168" spans="1:1" x14ac:dyDescent="0.25">
      <c r="A1168" t="s">
        <v>1232</v>
      </c>
    </row>
    <row r="1169" spans="1:1" x14ac:dyDescent="0.25">
      <c r="A1169" t="s">
        <v>1233</v>
      </c>
    </row>
    <row r="1170" spans="1:1" x14ac:dyDescent="0.25">
      <c r="A1170" t="s">
        <v>1234</v>
      </c>
    </row>
    <row r="1171" spans="1:1" x14ac:dyDescent="0.25">
      <c r="A1171" t="s">
        <v>1235</v>
      </c>
    </row>
    <row r="1172" spans="1:1" x14ac:dyDescent="0.25">
      <c r="A1172" t="s">
        <v>1236</v>
      </c>
    </row>
    <row r="1173" spans="1:1" x14ac:dyDescent="0.25">
      <c r="A1173" t="s">
        <v>1237</v>
      </c>
    </row>
    <row r="1174" spans="1:1" x14ac:dyDescent="0.25">
      <c r="A1174" t="s">
        <v>1238</v>
      </c>
    </row>
    <row r="1175" spans="1:1" x14ac:dyDescent="0.25">
      <c r="A1175" t="s">
        <v>1239</v>
      </c>
    </row>
    <row r="1176" spans="1:1" x14ac:dyDescent="0.25">
      <c r="A1176" t="s">
        <v>1240</v>
      </c>
    </row>
    <row r="1177" spans="1:1" x14ac:dyDescent="0.25">
      <c r="A1177" t="s">
        <v>1241</v>
      </c>
    </row>
    <row r="1178" spans="1:1" x14ac:dyDescent="0.25">
      <c r="A1178" t="s">
        <v>1242</v>
      </c>
    </row>
    <row r="1179" spans="1:1" x14ac:dyDescent="0.25">
      <c r="A1179" t="s">
        <v>1243</v>
      </c>
    </row>
    <row r="1180" spans="1:1" x14ac:dyDescent="0.25">
      <c r="A1180" t="s">
        <v>1244</v>
      </c>
    </row>
    <row r="1181" spans="1:1" x14ac:dyDescent="0.25">
      <c r="A1181" t="s">
        <v>1245</v>
      </c>
    </row>
    <row r="1182" spans="1:1" x14ac:dyDescent="0.25">
      <c r="A1182" t="s">
        <v>1246</v>
      </c>
    </row>
    <row r="1183" spans="1:1" x14ac:dyDescent="0.25">
      <c r="A1183" t="s">
        <v>1247</v>
      </c>
    </row>
    <row r="1184" spans="1:1" x14ac:dyDescent="0.25">
      <c r="A1184" t="s">
        <v>1248</v>
      </c>
    </row>
    <row r="1185" spans="1:1" x14ac:dyDescent="0.25">
      <c r="A1185" t="s">
        <v>1249</v>
      </c>
    </row>
    <row r="1186" spans="1:1" x14ac:dyDescent="0.25">
      <c r="A1186" t="s">
        <v>1250</v>
      </c>
    </row>
    <row r="1187" spans="1:1" x14ac:dyDescent="0.25">
      <c r="A1187" t="s">
        <v>1251</v>
      </c>
    </row>
    <row r="1188" spans="1:1" x14ac:dyDescent="0.25">
      <c r="A1188" t="s">
        <v>1252</v>
      </c>
    </row>
    <row r="1189" spans="1:1" x14ac:dyDescent="0.25">
      <c r="A1189" t="s">
        <v>1253</v>
      </c>
    </row>
    <row r="1190" spans="1:1" x14ac:dyDescent="0.25">
      <c r="A1190" t="s">
        <v>1254</v>
      </c>
    </row>
    <row r="1191" spans="1:1" x14ac:dyDescent="0.25">
      <c r="A1191" t="s">
        <v>1255</v>
      </c>
    </row>
    <row r="1192" spans="1:1" x14ac:dyDescent="0.25">
      <c r="A1192" t="s">
        <v>1256</v>
      </c>
    </row>
    <row r="1193" spans="1:1" x14ac:dyDescent="0.25">
      <c r="A1193" t="s">
        <v>1257</v>
      </c>
    </row>
    <row r="1194" spans="1:1" x14ac:dyDescent="0.25">
      <c r="A1194" t="s">
        <v>1258</v>
      </c>
    </row>
    <row r="1195" spans="1:1" x14ac:dyDescent="0.25">
      <c r="A1195" t="s">
        <v>1259</v>
      </c>
    </row>
    <row r="1196" spans="1:1" x14ac:dyDescent="0.25">
      <c r="A1196" t="s">
        <v>1260</v>
      </c>
    </row>
    <row r="1197" spans="1:1" x14ac:dyDescent="0.25">
      <c r="A1197" t="s">
        <v>1261</v>
      </c>
    </row>
    <row r="1198" spans="1:1" x14ac:dyDescent="0.25">
      <c r="A1198" t="s">
        <v>1262</v>
      </c>
    </row>
    <row r="1199" spans="1:1" x14ac:dyDescent="0.25">
      <c r="A1199" t="s">
        <v>1263</v>
      </c>
    </row>
    <row r="1200" spans="1:1" x14ac:dyDescent="0.25">
      <c r="A1200" t="s">
        <v>1264</v>
      </c>
    </row>
    <row r="1201" spans="1:1" x14ac:dyDescent="0.25">
      <c r="A1201" t="s">
        <v>1265</v>
      </c>
    </row>
    <row r="1202" spans="1:1" x14ac:dyDescent="0.25">
      <c r="A1202" t="s">
        <v>1266</v>
      </c>
    </row>
    <row r="1203" spans="1:1" x14ac:dyDescent="0.25">
      <c r="A1203" t="s">
        <v>1267</v>
      </c>
    </row>
    <row r="1204" spans="1:1" x14ac:dyDescent="0.25">
      <c r="A1204" t="s">
        <v>1268</v>
      </c>
    </row>
    <row r="1205" spans="1:1" x14ac:dyDescent="0.25">
      <c r="A1205" t="s">
        <v>1269</v>
      </c>
    </row>
    <row r="1206" spans="1:1" x14ac:dyDescent="0.25">
      <c r="A1206" t="s">
        <v>1270</v>
      </c>
    </row>
    <row r="1207" spans="1:1" x14ac:dyDescent="0.25">
      <c r="A1207" t="s">
        <v>1271</v>
      </c>
    </row>
    <row r="1208" spans="1:1" x14ac:dyDescent="0.25">
      <c r="A1208" t="s">
        <v>1272</v>
      </c>
    </row>
    <row r="1209" spans="1:1" x14ac:dyDescent="0.25">
      <c r="A1209" t="s">
        <v>1273</v>
      </c>
    </row>
    <row r="1210" spans="1:1" x14ac:dyDescent="0.25">
      <c r="A1210" t="s">
        <v>1274</v>
      </c>
    </row>
    <row r="1211" spans="1:1" x14ac:dyDescent="0.25">
      <c r="A1211" t="s">
        <v>1275</v>
      </c>
    </row>
    <row r="1212" spans="1:1" x14ac:dyDescent="0.25">
      <c r="A1212" t="s">
        <v>1276</v>
      </c>
    </row>
    <row r="1213" spans="1:1" x14ac:dyDescent="0.25">
      <c r="A1213" t="s">
        <v>1277</v>
      </c>
    </row>
    <row r="1214" spans="1:1" x14ac:dyDescent="0.25">
      <c r="A1214" t="s">
        <v>1278</v>
      </c>
    </row>
    <row r="1215" spans="1:1" x14ac:dyDescent="0.25">
      <c r="A1215" t="s">
        <v>1279</v>
      </c>
    </row>
    <row r="1216" spans="1:1" x14ac:dyDescent="0.25">
      <c r="A1216" t="s">
        <v>1280</v>
      </c>
    </row>
    <row r="1217" spans="1:1" x14ac:dyDescent="0.25">
      <c r="A1217" t="s">
        <v>1281</v>
      </c>
    </row>
    <row r="1218" spans="1:1" x14ac:dyDescent="0.25">
      <c r="A1218" t="s">
        <v>1282</v>
      </c>
    </row>
    <row r="1219" spans="1:1" x14ac:dyDescent="0.25">
      <c r="A1219" t="s">
        <v>1283</v>
      </c>
    </row>
    <row r="1220" spans="1:1" x14ac:dyDescent="0.25">
      <c r="A1220" t="s">
        <v>1284</v>
      </c>
    </row>
    <row r="1221" spans="1:1" x14ac:dyDescent="0.25">
      <c r="A1221" t="s">
        <v>1285</v>
      </c>
    </row>
    <row r="1222" spans="1:1" x14ac:dyDescent="0.25">
      <c r="A1222" t="s">
        <v>1286</v>
      </c>
    </row>
    <row r="1223" spans="1:1" x14ac:dyDescent="0.25">
      <c r="A1223" t="s">
        <v>1287</v>
      </c>
    </row>
    <row r="1224" spans="1:1" x14ac:dyDescent="0.25">
      <c r="A1224" t="s">
        <v>1288</v>
      </c>
    </row>
    <row r="1225" spans="1:1" x14ac:dyDescent="0.25">
      <c r="A1225" t="s">
        <v>1289</v>
      </c>
    </row>
    <row r="1226" spans="1:1" x14ac:dyDescent="0.25">
      <c r="A1226" t="s">
        <v>1290</v>
      </c>
    </row>
    <row r="1227" spans="1:1" x14ac:dyDescent="0.25">
      <c r="A1227" t="s">
        <v>1291</v>
      </c>
    </row>
    <row r="1228" spans="1:1" x14ac:dyDescent="0.25">
      <c r="A1228" t="s">
        <v>1292</v>
      </c>
    </row>
    <row r="1229" spans="1:1" x14ac:dyDescent="0.25">
      <c r="A1229" t="s">
        <v>1293</v>
      </c>
    </row>
    <row r="1230" spans="1:1" x14ac:dyDescent="0.25">
      <c r="A1230" t="s">
        <v>1294</v>
      </c>
    </row>
    <row r="1231" spans="1:1" x14ac:dyDescent="0.25">
      <c r="A1231" t="s">
        <v>1295</v>
      </c>
    </row>
    <row r="1232" spans="1:1" x14ac:dyDescent="0.25">
      <c r="A1232" t="s">
        <v>1296</v>
      </c>
    </row>
    <row r="1233" spans="1:1" x14ac:dyDescent="0.25">
      <c r="A1233" t="s">
        <v>1297</v>
      </c>
    </row>
    <row r="1234" spans="1:1" x14ac:dyDescent="0.25">
      <c r="A1234" t="s">
        <v>1298</v>
      </c>
    </row>
    <row r="1235" spans="1:1" x14ac:dyDescent="0.25">
      <c r="A1235" t="s">
        <v>1299</v>
      </c>
    </row>
    <row r="1236" spans="1:1" x14ac:dyDescent="0.25">
      <c r="A1236" t="s">
        <v>1300</v>
      </c>
    </row>
    <row r="1237" spans="1:1" x14ac:dyDescent="0.25">
      <c r="A1237" t="s">
        <v>1301</v>
      </c>
    </row>
    <row r="1238" spans="1:1" x14ac:dyDescent="0.25">
      <c r="A1238" t="s">
        <v>1302</v>
      </c>
    </row>
    <row r="1239" spans="1:1" x14ac:dyDescent="0.25">
      <c r="A1239" t="s">
        <v>1303</v>
      </c>
    </row>
    <row r="1240" spans="1:1" x14ac:dyDescent="0.25">
      <c r="A1240" t="s">
        <v>1304</v>
      </c>
    </row>
    <row r="1241" spans="1:1" x14ac:dyDescent="0.25">
      <c r="A1241" t="s">
        <v>1305</v>
      </c>
    </row>
    <row r="1242" spans="1:1" x14ac:dyDescent="0.25">
      <c r="A1242" t="s">
        <v>1306</v>
      </c>
    </row>
    <row r="1243" spans="1:1" x14ac:dyDescent="0.25">
      <c r="A1243" t="s">
        <v>1307</v>
      </c>
    </row>
    <row r="1244" spans="1:1" x14ac:dyDescent="0.25">
      <c r="A1244" t="s">
        <v>1308</v>
      </c>
    </row>
    <row r="1245" spans="1:1" x14ac:dyDescent="0.25">
      <c r="A1245" t="s">
        <v>1309</v>
      </c>
    </row>
    <row r="1246" spans="1:1" x14ac:dyDescent="0.25">
      <c r="A1246" t="s">
        <v>1310</v>
      </c>
    </row>
    <row r="1247" spans="1:1" x14ac:dyDescent="0.25">
      <c r="A1247" t="s">
        <v>1311</v>
      </c>
    </row>
    <row r="1248" spans="1:1" x14ac:dyDescent="0.25">
      <c r="A1248" t="s">
        <v>1312</v>
      </c>
    </row>
    <row r="1249" spans="1:1" x14ac:dyDescent="0.25">
      <c r="A1249" t="s">
        <v>1313</v>
      </c>
    </row>
    <row r="1250" spans="1:1" x14ac:dyDescent="0.25">
      <c r="A1250" t="s">
        <v>1314</v>
      </c>
    </row>
    <row r="1251" spans="1:1" x14ac:dyDescent="0.25">
      <c r="A1251" t="s">
        <v>1315</v>
      </c>
    </row>
    <row r="1252" spans="1:1" x14ac:dyDescent="0.25">
      <c r="A1252" t="s">
        <v>1316</v>
      </c>
    </row>
    <row r="1253" spans="1:1" x14ac:dyDescent="0.25">
      <c r="A1253" t="s">
        <v>1317</v>
      </c>
    </row>
    <row r="1254" spans="1:1" x14ac:dyDescent="0.25">
      <c r="A1254" t="s">
        <v>1318</v>
      </c>
    </row>
    <row r="1255" spans="1:1" x14ac:dyDescent="0.25">
      <c r="A1255" t="s">
        <v>1319</v>
      </c>
    </row>
    <row r="1256" spans="1:1" x14ac:dyDescent="0.25">
      <c r="A1256" t="s">
        <v>1320</v>
      </c>
    </row>
    <row r="1257" spans="1:1" x14ac:dyDescent="0.25">
      <c r="A1257" t="s">
        <v>1321</v>
      </c>
    </row>
    <row r="1258" spans="1:1" x14ac:dyDescent="0.25">
      <c r="A1258" t="s">
        <v>1322</v>
      </c>
    </row>
    <row r="1259" spans="1:1" x14ac:dyDescent="0.25">
      <c r="A1259" t="s">
        <v>1323</v>
      </c>
    </row>
    <row r="1260" spans="1:1" x14ac:dyDescent="0.25">
      <c r="A1260" t="s">
        <v>1324</v>
      </c>
    </row>
    <row r="1261" spans="1:1" x14ac:dyDescent="0.25">
      <c r="A1261" t="s">
        <v>1325</v>
      </c>
    </row>
    <row r="1262" spans="1:1" x14ac:dyDescent="0.25">
      <c r="A1262" t="s">
        <v>1326</v>
      </c>
    </row>
    <row r="1263" spans="1:1" x14ac:dyDescent="0.25">
      <c r="A1263" t="s">
        <v>1327</v>
      </c>
    </row>
    <row r="1264" spans="1:1" x14ac:dyDescent="0.25">
      <c r="A1264" t="s">
        <v>1328</v>
      </c>
    </row>
    <row r="1265" spans="1:1" x14ac:dyDescent="0.25">
      <c r="A1265" t="s">
        <v>1329</v>
      </c>
    </row>
    <row r="1266" spans="1:1" x14ac:dyDescent="0.25">
      <c r="A1266" t="s">
        <v>1330</v>
      </c>
    </row>
    <row r="1267" spans="1:1" x14ac:dyDescent="0.25">
      <c r="A1267" t="s">
        <v>1331</v>
      </c>
    </row>
    <row r="1268" spans="1:1" x14ac:dyDescent="0.25">
      <c r="A1268" t="s">
        <v>1332</v>
      </c>
    </row>
    <row r="1269" spans="1:1" x14ac:dyDescent="0.25">
      <c r="A1269" t="s">
        <v>1333</v>
      </c>
    </row>
    <row r="1270" spans="1:1" x14ac:dyDescent="0.25">
      <c r="A1270" t="s">
        <v>1334</v>
      </c>
    </row>
    <row r="1271" spans="1:1" x14ac:dyDescent="0.25">
      <c r="A1271" t="s">
        <v>1335</v>
      </c>
    </row>
    <row r="1272" spans="1:1" x14ac:dyDescent="0.25">
      <c r="A1272" t="s">
        <v>1336</v>
      </c>
    </row>
    <row r="1273" spans="1:1" x14ac:dyDescent="0.25">
      <c r="A1273" t="s">
        <v>1337</v>
      </c>
    </row>
    <row r="1274" spans="1:1" x14ac:dyDescent="0.25">
      <c r="A1274" t="s">
        <v>1338</v>
      </c>
    </row>
    <row r="1275" spans="1:1" x14ac:dyDescent="0.25">
      <c r="A1275" t="s">
        <v>1339</v>
      </c>
    </row>
    <row r="1276" spans="1:1" x14ac:dyDescent="0.25">
      <c r="A1276" t="s">
        <v>1340</v>
      </c>
    </row>
    <row r="1277" spans="1:1" x14ac:dyDescent="0.25">
      <c r="A1277" t="s">
        <v>1341</v>
      </c>
    </row>
    <row r="1278" spans="1:1" x14ac:dyDescent="0.25">
      <c r="A1278" t="s">
        <v>1342</v>
      </c>
    </row>
    <row r="1279" spans="1:1" x14ac:dyDescent="0.25">
      <c r="A1279" t="s">
        <v>1343</v>
      </c>
    </row>
    <row r="1280" spans="1:1" x14ac:dyDescent="0.25">
      <c r="A1280" t="s">
        <v>1344</v>
      </c>
    </row>
    <row r="1281" spans="1:1" x14ac:dyDescent="0.25">
      <c r="A1281" t="s">
        <v>1345</v>
      </c>
    </row>
    <row r="1282" spans="1:1" x14ac:dyDescent="0.25">
      <c r="A1282" t="s">
        <v>1346</v>
      </c>
    </row>
    <row r="1283" spans="1:1" x14ac:dyDescent="0.25">
      <c r="A1283" t="s">
        <v>1347</v>
      </c>
    </row>
    <row r="1284" spans="1:1" x14ac:dyDescent="0.25">
      <c r="A1284" t="s">
        <v>1348</v>
      </c>
    </row>
    <row r="1285" spans="1:1" x14ac:dyDescent="0.25">
      <c r="A1285" t="s">
        <v>1349</v>
      </c>
    </row>
    <row r="1286" spans="1:1" x14ac:dyDescent="0.25">
      <c r="A1286" t="s">
        <v>1350</v>
      </c>
    </row>
    <row r="1287" spans="1:1" x14ac:dyDescent="0.25">
      <c r="A1287" t="s">
        <v>1351</v>
      </c>
    </row>
    <row r="1288" spans="1:1" x14ac:dyDescent="0.25">
      <c r="A1288" t="s">
        <v>1352</v>
      </c>
    </row>
    <row r="1289" spans="1:1" x14ac:dyDescent="0.25">
      <c r="A1289" t="s">
        <v>1353</v>
      </c>
    </row>
    <row r="1290" spans="1:1" x14ac:dyDescent="0.25">
      <c r="A1290" t="s">
        <v>1354</v>
      </c>
    </row>
    <row r="1291" spans="1:1" x14ac:dyDescent="0.25">
      <c r="A1291" t="s">
        <v>1355</v>
      </c>
    </row>
    <row r="1292" spans="1:1" x14ac:dyDescent="0.25">
      <c r="A1292" t="s">
        <v>1356</v>
      </c>
    </row>
    <row r="1293" spans="1:1" x14ac:dyDescent="0.25">
      <c r="A1293" t="s">
        <v>1357</v>
      </c>
    </row>
    <row r="1294" spans="1:1" x14ac:dyDescent="0.25">
      <c r="A1294" t="s">
        <v>1358</v>
      </c>
    </row>
    <row r="1295" spans="1:1" x14ac:dyDescent="0.25">
      <c r="A1295" t="s">
        <v>1359</v>
      </c>
    </row>
    <row r="1296" spans="1:1" x14ac:dyDescent="0.25">
      <c r="A1296" t="s">
        <v>1360</v>
      </c>
    </row>
    <row r="1297" spans="1:1" x14ac:dyDescent="0.25">
      <c r="A1297" t="s">
        <v>1361</v>
      </c>
    </row>
    <row r="1298" spans="1:1" x14ac:dyDescent="0.25">
      <c r="A1298" t="s">
        <v>1362</v>
      </c>
    </row>
    <row r="1299" spans="1:1" x14ac:dyDescent="0.25">
      <c r="A1299" t="s">
        <v>1363</v>
      </c>
    </row>
    <row r="1300" spans="1:1" x14ac:dyDescent="0.25">
      <c r="A1300" t="s">
        <v>1364</v>
      </c>
    </row>
    <row r="1301" spans="1:1" x14ac:dyDescent="0.25">
      <c r="A1301" t="s">
        <v>1365</v>
      </c>
    </row>
    <row r="1302" spans="1:1" x14ac:dyDescent="0.25">
      <c r="A1302" t="s">
        <v>1366</v>
      </c>
    </row>
    <row r="1303" spans="1:1" x14ac:dyDescent="0.25">
      <c r="A1303" t="s">
        <v>1367</v>
      </c>
    </row>
    <row r="1304" spans="1:1" x14ac:dyDescent="0.25">
      <c r="A1304" t="s">
        <v>1368</v>
      </c>
    </row>
    <row r="1305" spans="1:1" x14ac:dyDescent="0.25">
      <c r="A1305" t="s">
        <v>1369</v>
      </c>
    </row>
    <row r="1306" spans="1:1" x14ac:dyDescent="0.25">
      <c r="A1306" t="s">
        <v>1370</v>
      </c>
    </row>
    <row r="1307" spans="1:1" x14ac:dyDescent="0.25">
      <c r="A1307" t="s">
        <v>1371</v>
      </c>
    </row>
    <row r="1308" spans="1:1" x14ac:dyDescent="0.25">
      <c r="A1308" t="s">
        <v>1372</v>
      </c>
    </row>
    <row r="1309" spans="1:1" x14ac:dyDescent="0.25">
      <c r="A1309" t="s">
        <v>1373</v>
      </c>
    </row>
    <row r="1310" spans="1:1" x14ac:dyDescent="0.25">
      <c r="A1310" t="s">
        <v>1374</v>
      </c>
    </row>
    <row r="1311" spans="1:1" x14ac:dyDescent="0.25">
      <c r="A1311" t="s">
        <v>1375</v>
      </c>
    </row>
    <row r="1312" spans="1:1" x14ac:dyDescent="0.25">
      <c r="A1312" t="s">
        <v>1376</v>
      </c>
    </row>
    <row r="1313" spans="1:1" x14ac:dyDescent="0.25">
      <c r="A1313" t="s">
        <v>1377</v>
      </c>
    </row>
    <row r="1314" spans="1:1" x14ac:dyDescent="0.25">
      <c r="A1314" t="s">
        <v>1378</v>
      </c>
    </row>
    <row r="1315" spans="1:1" x14ac:dyDescent="0.25">
      <c r="A1315" t="s">
        <v>1379</v>
      </c>
    </row>
    <row r="1316" spans="1:1" x14ac:dyDescent="0.25">
      <c r="A1316" t="s">
        <v>1380</v>
      </c>
    </row>
    <row r="1317" spans="1:1" x14ac:dyDescent="0.25">
      <c r="A1317" t="s">
        <v>1381</v>
      </c>
    </row>
    <row r="1318" spans="1:1" x14ac:dyDescent="0.25">
      <c r="A1318" t="s">
        <v>1382</v>
      </c>
    </row>
    <row r="1319" spans="1:1" x14ac:dyDescent="0.25">
      <c r="A1319" t="s">
        <v>1383</v>
      </c>
    </row>
    <row r="1320" spans="1:1" x14ac:dyDescent="0.25">
      <c r="A1320" t="s">
        <v>1384</v>
      </c>
    </row>
    <row r="1321" spans="1:1" x14ac:dyDescent="0.25">
      <c r="A1321" t="s">
        <v>1385</v>
      </c>
    </row>
    <row r="1322" spans="1:1" x14ac:dyDescent="0.25">
      <c r="A1322" t="s">
        <v>1386</v>
      </c>
    </row>
    <row r="1323" spans="1:1" x14ac:dyDescent="0.25">
      <c r="A1323" t="s">
        <v>1387</v>
      </c>
    </row>
    <row r="1324" spans="1:1" x14ac:dyDescent="0.25">
      <c r="A1324" t="s">
        <v>1388</v>
      </c>
    </row>
    <row r="1325" spans="1:1" x14ac:dyDescent="0.25">
      <c r="A1325" t="s">
        <v>1389</v>
      </c>
    </row>
    <row r="1326" spans="1:1" x14ac:dyDescent="0.25">
      <c r="A1326" t="s">
        <v>1390</v>
      </c>
    </row>
    <row r="1327" spans="1:1" x14ac:dyDescent="0.25">
      <c r="A1327" t="s">
        <v>1391</v>
      </c>
    </row>
    <row r="1328" spans="1:1" x14ac:dyDescent="0.25">
      <c r="A1328" t="s">
        <v>1392</v>
      </c>
    </row>
    <row r="1329" spans="1:1" x14ac:dyDescent="0.25">
      <c r="A1329" t="s">
        <v>1393</v>
      </c>
    </row>
    <row r="1330" spans="1:1" x14ac:dyDescent="0.25">
      <c r="A1330" t="s">
        <v>1394</v>
      </c>
    </row>
    <row r="1331" spans="1:1" x14ac:dyDescent="0.25">
      <c r="A1331" t="s">
        <v>1395</v>
      </c>
    </row>
    <row r="1332" spans="1:1" x14ac:dyDescent="0.25">
      <c r="A1332" t="s">
        <v>1396</v>
      </c>
    </row>
    <row r="1333" spans="1:1" x14ac:dyDescent="0.25">
      <c r="A1333" t="s">
        <v>1397</v>
      </c>
    </row>
    <row r="1334" spans="1:1" x14ac:dyDescent="0.25">
      <c r="A1334" t="s">
        <v>1398</v>
      </c>
    </row>
    <row r="1335" spans="1:1" x14ac:dyDescent="0.25">
      <c r="A1335" t="s">
        <v>1399</v>
      </c>
    </row>
    <row r="1336" spans="1:1" x14ac:dyDescent="0.25">
      <c r="A1336" t="s">
        <v>1400</v>
      </c>
    </row>
    <row r="1337" spans="1:1" x14ac:dyDescent="0.25">
      <c r="A1337" t="s">
        <v>1401</v>
      </c>
    </row>
    <row r="1338" spans="1:1" x14ac:dyDescent="0.25">
      <c r="A1338" t="s">
        <v>1402</v>
      </c>
    </row>
    <row r="1339" spans="1:1" x14ac:dyDescent="0.25">
      <c r="A1339" t="s">
        <v>1403</v>
      </c>
    </row>
    <row r="1340" spans="1:1" x14ac:dyDescent="0.25">
      <c r="A1340" t="s">
        <v>1404</v>
      </c>
    </row>
    <row r="1341" spans="1:1" x14ac:dyDescent="0.25">
      <c r="A1341" t="s">
        <v>1405</v>
      </c>
    </row>
    <row r="1342" spans="1:1" x14ac:dyDescent="0.25">
      <c r="A1342" t="s">
        <v>1406</v>
      </c>
    </row>
    <row r="1343" spans="1:1" x14ac:dyDescent="0.25">
      <c r="A1343" t="s">
        <v>1407</v>
      </c>
    </row>
    <row r="1344" spans="1:1" x14ac:dyDescent="0.25">
      <c r="A1344" t="s">
        <v>1408</v>
      </c>
    </row>
    <row r="1345" spans="1:1" x14ac:dyDescent="0.25">
      <c r="A1345" t="s">
        <v>1409</v>
      </c>
    </row>
    <row r="1346" spans="1:1" x14ac:dyDescent="0.25">
      <c r="A1346" t="s">
        <v>1410</v>
      </c>
    </row>
    <row r="1347" spans="1:1" x14ac:dyDescent="0.25">
      <c r="A1347" t="s">
        <v>1411</v>
      </c>
    </row>
    <row r="1348" spans="1:1" x14ac:dyDescent="0.25">
      <c r="A1348" t="s">
        <v>1412</v>
      </c>
    </row>
    <row r="1349" spans="1:1" x14ac:dyDescent="0.25">
      <c r="A1349" t="s">
        <v>1413</v>
      </c>
    </row>
    <row r="1350" spans="1:1" x14ac:dyDescent="0.25">
      <c r="A1350" t="s">
        <v>1414</v>
      </c>
    </row>
    <row r="1351" spans="1:1" x14ac:dyDescent="0.25">
      <c r="A1351" t="s">
        <v>1415</v>
      </c>
    </row>
    <row r="1352" spans="1:1" x14ac:dyDescent="0.25">
      <c r="A1352" t="s">
        <v>1416</v>
      </c>
    </row>
    <row r="1353" spans="1:1" x14ac:dyDescent="0.25">
      <c r="A1353" t="s">
        <v>1417</v>
      </c>
    </row>
    <row r="1354" spans="1:1" x14ac:dyDescent="0.25">
      <c r="A1354" t="s">
        <v>1418</v>
      </c>
    </row>
    <row r="1355" spans="1:1" x14ac:dyDescent="0.25">
      <c r="A1355" t="s">
        <v>1419</v>
      </c>
    </row>
    <row r="1356" spans="1:1" x14ac:dyDescent="0.25">
      <c r="A1356" t="s">
        <v>1420</v>
      </c>
    </row>
    <row r="1357" spans="1:1" x14ac:dyDescent="0.25">
      <c r="A1357" t="s">
        <v>1421</v>
      </c>
    </row>
    <row r="1358" spans="1:1" x14ac:dyDescent="0.25">
      <c r="A1358" t="s">
        <v>1422</v>
      </c>
    </row>
    <row r="1359" spans="1:1" x14ac:dyDescent="0.25">
      <c r="A1359" t="s">
        <v>1423</v>
      </c>
    </row>
    <row r="1360" spans="1:1" x14ac:dyDescent="0.25">
      <c r="A1360" t="s">
        <v>1424</v>
      </c>
    </row>
    <row r="1361" spans="1:1" x14ac:dyDescent="0.25">
      <c r="A1361" t="s">
        <v>1425</v>
      </c>
    </row>
    <row r="1362" spans="1:1" x14ac:dyDescent="0.25">
      <c r="A1362" t="s">
        <v>1426</v>
      </c>
    </row>
    <row r="1363" spans="1:1" x14ac:dyDescent="0.25">
      <c r="A1363" t="s">
        <v>1427</v>
      </c>
    </row>
    <row r="1364" spans="1:1" x14ac:dyDescent="0.25">
      <c r="A1364" t="s">
        <v>1428</v>
      </c>
    </row>
    <row r="1365" spans="1:1" x14ac:dyDescent="0.25">
      <c r="A1365" t="s">
        <v>1429</v>
      </c>
    </row>
    <row r="1366" spans="1:1" x14ac:dyDescent="0.25">
      <c r="A1366" t="s">
        <v>1430</v>
      </c>
    </row>
    <row r="1367" spans="1:1" x14ac:dyDescent="0.25">
      <c r="A1367" t="s">
        <v>1431</v>
      </c>
    </row>
    <row r="1368" spans="1:1" x14ac:dyDescent="0.25">
      <c r="A1368" t="s">
        <v>1432</v>
      </c>
    </row>
    <row r="1369" spans="1:1" x14ac:dyDescent="0.25">
      <c r="A1369" t="s">
        <v>1433</v>
      </c>
    </row>
    <row r="1370" spans="1:1" x14ac:dyDescent="0.25">
      <c r="A1370" t="s">
        <v>1434</v>
      </c>
    </row>
    <row r="1371" spans="1:1" x14ac:dyDescent="0.25">
      <c r="A1371" t="s">
        <v>1435</v>
      </c>
    </row>
    <row r="1372" spans="1:1" x14ac:dyDescent="0.25">
      <c r="A1372" t="s">
        <v>1436</v>
      </c>
    </row>
    <row r="1373" spans="1:1" x14ac:dyDescent="0.25">
      <c r="A1373" t="s">
        <v>1437</v>
      </c>
    </row>
    <row r="1374" spans="1:1" x14ac:dyDescent="0.25">
      <c r="A1374" t="s">
        <v>1438</v>
      </c>
    </row>
    <row r="1375" spans="1:1" x14ac:dyDescent="0.25">
      <c r="A1375" t="s">
        <v>1439</v>
      </c>
    </row>
    <row r="1376" spans="1:1" x14ac:dyDescent="0.25">
      <c r="A1376" t="s">
        <v>1440</v>
      </c>
    </row>
    <row r="1377" spans="1:1" x14ac:dyDescent="0.25">
      <c r="A1377" t="s">
        <v>1441</v>
      </c>
    </row>
    <row r="1378" spans="1:1" x14ac:dyDescent="0.25">
      <c r="A1378" t="s">
        <v>1442</v>
      </c>
    </row>
    <row r="1379" spans="1:1" x14ac:dyDescent="0.25">
      <c r="A1379" t="s">
        <v>1443</v>
      </c>
    </row>
    <row r="1380" spans="1:1" x14ac:dyDescent="0.25">
      <c r="A1380" t="s">
        <v>1444</v>
      </c>
    </row>
    <row r="1381" spans="1:1" x14ac:dyDescent="0.25">
      <c r="A1381" t="s">
        <v>1445</v>
      </c>
    </row>
    <row r="1382" spans="1:1" x14ac:dyDescent="0.25">
      <c r="A1382" t="s">
        <v>1446</v>
      </c>
    </row>
    <row r="1383" spans="1:1" x14ac:dyDescent="0.25">
      <c r="A1383" t="s">
        <v>1447</v>
      </c>
    </row>
    <row r="1384" spans="1:1" x14ac:dyDescent="0.25">
      <c r="A1384" t="s">
        <v>1448</v>
      </c>
    </row>
    <row r="1385" spans="1:1" x14ac:dyDescent="0.25">
      <c r="A1385" t="s">
        <v>1449</v>
      </c>
    </row>
    <row r="1386" spans="1:1" x14ac:dyDescent="0.25">
      <c r="A1386" t="s">
        <v>1450</v>
      </c>
    </row>
    <row r="1387" spans="1:1" x14ac:dyDescent="0.25">
      <c r="A1387" t="s">
        <v>1451</v>
      </c>
    </row>
    <row r="1388" spans="1:1" x14ac:dyDescent="0.25">
      <c r="A1388" t="s">
        <v>1452</v>
      </c>
    </row>
    <row r="1389" spans="1:1" x14ac:dyDescent="0.25">
      <c r="A1389" t="s">
        <v>1453</v>
      </c>
    </row>
    <row r="1390" spans="1:1" x14ac:dyDescent="0.25">
      <c r="A1390" t="s">
        <v>1454</v>
      </c>
    </row>
    <row r="1391" spans="1:1" x14ac:dyDescent="0.25">
      <c r="A1391" t="s">
        <v>1455</v>
      </c>
    </row>
    <row r="1392" spans="1:1" x14ac:dyDescent="0.25">
      <c r="A1392" t="s">
        <v>1456</v>
      </c>
    </row>
    <row r="1393" spans="1:1" x14ac:dyDescent="0.25">
      <c r="A1393" t="s">
        <v>1457</v>
      </c>
    </row>
    <row r="1394" spans="1:1" x14ac:dyDescent="0.25">
      <c r="A1394" t="s">
        <v>1458</v>
      </c>
    </row>
    <row r="1395" spans="1:1" x14ac:dyDescent="0.25">
      <c r="A1395" t="s">
        <v>1459</v>
      </c>
    </row>
    <row r="1396" spans="1:1" x14ac:dyDescent="0.25">
      <c r="A1396" t="s">
        <v>1460</v>
      </c>
    </row>
    <row r="1397" spans="1:1" x14ac:dyDescent="0.25">
      <c r="A1397" t="s">
        <v>1461</v>
      </c>
    </row>
    <row r="1398" spans="1:1" x14ac:dyDescent="0.25">
      <c r="A1398" t="s">
        <v>1462</v>
      </c>
    </row>
    <row r="1399" spans="1:1" x14ac:dyDescent="0.25">
      <c r="A1399" t="s">
        <v>1463</v>
      </c>
    </row>
    <row r="1400" spans="1:1" x14ac:dyDescent="0.25">
      <c r="A1400" t="s">
        <v>1464</v>
      </c>
    </row>
    <row r="1401" spans="1:1" x14ac:dyDescent="0.25">
      <c r="A1401" t="s">
        <v>1465</v>
      </c>
    </row>
    <row r="1402" spans="1:1" x14ac:dyDescent="0.25">
      <c r="A1402" t="s">
        <v>1466</v>
      </c>
    </row>
    <row r="1403" spans="1:1" x14ac:dyDescent="0.25">
      <c r="A1403" t="s">
        <v>1467</v>
      </c>
    </row>
    <row r="1404" spans="1:1" x14ac:dyDescent="0.25">
      <c r="A1404" t="s">
        <v>1468</v>
      </c>
    </row>
    <row r="1405" spans="1:1" x14ac:dyDescent="0.25">
      <c r="A1405" t="s">
        <v>1469</v>
      </c>
    </row>
    <row r="1406" spans="1:1" x14ac:dyDescent="0.25">
      <c r="A1406" t="s">
        <v>1470</v>
      </c>
    </row>
    <row r="1407" spans="1:1" x14ac:dyDescent="0.25">
      <c r="A1407" t="s">
        <v>1471</v>
      </c>
    </row>
    <row r="1408" spans="1:1" x14ac:dyDescent="0.25">
      <c r="A1408" t="s">
        <v>1472</v>
      </c>
    </row>
    <row r="1409" spans="1:1" x14ac:dyDescent="0.25">
      <c r="A1409" t="s">
        <v>1473</v>
      </c>
    </row>
    <row r="1410" spans="1:1" x14ac:dyDescent="0.25">
      <c r="A1410" t="s">
        <v>1474</v>
      </c>
    </row>
    <row r="1411" spans="1:1" x14ac:dyDescent="0.25">
      <c r="A1411" t="s">
        <v>1475</v>
      </c>
    </row>
    <row r="1412" spans="1:1" x14ac:dyDescent="0.25">
      <c r="A1412" t="s">
        <v>1476</v>
      </c>
    </row>
    <row r="1413" spans="1:1" x14ac:dyDescent="0.25">
      <c r="A1413" t="s">
        <v>1477</v>
      </c>
    </row>
    <row r="1414" spans="1:1" x14ac:dyDescent="0.25">
      <c r="A1414" t="s">
        <v>1478</v>
      </c>
    </row>
    <row r="1415" spans="1:1" x14ac:dyDescent="0.25">
      <c r="A1415" t="s">
        <v>1479</v>
      </c>
    </row>
    <row r="1416" spans="1:1" x14ac:dyDescent="0.25">
      <c r="A1416" t="s">
        <v>1480</v>
      </c>
    </row>
    <row r="1417" spans="1:1" x14ac:dyDescent="0.25">
      <c r="A1417" t="s">
        <v>1481</v>
      </c>
    </row>
    <row r="1418" spans="1:1" x14ac:dyDescent="0.25">
      <c r="A1418" t="s">
        <v>1482</v>
      </c>
    </row>
    <row r="1419" spans="1:1" x14ac:dyDescent="0.25">
      <c r="A1419" t="s">
        <v>1483</v>
      </c>
    </row>
    <row r="1420" spans="1:1" x14ac:dyDescent="0.25">
      <c r="A1420" t="s">
        <v>1484</v>
      </c>
    </row>
    <row r="1421" spans="1:1" x14ac:dyDescent="0.25">
      <c r="A1421" t="s">
        <v>1485</v>
      </c>
    </row>
    <row r="1422" spans="1:1" x14ac:dyDescent="0.25">
      <c r="A1422" t="s">
        <v>1486</v>
      </c>
    </row>
    <row r="1423" spans="1:1" x14ac:dyDescent="0.25">
      <c r="A1423" t="s">
        <v>1487</v>
      </c>
    </row>
    <row r="1424" spans="1:1" x14ac:dyDescent="0.25">
      <c r="A1424" t="s">
        <v>1488</v>
      </c>
    </row>
    <row r="1425" spans="1:1" x14ac:dyDescent="0.25">
      <c r="A1425" t="s">
        <v>1489</v>
      </c>
    </row>
    <row r="1426" spans="1:1" x14ac:dyDescent="0.25">
      <c r="A1426" t="s">
        <v>1490</v>
      </c>
    </row>
    <row r="1427" spans="1:1" x14ac:dyDescent="0.25">
      <c r="A1427" t="s">
        <v>1491</v>
      </c>
    </row>
    <row r="1428" spans="1:1" x14ac:dyDescent="0.25">
      <c r="A1428" t="s">
        <v>1492</v>
      </c>
    </row>
    <row r="1429" spans="1:1" x14ac:dyDescent="0.25">
      <c r="A1429" t="s">
        <v>1493</v>
      </c>
    </row>
    <row r="1430" spans="1:1" x14ac:dyDescent="0.25">
      <c r="A1430" t="s">
        <v>1494</v>
      </c>
    </row>
    <row r="1431" spans="1:1" x14ac:dyDescent="0.25">
      <c r="A1431" t="s">
        <v>1495</v>
      </c>
    </row>
    <row r="1432" spans="1:1" x14ac:dyDescent="0.25">
      <c r="A1432" t="s">
        <v>1496</v>
      </c>
    </row>
    <row r="1433" spans="1:1" x14ac:dyDescent="0.25">
      <c r="A1433" t="s">
        <v>1497</v>
      </c>
    </row>
    <row r="1434" spans="1:1" x14ac:dyDescent="0.25">
      <c r="A1434" t="s">
        <v>1498</v>
      </c>
    </row>
    <row r="1435" spans="1:1" x14ac:dyDescent="0.25">
      <c r="A1435" t="s">
        <v>1499</v>
      </c>
    </row>
    <row r="1436" spans="1:1" x14ac:dyDescent="0.25">
      <c r="A1436" t="s">
        <v>1500</v>
      </c>
    </row>
    <row r="1437" spans="1:1" x14ac:dyDescent="0.25">
      <c r="A1437" t="s">
        <v>1501</v>
      </c>
    </row>
    <row r="1438" spans="1:1" x14ac:dyDescent="0.25">
      <c r="A1438" t="s">
        <v>1502</v>
      </c>
    </row>
    <row r="1439" spans="1:1" x14ac:dyDescent="0.25">
      <c r="A1439" t="s">
        <v>1503</v>
      </c>
    </row>
    <row r="1440" spans="1:1" x14ac:dyDescent="0.25">
      <c r="A1440" t="s">
        <v>1504</v>
      </c>
    </row>
    <row r="1441" spans="1:1" x14ac:dyDescent="0.25">
      <c r="A1441" t="s">
        <v>1505</v>
      </c>
    </row>
    <row r="1442" spans="1:1" x14ac:dyDescent="0.25">
      <c r="A1442" t="s">
        <v>1506</v>
      </c>
    </row>
    <row r="1443" spans="1:1" x14ac:dyDescent="0.25">
      <c r="A1443" t="s">
        <v>1507</v>
      </c>
    </row>
    <row r="1444" spans="1:1" x14ac:dyDescent="0.25">
      <c r="A1444" t="s">
        <v>1508</v>
      </c>
    </row>
    <row r="1445" spans="1:1" x14ac:dyDescent="0.25">
      <c r="A1445" t="s">
        <v>1509</v>
      </c>
    </row>
    <row r="1446" spans="1:1" x14ac:dyDescent="0.25">
      <c r="A1446" t="s">
        <v>1510</v>
      </c>
    </row>
    <row r="1447" spans="1:1" x14ac:dyDescent="0.25">
      <c r="A1447" t="s">
        <v>1511</v>
      </c>
    </row>
    <row r="1448" spans="1:1" x14ac:dyDescent="0.25">
      <c r="A1448" t="s">
        <v>1512</v>
      </c>
    </row>
    <row r="1449" spans="1:1" x14ac:dyDescent="0.25">
      <c r="A1449" t="s">
        <v>1513</v>
      </c>
    </row>
    <row r="1450" spans="1:1" x14ac:dyDescent="0.25">
      <c r="A1450" t="s">
        <v>1514</v>
      </c>
    </row>
    <row r="1451" spans="1:1" x14ac:dyDescent="0.25">
      <c r="A1451" t="s">
        <v>1515</v>
      </c>
    </row>
    <row r="1452" spans="1:1" x14ac:dyDescent="0.25">
      <c r="A1452" t="s">
        <v>1516</v>
      </c>
    </row>
    <row r="1453" spans="1:1" x14ac:dyDescent="0.25">
      <c r="A1453" t="s">
        <v>1517</v>
      </c>
    </row>
    <row r="1454" spans="1:1" x14ac:dyDescent="0.25">
      <c r="A1454" t="s">
        <v>1518</v>
      </c>
    </row>
    <row r="1455" spans="1:1" x14ac:dyDescent="0.25">
      <c r="A1455" t="s">
        <v>1519</v>
      </c>
    </row>
    <row r="1456" spans="1:1" x14ac:dyDescent="0.25">
      <c r="A1456" t="s">
        <v>1520</v>
      </c>
    </row>
    <row r="1457" spans="1:1" x14ac:dyDescent="0.25">
      <c r="A1457" t="s">
        <v>1521</v>
      </c>
    </row>
    <row r="1458" spans="1:1" x14ac:dyDescent="0.25">
      <c r="A1458" t="s">
        <v>1522</v>
      </c>
    </row>
    <row r="1459" spans="1:1" x14ac:dyDescent="0.25">
      <c r="A1459" t="s">
        <v>1523</v>
      </c>
    </row>
    <row r="1460" spans="1:1" x14ac:dyDescent="0.25">
      <c r="A1460" t="s">
        <v>1524</v>
      </c>
    </row>
    <row r="1461" spans="1:1" x14ac:dyDescent="0.25">
      <c r="A1461" t="s">
        <v>1525</v>
      </c>
    </row>
    <row r="1462" spans="1:1" x14ac:dyDescent="0.25">
      <c r="A1462" t="s">
        <v>1526</v>
      </c>
    </row>
    <row r="1463" spans="1:1" x14ac:dyDescent="0.25">
      <c r="A1463" t="s">
        <v>1527</v>
      </c>
    </row>
    <row r="1464" spans="1:1" x14ac:dyDescent="0.25">
      <c r="A1464" t="s">
        <v>1528</v>
      </c>
    </row>
    <row r="1465" spans="1:1" x14ac:dyDescent="0.25">
      <c r="A1465" t="s">
        <v>1529</v>
      </c>
    </row>
    <row r="1466" spans="1:1" x14ac:dyDescent="0.25">
      <c r="A1466" t="s">
        <v>1530</v>
      </c>
    </row>
    <row r="1467" spans="1:1" x14ac:dyDescent="0.25">
      <c r="A1467" t="s">
        <v>1531</v>
      </c>
    </row>
    <row r="1468" spans="1:1" x14ac:dyDescent="0.25">
      <c r="A1468" t="s">
        <v>1532</v>
      </c>
    </row>
    <row r="1469" spans="1:1" x14ac:dyDescent="0.25">
      <c r="A1469" t="s">
        <v>1533</v>
      </c>
    </row>
    <row r="1470" spans="1:1" x14ac:dyDescent="0.25">
      <c r="A1470" t="s">
        <v>1534</v>
      </c>
    </row>
    <row r="1471" spans="1:1" x14ac:dyDescent="0.25">
      <c r="A1471" t="s">
        <v>1535</v>
      </c>
    </row>
    <row r="1472" spans="1:1" x14ac:dyDescent="0.25">
      <c r="A1472" t="s">
        <v>1536</v>
      </c>
    </row>
    <row r="1473" spans="1:1" x14ac:dyDescent="0.25">
      <c r="A1473" t="s">
        <v>1537</v>
      </c>
    </row>
    <row r="1474" spans="1:1" x14ac:dyDescent="0.25">
      <c r="A1474" t="s">
        <v>1538</v>
      </c>
    </row>
    <row r="1475" spans="1:1" x14ac:dyDescent="0.25">
      <c r="A1475" t="s">
        <v>1539</v>
      </c>
    </row>
    <row r="1476" spans="1:1" x14ac:dyDescent="0.25">
      <c r="A1476" t="s">
        <v>1540</v>
      </c>
    </row>
    <row r="1477" spans="1:1" x14ac:dyDescent="0.25">
      <c r="A1477" t="s">
        <v>1541</v>
      </c>
    </row>
    <row r="1478" spans="1:1" x14ac:dyDescent="0.25">
      <c r="A1478" t="s">
        <v>1542</v>
      </c>
    </row>
    <row r="1479" spans="1:1" x14ac:dyDescent="0.25">
      <c r="A1479" t="s">
        <v>1543</v>
      </c>
    </row>
    <row r="1480" spans="1:1" x14ac:dyDescent="0.25">
      <c r="A1480" t="s">
        <v>1544</v>
      </c>
    </row>
    <row r="1481" spans="1:1" x14ac:dyDescent="0.25">
      <c r="A1481" t="s">
        <v>1545</v>
      </c>
    </row>
    <row r="1482" spans="1:1" x14ac:dyDescent="0.25">
      <c r="A1482" t="s">
        <v>1546</v>
      </c>
    </row>
    <row r="1483" spans="1:1" x14ac:dyDescent="0.25">
      <c r="A1483" t="s">
        <v>1547</v>
      </c>
    </row>
    <row r="1484" spans="1:1" x14ac:dyDescent="0.25">
      <c r="A1484" t="s">
        <v>1548</v>
      </c>
    </row>
    <row r="1485" spans="1:1" x14ac:dyDescent="0.25">
      <c r="A1485" t="s">
        <v>1549</v>
      </c>
    </row>
    <row r="1486" spans="1:1" x14ac:dyDescent="0.25">
      <c r="A1486" t="s">
        <v>1550</v>
      </c>
    </row>
    <row r="1487" spans="1:1" x14ac:dyDescent="0.25">
      <c r="A1487" t="s">
        <v>1551</v>
      </c>
    </row>
    <row r="1488" spans="1:1" x14ac:dyDescent="0.25">
      <c r="A1488" t="s">
        <v>1552</v>
      </c>
    </row>
    <row r="1489" spans="1:1" x14ac:dyDescent="0.25">
      <c r="A1489" t="s">
        <v>1553</v>
      </c>
    </row>
    <row r="1490" spans="1:1" x14ac:dyDescent="0.25">
      <c r="A1490" t="s">
        <v>1554</v>
      </c>
    </row>
    <row r="1491" spans="1:1" x14ac:dyDescent="0.25">
      <c r="A1491" t="s">
        <v>1555</v>
      </c>
    </row>
    <row r="1492" spans="1:1" x14ac:dyDescent="0.25">
      <c r="A1492" t="s">
        <v>1556</v>
      </c>
    </row>
    <row r="1493" spans="1:1" x14ac:dyDescent="0.25">
      <c r="A1493" t="s">
        <v>1557</v>
      </c>
    </row>
    <row r="1494" spans="1:1" x14ac:dyDescent="0.25">
      <c r="A1494" t="s">
        <v>1558</v>
      </c>
    </row>
    <row r="1495" spans="1:1" x14ac:dyDescent="0.25">
      <c r="A1495" t="s">
        <v>1559</v>
      </c>
    </row>
    <row r="1496" spans="1:1" x14ac:dyDescent="0.25">
      <c r="A1496" t="s">
        <v>1560</v>
      </c>
    </row>
    <row r="1497" spans="1:1" x14ac:dyDescent="0.25">
      <c r="A1497" t="s">
        <v>1561</v>
      </c>
    </row>
    <row r="1498" spans="1:1" x14ac:dyDescent="0.25">
      <c r="A1498" t="s">
        <v>1562</v>
      </c>
    </row>
    <row r="1499" spans="1:1" x14ac:dyDescent="0.25">
      <c r="A1499" t="s">
        <v>1563</v>
      </c>
    </row>
    <row r="1500" spans="1:1" x14ac:dyDescent="0.25">
      <c r="A1500" t="s">
        <v>1564</v>
      </c>
    </row>
    <row r="1501" spans="1:1" x14ac:dyDescent="0.25">
      <c r="A1501" t="s">
        <v>1565</v>
      </c>
    </row>
    <row r="1502" spans="1:1" x14ac:dyDescent="0.25">
      <c r="A1502" t="s">
        <v>1566</v>
      </c>
    </row>
    <row r="1503" spans="1:1" x14ac:dyDescent="0.25">
      <c r="A1503" t="s">
        <v>1567</v>
      </c>
    </row>
    <row r="1504" spans="1:1" x14ac:dyDescent="0.25">
      <c r="A1504" t="s">
        <v>1568</v>
      </c>
    </row>
    <row r="1505" spans="1:1" x14ac:dyDescent="0.25">
      <c r="A1505" t="s">
        <v>1569</v>
      </c>
    </row>
    <row r="1506" spans="1:1" x14ac:dyDescent="0.25">
      <c r="A1506" t="s">
        <v>1570</v>
      </c>
    </row>
    <row r="1507" spans="1:1" x14ac:dyDescent="0.25">
      <c r="A1507" t="s">
        <v>1571</v>
      </c>
    </row>
    <row r="1508" spans="1:1" x14ac:dyDescent="0.25">
      <c r="A1508" t="s">
        <v>1572</v>
      </c>
    </row>
    <row r="1509" spans="1:1" x14ac:dyDescent="0.25">
      <c r="A1509" t="s">
        <v>1573</v>
      </c>
    </row>
    <row r="1510" spans="1:1" x14ac:dyDescent="0.25">
      <c r="A1510" t="s">
        <v>1574</v>
      </c>
    </row>
    <row r="1511" spans="1:1" x14ac:dyDescent="0.25">
      <c r="A1511" t="s">
        <v>1575</v>
      </c>
    </row>
    <row r="1512" spans="1:1" x14ac:dyDescent="0.25">
      <c r="A1512" t="s">
        <v>1576</v>
      </c>
    </row>
    <row r="1513" spans="1:1" x14ac:dyDescent="0.25">
      <c r="A1513" t="s">
        <v>1577</v>
      </c>
    </row>
    <row r="1514" spans="1:1" x14ac:dyDescent="0.25">
      <c r="A1514" t="s">
        <v>1578</v>
      </c>
    </row>
    <row r="1515" spans="1:1" x14ac:dyDescent="0.25">
      <c r="A1515" t="s">
        <v>1579</v>
      </c>
    </row>
    <row r="1516" spans="1:1" x14ac:dyDescent="0.25">
      <c r="A1516" t="s">
        <v>1580</v>
      </c>
    </row>
    <row r="1517" spans="1:1" x14ac:dyDescent="0.25">
      <c r="A1517" t="s">
        <v>1581</v>
      </c>
    </row>
    <row r="1518" spans="1:1" x14ac:dyDescent="0.25">
      <c r="A1518" t="s">
        <v>1582</v>
      </c>
    </row>
    <row r="1519" spans="1:1" x14ac:dyDescent="0.25">
      <c r="A1519" t="s">
        <v>1583</v>
      </c>
    </row>
    <row r="1520" spans="1:1" x14ac:dyDescent="0.25">
      <c r="A1520" t="s">
        <v>1584</v>
      </c>
    </row>
    <row r="1521" spans="1:1" x14ac:dyDescent="0.25">
      <c r="A1521" t="s">
        <v>1585</v>
      </c>
    </row>
    <row r="1522" spans="1:1" x14ac:dyDescent="0.25">
      <c r="A1522" t="s">
        <v>1586</v>
      </c>
    </row>
    <row r="1523" spans="1:1" x14ac:dyDescent="0.25">
      <c r="A1523" t="s">
        <v>1587</v>
      </c>
    </row>
    <row r="1524" spans="1:1" x14ac:dyDescent="0.25">
      <c r="A1524" t="s">
        <v>1588</v>
      </c>
    </row>
    <row r="1525" spans="1:1" x14ac:dyDescent="0.25">
      <c r="A1525" t="s">
        <v>1589</v>
      </c>
    </row>
    <row r="1526" spans="1:1" x14ac:dyDescent="0.25">
      <c r="A1526" t="s">
        <v>1590</v>
      </c>
    </row>
    <row r="1527" spans="1:1" x14ac:dyDescent="0.25">
      <c r="A1527" t="s">
        <v>1591</v>
      </c>
    </row>
    <row r="1528" spans="1:1" x14ac:dyDescent="0.25">
      <c r="A1528" t="s">
        <v>1592</v>
      </c>
    </row>
    <row r="1529" spans="1:1" x14ac:dyDescent="0.25">
      <c r="A1529" t="s">
        <v>1593</v>
      </c>
    </row>
    <row r="1530" spans="1:1" x14ac:dyDescent="0.25">
      <c r="A1530" t="s">
        <v>1594</v>
      </c>
    </row>
    <row r="1531" spans="1:1" x14ac:dyDescent="0.25">
      <c r="A1531" t="s">
        <v>1595</v>
      </c>
    </row>
    <row r="1532" spans="1:1" x14ac:dyDescent="0.25">
      <c r="A1532" t="s">
        <v>1596</v>
      </c>
    </row>
    <row r="1533" spans="1:1" x14ac:dyDescent="0.25">
      <c r="A1533" t="s">
        <v>1597</v>
      </c>
    </row>
    <row r="1534" spans="1:1" x14ac:dyDescent="0.25">
      <c r="A1534" t="s">
        <v>1598</v>
      </c>
    </row>
    <row r="1535" spans="1:1" x14ac:dyDescent="0.25">
      <c r="A1535" t="s">
        <v>1599</v>
      </c>
    </row>
    <row r="1536" spans="1:1" x14ac:dyDescent="0.25">
      <c r="A1536" t="s">
        <v>1600</v>
      </c>
    </row>
    <row r="1537" spans="1:1" x14ac:dyDescent="0.25">
      <c r="A1537" t="s">
        <v>1601</v>
      </c>
    </row>
    <row r="1538" spans="1:1" x14ac:dyDescent="0.25">
      <c r="A1538" t="s">
        <v>1602</v>
      </c>
    </row>
    <row r="1539" spans="1:1" x14ac:dyDescent="0.25">
      <c r="A1539" t="s">
        <v>1603</v>
      </c>
    </row>
    <row r="1540" spans="1:1" x14ac:dyDescent="0.25">
      <c r="A1540" t="s">
        <v>1604</v>
      </c>
    </row>
    <row r="1541" spans="1:1" x14ac:dyDescent="0.25">
      <c r="A1541" t="s">
        <v>1605</v>
      </c>
    </row>
    <row r="1542" spans="1:1" x14ac:dyDescent="0.25">
      <c r="A1542" t="s">
        <v>1606</v>
      </c>
    </row>
    <row r="1543" spans="1:1" x14ac:dyDescent="0.25">
      <c r="A1543" t="s">
        <v>1607</v>
      </c>
    </row>
    <row r="1544" spans="1:1" x14ac:dyDescent="0.25">
      <c r="A1544" t="s">
        <v>1608</v>
      </c>
    </row>
    <row r="1545" spans="1:1" x14ac:dyDescent="0.25">
      <c r="A1545" t="s">
        <v>1609</v>
      </c>
    </row>
    <row r="1546" spans="1:1" x14ac:dyDescent="0.25">
      <c r="A1546" t="s">
        <v>1610</v>
      </c>
    </row>
    <row r="1547" spans="1:1" x14ac:dyDescent="0.25">
      <c r="A1547" t="s">
        <v>1611</v>
      </c>
    </row>
    <row r="1548" spans="1:1" x14ac:dyDescent="0.25">
      <c r="A1548" t="s">
        <v>1612</v>
      </c>
    </row>
    <row r="1549" spans="1:1" x14ac:dyDescent="0.25">
      <c r="A1549" t="s">
        <v>1613</v>
      </c>
    </row>
    <row r="1550" spans="1:1" x14ac:dyDescent="0.25">
      <c r="A1550" t="s">
        <v>1614</v>
      </c>
    </row>
    <row r="1551" spans="1:1" x14ac:dyDescent="0.25">
      <c r="A1551" t="s">
        <v>1615</v>
      </c>
    </row>
    <row r="1552" spans="1:1" x14ac:dyDescent="0.25">
      <c r="A1552" t="s">
        <v>1616</v>
      </c>
    </row>
    <row r="1553" spans="1:1" x14ac:dyDescent="0.25">
      <c r="A1553" t="s">
        <v>1617</v>
      </c>
    </row>
    <row r="1554" spans="1:1" x14ac:dyDescent="0.25">
      <c r="A1554" t="s">
        <v>1618</v>
      </c>
    </row>
    <row r="1555" spans="1:1" x14ac:dyDescent="0.25">
      <c r="A1555" t="s">
        <v>1619</v>
      </c>
    </row>
    <row r="1556" spans="1:1" x14ac:dyDescent="0.25">
      <c r="A1556" t="s">
        <v>1620</v>
      </c>
    </row>
    <row r="1557" spans="1:1" x14ac:dyDescent="0.25">
      <c r="A1557" t="s">
        <v>1621</v>
      </c>
    </row>
    <row r="1558" spans="1:1" x14ac:dyDescent="0.25">
      <c r="A1558" t="s">
        <v>1622</v>
      </c>
    </row>
    <row r="1559" spans="1:1" x14ac:dyDescent="0.25">
      <c r="A1559" t="s">
        <v>1623</v>
      </c>
    </row>
    <row r="1560" spans="1:1" x14ac:dyDescent="0.25">
      <c r="A1560" t="s">
        <v>1624</v>
      </c>
    </row>
    <row r="1561" spans="1:1" x14ac:dyDescent="0.25">
      <c r="A1561" t="s">
        <v>1625</v>
      </c>
    </row>
    <row r="1562" spans="1:1" x14ac:dyDescent="0.25">
      <c r="A1562" t="s">
        <v>1626</v>
      </c>
    </row>
    <row r="1563" spans="1:1" x14ac:dyDescent="0.25">
      <c r="A1563" t="s">
        <v>1627</v>
      </c>
    </row>
    <row r="1564" spans="1:1" x14ac:dyDescent="0.25">
      <c r="A1564" t="s">
        <v>1628</v>
      </c>
    </row>
    <row r="1565" spans="1:1" x14ac:dyDescent="0.25">
      <c r="A1565" t="s">
        <v>1629</v>
      </c>
    </row>
    <row r="1566" spans="1:1" x14ac:dyDescent="0.25">
      <c r="A1566" t="s">
        <v>1630</v>
      </c>
    </row>
    <row r="1567" spans="1:1" x14ac:dyDescent="0.25">
      <c r="A1567" t="s">
        <v>1631</v>
      </c>
    </row>
    <row r="1568" spans="1:1" x14ac:dyDescent="0.25">
      <c r="A1568" t="s">
        <v>1632</v>
      </c>
    </row>
    <row r="1569" spans="1:1" x14ac:dyDescent="0.25">
      <c r="A1569" t="s">
        <v>1633</v>
      </c>
    </row>
    <row r="1570" spans="1:1" x14ac:dyDescent="0.25">
      <c r="A1570" t="s">
        <v>1634</v>
      </c>
    </row>
    <row r="1571" spans="1:1" x14ac:dyDescent="0.25">
      <c r="A1571" t="s">
        <v>1635</v>
      </c>
    </row>
    <row r="1572" spans="1:1" x14ac:dyDescent="0.25">
      <c r="A1572" t="s">
        <v>1636</v>
      </c>
    </row>
    <row r="1573" spans="1:1" x14ac:dyDescent="0.25">
      <c r="A1573" t="s">
        <v>1637</v>
      </c>
    </row>
    <row r="1574" spans="1:1" x14ac:dyDescent="0.25">
      <c r="A1574" t="s">
        <v>1638</v>
      </c>
    </row>
    <row r="1575" spans="1:1" x14ac:dyDescent="0.25">
      <c r="A1575" t="s">
        <v>1639</v>
      </c>
    </row>
    <row r="1576" spans="1:1" x14ac:dyDescent="0.25">
      <c r="A1576" t="s">
        <v>1640</v>
      </c>
    </row>
    <row r="1577" spans="1:1" x14ac:dyDescent="0.25">
      <c r="A1577" t="s">
        <v>1641</v>
      </c>
    </row>
    <row r="1578" spans="1:1" x14ac:dyDescent="0.25">
      <c r="A1578" t="s">
        <v>1642</v>
      </c>
    </row>
    <row r="1579" spans="1:1" x14ac:dyDescent="0.25">
      <c r="A1579" t="s">
        <v>1643</v>
      </c>
    </row>
    <row r="1580" spans="1:1" x14ac:dyDescent="0.25">
      <c r="A1580" t="s">
        <v>1644</v>
      </c>
    </row>
    <row r="1581" spans="1:1" x14ac:dyDescent="0.25">
      <c r="A1581" t="s">
        <v>1645</v>
      </c>
    </row>
    <row r="1582" spans="1:1" x14ac:dyDescent="0.25">
      <c r="A1582" t="s">
        <v>1646</v>
      </c>
    </row>
    <row r="1583" spans="1:1" x14ac:dyDescent="0.25">
      <c r="A1583" t="s">
        <v>1647</v>
      </c>
    </row>
    <row r="1584" spans="1:1" x14ac:dyDescent="0.25">
      <c r="A1584" t="s">
        <v>1648</v>
      </c>
    </row>
    <row r="1585" spans="1:1" x14ac:dyDescent="0.25">
      <c r="A1585" t="s">
        <v>1649</v>
      </c>
    </row>
    <row r="1586" spans="1:1" x14ac:dyDescent="0.25">
      <c r="A1586" t="s">
        <v>1650</v>
      </c>
    </row>
    <row r="1587" spans="1:1" x14ac:dyDescent="0.25">
      <c r="A1587" t="s">
        <v>1651</v>
      </c>
    </row>
    <row r="1588" spans="1:1" x14ac:dyDescent="0.25">
      <c r="A1588" t="s">
        <v>1652</v>
      </c>
    </row>
    <row r="1589" spans="1:1" x14ac:dyDescent="0.25">
      <c r="A1589" t="s">
        <v>1653</v>
      </c>
    </row>
    <row r="1590" spans="1:1" x14ac:dyDescent="0.25">
      <c r="A1590" t="s">
        <v>1654</v>
      </c>
    </row>
    <row r="1591" spans="1:1" x14ac:dyDescent="0.25">
      <c r="A1591" t="s">
        <v>1655</v>
      </c>
    </row>
    <row r="1592" spans="1:1" x14ac:dyDescent="0.25">
      <c r="A1592" t="s">
        <v>1656</v>
      </c>
    </row>
    <row r="1593" spans="1:1" x14ac:dyDescent="0.25">
      <c r="A1593" t="s">
        <v>1657</v>
      </c>
    </row>
    <row r="1594" spans="1:1" x14ac:dyDescent="0.25">
      <c r="A1594" t="s">
        <v>1658</v>
      </c>
    </row>
    <row r="1595" spans="1:1" x14ac:dyDescent="0.25">
      <c r="A1595" t="s">
        <v>1659</v>
      </c>
    </row>
    <row r="1596" spans="1:1" x14ac:dyDescent="0.25">
      <c r="A1596" t="s">
        <v>1660</v>
      </c>
    </row>
    <row r="1597" spans="1:1" x14ac:dyDescent="0.25">
      <c r="A1597" t="s">
        <v>1661</v>
      </c>
    </row>
    <row r="1598" spans="1:1" x14ac:dyDescent="0.25">
      <c r="A1598" t="s">
        <v>1662</v>
      </c>
    </row>
    <row r="1599" spans="1:1" x14ac:dyDescent="0.25">
      <c r="A1599" t="s">
        <v>1663</v>
      </c>
    </row>
    <row r="1600" spans="1:1" x14ac:dyDescent="0.25">
      <c r="A1600" t="s">
        <v>1664</v>
      </c>
    </row>
    <row r="1601" spans="1:1" x14ac:dyDescent="0.25">
      <c r="A1601" t="s">
        <v>1665</v>
      </c>
    </row>
    <row r="1602" spans="1:1" x14ac:dyDescent="0.25">
      <c r="A1602" t="s">
        <v>1666</v>
      </c>
    </row>
    <row r="1603" spans="1:1" x14ac:dyDescent="0.25">
      <c r="A1603" t="s">
        <v>1667</v>
      </c>
    </row>
    <row r="1604" spans="1:1" x14ac:dyDescent="0.25">
      <c r="A1604" t="s">
        <v>1668</v>
      </c>
    </row>
    <row r="1605" spans="1:1" x14ac:dyDescent="0.25">
      <c r="A1605" t="s">
        <v>1669</v>
      </c>
    </row>
    <row r="1606" spans="1:1" x14ac:dyDescent="0.25">
      <c r="A1606" t="s">
        <v>1670</v>
      </c>
    </row>
    <row r="1607" spans="1:1" x14ac:dyDescent="0.25">
      <c r="A1607" t="s">
        <v>1671</v>
      </c>
    </row>
    <row r="1608" spans="1:1" x14ac:dyDescent="0.25">
      <c r="A1608" t="s">
        <v>1672</v>
      </c>
    </row>
    <row r="1609" spans="1:1" x14ac:dyDescent="0.25">
      <c r="A1609" t="s">
        <v>1673</v>
      </c>
    </row>
    <row r="1610" spans="1:1" x14ac:dyDescent="0.25">
      <c r="A1610" t="s">
        <v>1674</v>
      </c>
    </row>
    <row r="1611" spans="1:1" x14ac:dyDescent="0.25">
      <c r="A1611" t="s">
        <v>1675</v>
      </c>
    </row>
    <row r="1612" spans="1:1" x14ac:dyDescent="0.25">
      <c r="A1612" t="s">
        <v>1676</v>
      </c>
    </row>
    <row r="1613" spans="1:1" x14ac:dyDescent="0.25">
      <c r="A1613" t="s">
        <v>1677</v>
      </c>
    </row>
    <row r="1614" spans="1:1" x14ac:dyDescent="0.25">
      <c r="A1614" t="s">
        <v>1678</v>
      </c>
    </row>
    <row r="1615" spans="1:1" x14ac:dyDescent="0.25">
      <c r="A1615" t="s">
        <v>1679</v>
      </c>
    </row>
    <row r="1616" spans="1:1" x14ac:dyDescent="0.25">
      <c r="A1616" t="s">
        <v>1680</v>
      </c>
    </row>
    <row r="1617" spans="1:1" x14ac:dyDescent="0.25">
      <c r="A1617" t="s">
        <v>1681</v>
      </c>
    </row>
    <row r="1618" spans="1:1" x14ac:dyDescent="0.25">
      <c r="A1618" t="s">
        <v>1682</v>
      </c>
    </row>
    <row r="1619" spans="1:1" x14ac:dyDescent="0.25">
      <c r="A1619" t="s">
        <v>1683</v>
      </c>
    </row>
    <row r="1620" spans="1:1" x14ac:dyDescent="0.25">
      <c r="A1620" t="s">
        <v>1684</v>
      </c>
    </row>
    <row r="1621" spans="1:1" x14ac:dyDescent="0.25">
      <c r="A1621" t="s">
        <v>1685</v>
      </c>
    </row>
    <row r="1622" spans="1:1" x14ac:dyDescent="0.25">
      <c r="A1622" t="s">
        <v>1686</v>
      </c>
    </row>
    <row r="1623" spans="1:1" x14ac:dyDescent="0.25">
      <c r="A1623" t="s">
        <v>1687</v>
      </c>
    </row>
    <row r="1624" spans="1:1" x14ac:dyDescent="0.25">
      <c r="A1624" t="s">
        <v>1688</v>
      </c>
    </row>
    <row r="1625" spans="1:1" x14ac:dyDescent="0.25">
      <c r="A1625" t="s">
        <v>1689</v>
      </c>
    </row>
    <row r="1626" spans="1:1" x14ac:dyDescent="0.25">
      <c r="A1626" t="s">
        <v>1690</v>
      </c>
    </row>
    <row r="1627" spans="1:1" x14ac:dyDescent="0.25">
      <c r="A1627" t="s">
        <v>1691</v>
      </c>
    </row>
    <row r="1628" spans="1:1" x14ac:dyDescent="0.25">
      <c r="A1628" t="s">
        <v>1692</v>
      </c>
    </row>
    <row r="1629" spans="1:1" x14ac:dyDescent="0.25">
      <c r="A1629" t="s">
        <v>1693</v>
      </c>
    </row>
    <row r="1630" spans="1:1" x14ac:dyDescent="0.25">
      <c r="A1630" t="s">
        <v>1694</v>
      </c>
    </row>
    <row r="1631" spans="1:1" x14ac:dyDescent="0.25">
      <c r="A1631" t="s">
        <v>1695</v>
      </c>
    </row>
    <row r="1632" spans="1:1" x14ac:dyDescent="0.25">
      <c r="A1632" t="s">
        <v>1696</v>
      </c>
    </row>
    <row r="1633" spans="1:1" x14ac:dyDescent="0.25">
      <c r="A1633" t="s">
        <v>1697</v>
      </c>
    </row>
    <row r="1634" spans="1:1" x14ac:dyDescent="0.25">
      <c r="A1634" t="s">
        <v>1698</v>
      </c>
    </row>
    <row r="1635" spans="1:1" x14ac:dyDescent="0.25">
      <c r="A1635" t="s">
        <v>1699</v>
      </c>
    </row>
    <row r="1636" spans="1:1" x14ac:dyDescent="0.25">
      <c r="A1636" t="s">
        <v>1700</v>
      </c>
    </row>
    <row r="1637" spans="1:1" x14ac:dyDescent="0.25">
      <c r="A1637" t="s">
        <v>1701</v>
      </c>
    </row>
    <row r="1638" spans="1:1" x14ac:dyDescent="0.25">
      <c r="A1638" t="s">
        <v>1702</v>
      </c>
    </row>
    <row r="1639" spans="1:1" x14ac:dyDescent="0.25">
      <c r="A1639" t="s">
        <v>1703</v>
      </c>
    </row>
    <row r="1640" spans="1:1" x14ac:dyDescent="0.25">
      <c r="A1640" t="s">
        <v>1704</v>
      </c>
    </row>
    <row r="1641" spans="1:1" x14ac:dyDescent="0.25">
      <c r="A1641" t="s">
        <v>1705</v>
      </c>
    </row>
    <row r="1642" spans="1:1" x14ac:dyDescent="0.25">
      <c r="A1642" t="s">
        <v>1706</v>
      </c>
    </row>
    <row r="1643" spans="1:1" x14ac:dyDescent="0.25">
      <c r="A1643" t="s">
        <v>1707</v>
      </c>
    </row>
    <row r="1644" spans="1:1" x14ac:dyDescent="0.25">
      <c r="A1644" t="s">
        <v>1708</v>
      </c>
    </row>
    <row r="1645" spans="1:1" x14ac:dyDescent="0.25">
      <c r="A1645" t="s">
        <v>1709</v>
      </c>
    </row>
    <row r="1646" spans="1:1" x14ac:dyDescent="0.25">
      <c r="A1646" t="s">
        <v>1710</v>
      </c>
    </row>
    <row r="1647" spans="1:1" x14ac:dyDescent="0.25">
      <c r="A1647" t="s">
        <v>1711</v>
      </c>
    </row>
    <row r="1648" spans="1:1" x14ac:dyDescent="0.25">
      <c r="A1648" t="s">
        <v>1712</v>
      </c>
    </row>
    <row r="1649" spans="1:1" x14ac:dyDescent="0.25">
      <c r="A1649" t="s">
        <v>1713</v>
      </c>
    </row>
    <row r="1650" spans="1:1" x14ac:dyDescent="0.25">
      <c r="A1650" t="s">
        <v>1714</v>
      </c>
    </row>
    <row r="1651" spans="1:1" x14ac:dyDescent="0.25">
      <c r="A1651" t="s">
        <v>1715</v>
      </c>
    </row>
    <row r="1652" spans="1:1" x14ac:dyDescent="0.25">
      <c r="A1652" t="s">
        <v>1716</v>
      </c>
    </row>
    <row r="1653" spans="1:1" x14ac:dyDescent="0.25">
      <c r="A1653" t="s">
        <v>1717</v>
      </c>
    </row>
    <row r="1654" spans="1:1" x14ac:dyDescent="0.25">
      <c r="A1654" t="s">
        <v>1718</v>
      </c>
    </row>
    <row r="1655" spans="1:1" x14ac:dyDescent="0.25">
      <c r="A1655" t="s">
        <v>1719</v>
      </c>
    </row>
    <row r="1656" spans="1:1" x14ac:dyDescent="0.25">
      <c r="A1656" t="s">
        <v>1720</v>
      </c>
    </row>
    <row r="1657" spans="1:1" x14ac:dyDescent="0.25">
      <c r="A1657" t="s">
        <v>1721</v>
      </c>
    </row>
    <row r="1658" spans="1:1" x14ac:dyDescent="0.25">
      <c r="A1658" t="s">
        <v>1722</v>
      </c>
    </row>
    <row r="1659" spans="1:1" x14ac:dyDescent="0.25">
      <c r="A1659" t="s">
        <v>1723</v>
      </c>
    </row>
    <row r="1660" spans="1:1" x14ac:dyDescent="0.25">
      <c r="A1660" t="s">
        <v>1724</v>
      </c>
    </row>
    <row r="1661" spans="1:1" x14ac:dyDescent="0.25">
      <c r="A1661" t="s">
        <v>1725</v>
      </c>
    </row>
    <row r="1662" spans="1:1" x14ac:dyDescent="0.25">
      <c r="A1662" t="s">
        <v>1726</v>
      </c>
    </row>
    <row r="1663" spans="1:1" x14ac:dyDescent="0.25">
      <c r="A1663" t="s">
        <v>1727</v>
      </c>
    </row>
    <row r="1664" spans="1:1" x14ac:dyDescent="0.25">
      <c r="A1664" t="s">
        <v>1728</v>
      </c>
    </row>
    <row r="1665" spans="1:1" x14ac:dyDescent="0.25">
      <c r="A1665" t="s">
        <v>1729</v>
      </c>
    </row>
    <row r="1666" spans="1:1" x14ac:dyDescent="0.25">
      <c r="A1666" t="s">
        <v>1730</v>
      </c>
    </row>
    <row r="1667" spans="1:1" x14ac:dyDescent="0.25">
      <c r="A1667" t="s">
        <v>1731</v>
      </c>
    </row>
    <row r="1668" spans="1:1" x14ac:dyDescent="0.25">
      <c r="A1668" t="s">
        <v>1732</v>
      </c>
    </row>
    <row r="1669" spans="1:1" x14ac:dyDescent="0.25">
      <c r="A1669" t="s">
        <v>1733</v>
      </c>
    </row>
    <row r="1670" spans="1:1" x14ac:dyDescent="0.25">
      <c r="A1670" t="s">
        <v>1734</v>
      </c>
    </row>
    <row r="1671" spans="1:1" x14ac:dyDescent="0.25">
      <c r="A1671" t="s">
        <v>1735</v>
      </c>
    </row>
    <row r="1672" spans="1:1" x14ac:dyDescent="0.25">
      <c r="A1672" t="s">
        <v>1736</v>
      </c>
    </row>
    <row r="1673" spans="1:1" x14ac:dyDescent="0.25">
      <c r="A1673" t="s">
        <v>1737</v>
      </c>
    </row>
    <row r="1674" spans="1:1" x14ac:dyDescent="0.25">
      <c r="A1674" t="s">
        <v>1738</v>
      </c>
    </row>
    <row r="1675" spans="1:1" x14ac:dyDescent="0.25">
      <c r="A1675" t="s">
        <v>1739</v>
      </c>
    </row>
    <row r="1676" spans="1:1" x14ac:dyDescent="0.25">
      <c r="A1676" t="s">
        <v>1740</v>
      </c>
    </row>
    <row r="1677" spans="1:1" x14ac:dyDescent="0.25">
      <c r="A1677" t="s">
        <v>1741</v>
      </c>
    </row>
    <row r="1678" spans="1:1" x14ac:dyDescent="0.25">
      <c r="A1678" t="s">
        <v>1742</v>
      </c>
    </row>
    <row r="1679" spans="1:1" x14ac:dyDescent="0.25">
      <c r="A1679" t="s">
        <v>1743</v>
      </c>
    </row>
    <row r="1680" spans="1:1" x14ac:dyDescent="0.25">
      <c r="A1680" t="s">
        <v>1744</v>
      </c>
    </row>
    <row r="1681" spans="1:1" x14ac:dyDescent="0.25">
      <c r="A1681" t="s">
        <v>1745</v>
      </c>
    </row>
    <row r="1682" spans="1:1" x14ac:dyDescent="0.25">
      <c r="A1682" t="s">
        <v>1746</v>
      </c>
    </row>
    <row r="1683" spans="1:1" x14ac:dyDescent="0.25">
      <c r="A1683" t="s">
        <v>1747</v>
      </c>
    </row>
    <row r="1684" spans="1:1" x14ac:dyDescent="0.25">
      <c r="A1684" t="s">
        <v>1748</v>
      </c>
    </row>
    <row r="1685" spans="1:1" x14ac:dyDescent="0.25">
      <c r="A1685" t="s">
        <v>1749</v>
      </c>
    </row>
    <row r="1686" spans="1:1" x14ac:dyDescent="0.25">
      <c r="A1686" t="s">
        <v>1750</v>
      </c>
    </row>
    <row r="1687" spans="1:1" x14ac:dyDescent="0.25">
      <c r="A1687" t="s">
        <v>1751</v>
      </c>
    </row>
    <row r="1688" spans="1:1" x14ac:dyDescent="0.25">
      <c r="A1688" t="s">
        <v>1752</v>
      </c>
    </row>
    <row r="1689" spans="1:1" x14ac:dyDescent="0.25">
      <c r="A1689" t="s">
        <v>1753</v>
      </c>
    </row>
    <row r="1690" spans="1:1" x14ac:dyDescent="0.25">
      <c r="A1690" t="s">
        <v>1754</v>
      </c>
    </row>
    <row r="1691" spans="1:1" x14ac:dyDescent="0.25">
      <c r="A1691" t="s">
        <v>1755</v>
      </c>
    </row>
    <row r="1692" spans="1:1" x14ac:dyDescent="0.25">
      <c r="A1692" t="s">
        <v>1756</v>
      </c>
    </row>
    <row r="1693" spans="1:1" x14ac:dyDescent="0.25">
      <c r="A1693" t="s">
        <v>1757</v>
      </c>
    </row>
    <row r="1694" spans="1:1" x14ac:dyDescent="0.25">
      <c r="A1694" t="s">
        <v>1758</v>
      </c>
    </row>
    <row r="1695" spans="1:1" x14ac:dyDescent="0.25">
      <c r="A1695" t="s">
        <v>1759</v>
      </c>
    </row>
    <row r="1696" spans="1:1" x14ac:dyDescent="0.25">
      <c r="A1696" t="s">
        <v>1760</v>
      </c>
    </row>
    <row r="1697" spans="1:1" x14ac:dyDescent="0.25">
      <c r="A1697" t="s">
        <v>1761</v>
      </c>
    </row>
    <row r="1698" spans="1:1" x14ac:dyDescent="0.25">
      <c r="A1698" t="s">
        <v>1762</v>
      </c>
    </row>
    <row r="1699" spans="1:1" x14ac:dyDescent="0.25">
      <c r="A1699" t="s">
        <v>1763</v>
      </c>
    </row>
    <row r="1700" spans="1:1" x14ac:dyDescent="0.25">
      <c r="A1700" t="s">
        <v>1764</v>
      </c>
    </row>
    <row r="1701" spans="1:1" x14ac:dyDescent="0.25">
      <c r="A1701" t="s">
        <v>1765</v>
      </c>
    </row>
    <row r="1702" spans="1:1" x14ac:dyDescent="0.25">
      <c r="A1702" t="s">
        <v>1766</v>
      </c>
    </row>
    <row r="1703" spans="1:1" x14ac:dyDescent="0.25">
      <c r="A1703" t="s">
        <v>1767</v>
      </c>
    </row>
    <row r="1704" spans="1:1" x14ac:dyDescent="0.25">
      <c r="A1704" t="s">
        <v>1768</v>
      </c>
    </row>
    <row r="1705" spans="1:1" x14ac:dyDescent="0.25">
      <c r="A1705" t="s">
        <v>1769</v>
      </c>
    </row>
    <row r="1706" spans="1:1" x14ac:dyDescent="0.25">
      <c r="A1706" t="s">
        <v>1770</v>
      </c>
    </row>
    <row r="1707" spans="1:1" x14ac:dyDescent="0.25">
      <c r="A1707" t="s">
        <v>1771</v>
      </c>
    </row>
    <row r="1708" spans="1:1" x14ac:dyDescent="0.25">
      <c r="A1708" t="s">
        <v>1772</v>
      </c>
    </row>
    <row r="1709" spans="1:1" x14ac:dyDescent="0.25">
      <c r="A1709" t="s">
        <v>1773</v>
      </c>
    </row>
    <row r="1710" spans="1:1" x14ac:dyDescent="0.25">
      <c r="A1710" t="s">
        <v>1774</v>
      </c>
    </row>
    <row r="1711" spans="1:1" x14ac:dyDescent="0.25">
      <c r="A1711" t="s">
        <v>1775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CF426-88CB-442A-B24D-CAAA846F5883}">
  <sheetPr codeName="Sheet17"/>
  <dimension ref="A2:A1711"/>
  <sheetViews>
    <sheetView workbookViewId="0"/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92</v>
      </c>
    </row>
    <row r="29" spans="1:1" x14ac:dyDescent="0.25">
      <c r="A29" t="s">
        <v>93</v>
      </c>
    </row>
    <row r="30" spans="1:1" x14ac:dyDescent="0.25">
      <c r="A30" t="s">
        <v>94</v>
      </c>
    </row>
    <row r="31" spans="1:1" x14ac:dyDescent="0.25">
      <c r="A31" t="s">
        <v>95</v>
      </c>
    </row>
    <row r="32" spans="1:1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234</v>
      </c>
    </row>
    <row r="171" spans="1:1" x14ac:dyDescent="0.25">
      <c r="A171" t="s">
        <v>235</v>
      </c>
    </row>
    <row r="172" spans="1:1" x14ac:dyDescent="0.25">
      <c r="A172" t="s">
        <v>236</v>
      </c>
    </row>
    <row r="173" spans="1:1" x14ac:dyDescent="0.25">
      <c r="A173" t="s">
        <v>237</v>
      </c>
    </row>
    <row r="174" spans="1:1" x14ac:dyDescent="0.25">
      <c r="A174" t="s">
        <v>238</v>
      </c>
    </row>
    <row r="175" spans="1:1" x14ac:dyDescent="0.25">
      <c r="A175" t="s">
        <v>239</v>
      </c>
    </row>
    <row r="176" spans="1:1" x14ac:dyDescent="0.25">
      <c r="A176" t="s">
        <v>240</v>
      </c>
    </row>
    <row r="177" spans="1:1" x14ac:dyDescent="0.25">
      <c r="A177" t="s">
        <v>241</v>
      </c>
    </row>
    <row r="178" spans="1:1" x14ac:dyDescent="0.25">
      <c r="A178" t="s">
        <v>242</v>
      </c>
    </row>
    <row r="179" spans="1:1" x14ac:dyDescent="0.25">
      <c r="A179" t="s">
        <v>243</v>
      </c>
    </row>
    <row r="180" spans="1:1" x14ac:dyDescent="0.25">
      <c r="A180" t="s">
        <v>244</v>
      </c>
    </row>
    <row r="181" spans="1:1" x14ac:dyDescent="0.25">
      <c r="A181" t="s">
        <v>245</v>
      </c>
    </row>
    <row r="182" spans="1:1" x14ac:dyDescent="0.25">
      <c r="A182" t="s">
        <v>246</v>
      </c>
    </row>
    <row r="183" spans="1:1" x14ac:dyDescent="0.25">
      <c r="A183" t="s">
        <v>247</v>
      </c>
    </row>
    <row r="184" spans="1:1" x14ac:dyDescent="0.25">
      <c r="A184" t="s">
        <v>248</v>
      </c>
    </row>
    <row r="185" spans="1:1" x14ac:dyDescent="0.25">
      <c r="A185" t="s">
        <v>249</v>
      </c>
    </row>
    <row r="186" spans="1:1" x14ac:dyDescent="0.25">
      <c r="A186" t="s">
        <v>250</v>
      </c>
    </row>
    <row r="187" spans="1:1" x14ac:dyDescent="0.25">
      <c r="A187" t="s">
        <v>251</v>
      </c>
    </row>
    <row r="188" spans="1:1" x14ac:dyDescent="0.25">
      <c r="A188" t="s">
        <v>252</v>
      </c>
    </row>
    <row r="189" spans="1:1" x14ac:dyDescent="0.25">
      <c r="A189" t="s">
        <v>253</v>
      </c>
    </row>
    <row r="190" spans="1:1" x14ac:dyDescent="0.25">
      <c r="A190" t="s">
        <v>254</v>
      </c>
    </row>
    <row r="191" spans="1:1" x14ac:dyDescent="0.25">
      <c r="A191" t="s">
        <v>255</v>
      </c>
    </row>
    <row r="192" spans="1:1" x14ac:dyDescent="0.25">
      <c r="A192" t="s">
        <v>256</v>
      </c>
    </row>
    <row r="193" spans="1:1" x14ac:dyDescent="0.25">
      <c r="A193" t="s">
        <v>257</v>
      </c>
    </row>
    <row r="194" spans="1:1" x14ac:dyDescent="0.25">
      <c r="A194" t="s">
        <v>258</v>
      </c>
    </row>
    <row r="195" spans="1:1" x14ac:dyDescent="0.25">
      <c r="A195" t="s">
        <v>259</v>
      </c>
    </row>
    <row r="196" spans="1:1" x14ac:dyDescent="0.25">
      <c r="A196" t="s">
        <v>260</v>
      </c>
    </row>
    <row r="197" spans="1:1" x14ac:dyDescent="0.25">
      <c r="A197" t="s">
        <v>261</v>
      </c>
    </row>
    <row r="198" spans="1:1" x14ac:dyDescent="0.25">
      <c r="A198" t="s">
        <v>262</v>
      </c>
    </row>
    <row r="199" spans="1:1" x14ac:dyDescent="0.25">
      <c r="A199" t="s">
        <v>263</v>
      </c>
    </row>
    <row r="200" spans="1:1" x14ac:dyDescent="0.25">
      <c r="A200" t="s">
        <v>264</v>
      </c>
    </row>
    <row r="201" spans="1:1" x14ac:dyDescent="0.25">
      <c r="A201" t="s">
        <v>265</v>
      </c>
    </row>
    <row r="202" spans="1:1" x14ac:dyDescent="0.25">
      <c r="A202" t="s">
        <v>266</v>
      </c>
    </row>
    <row r="203" spans="1:1" x14ac:dyDescent="0.25">
      <c r="A203" t="s">
        <v>267</v>
      </c>
    </row>
    <row r="204" spans="1:1" x14ac:dyDescent="0.25">
      <c r="A204" t="s">
        <v>268</v>
      </c>
    </row>
    <row r="205" spans="1:1" x14ac:dyDescent="0.25">
      <c r="A205" t="s">
        <v>269</v>
      </c>
    </row>
    <row r="206" spans="1:1" x14ac:dyDescent="0.25">
      <c r="A206" t="s">
        <v>270</v>
      </c>
    </row>
    <row r="207" spans="1:1" x14ac:dyDescent="0.25">
      <c r="A207" t="s">
        <v>271</v>
      </c>
    </row>
    <row r="208" spans="1:1" x14ac:dyDescent="0.25">
      <c r="A208" t="s">
        <v>272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277</v>
      </c>
    </row>
    <row r="214" spans="1:1" x14ac:dyDescent="0.25">
      <c r="A214" t="s">
        <v>278</v>
      </c>
    </row>
    <row r="215" spans="1:1" x14ac:dyDescent="0.25">
      <c r="A215" t="s">
        <v>279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282</v>
      </c>
    </row>
    <row r="219" spans="1:1" x14ac:dyDescent="0.25">
      <c r="A219" t="s">
        <v>283</v>
      </c>
    </row>
    <row r="220" spans="1:1" x14ac:dyDescent="0.25">
      <c r="A220" t="s">
        <v>284</v>
      </c>
    </row>
    <row r="221" spans="1:1" x14ac:dyDescent="0.25">
      <c r="A221" t="s">
        <v>285</v>
      </c>
    </row>
    <row r="222" spans="1:1" x14ac:dyDescent="0.25">
      <c r="A222" t="s">
        <v>286</v>
      </c>
    </row>
    <row r="223" spans="1:1" x14ac:dyDescent="0.25">
      <c r="A223" t="s">
        <v>287</v>
      </c>
    </row>
    <row r="224" spans="1:1" x14ac:dyDescent="0.25">
      <c r="A224" t="s">
        <v>288</v>
      </c>
    </row>
    <row r="225" spans="1:1" x14ac:dyDescent="0.25">
      <c r="A225" t="s">
        <v>289</v>
      </c>
    </row>
    <row r="226" spans="1:1" x14ac:dyDescent="0.25">
      <c r="A226" t="s">
        <v>290</v>
      </c>
    </row>
    <row r="227" spans="1:1" x14ac:dyDescent="0.25">
      <c r="A227" t="s">
        <v>291</v>
      </c>
    </row>
    <row r="228" spans="1:1" x14ac:dyDescent="0.25">
      <c r="A228" t="s">
        <v>292</v>
      </c>
    </row>
    <row r="229" spans="1:1" x14ac:dyDescent="0.25">
      <c r="A229" t="s">
        <v>293</v>
      </c>
    </row>
    <row r="230" spans="1:1" x14ac:dyDescent="0.25">
      <c r="A230" t="s">
        <v>294</v>
      </c>
    </row>
    <row r="231" spans="1:1" x14ac:dyDescent="0.25">
      <c r="A231" t="s">
        <v>295</v>
      </c>
    </row>
    <row r="232" spans="1:1" x14ac:dyDescent="0.25">
      <c r="A232" t="s">
        <v>296</v>
      </c>
    </row>
    <row r="233" spans="1:1" x14ac:dyDescent="0.25">
      <c r="A233" t="s">
        <v>297</v>
      </c>
    </row>
    <row r="234" spans="1:1" x14ac:dyDescent="0.25">
      <c r="A234" t="s">
        <v>298</v>
      </c>
    </row>
    <row r="235" spans="1:1" x14ac:dyDescent="0.25">
      <c r="A235" t="s">
        <v>299</v>
      </c>
    </row>
    <row r="236" spans="1:1" x14ac:dyDescent="0.25">
      <c r="A236" t="s">
        <v>300</v>
      </c>
    </row>
    <row r="237" spans="1:1" x14ac:dyDescent="0.25">
      <c r="A237" t="s">
        <v>301</v>
      </c>
    </row>
    <row r="238" spans="1:1" x14ac:dyDescent="0.25">
      <c r="A238" t="s">
        <v>302</v>
      </c>
    </row>
    <row r="239" spans="1:1" x14ac:dyDescent="0.25">
      <c r="A239" t="s">
        <v>303</v>
      </c>
    </row>
    <row r="240" spans="1:1" x14ac:dyDescent="0.25">
      <c r="A240" t="s">
        <v>304</v>
      </c>
    </row>
    <row r="241" spans="1:1" x14ac:dyDescent="0.25">
      <c r="A241" t="s">
        <v>305</v>
      </c>
    </row>
    <row r="242" spans="1:1" x14ac:dyDescent="0.25">
      <c r="A242" t="s">
        <v>306</v>
      </c>
    </row>
    <row r="243" spans="1:1" x14ac:dyDescent="0.25">
      <c r="A243" t="s">
        <v>307</v>
      </c>
    </row>
    <row r="244" spans="1:1" x14ac:dyDescent="0.25">
      <c r="A244" t="s">
        <v>308</v>
      </c>
    </row>
    <row r="245" spans="1:1" x14ac:dyDescent="0.25">
      <c r="A245" t="s">
        <v>309</v>
      </c>
    </row>
    <row r="246" spans="1:1" x14ac:dyDescent="0.25">
      <c r="A246" t="s">
        <v>310</v>
      </c>
    </row>
    <row r="247" spans="1:1" x14ac:dyDescent="0.25">
      <c r="A247" t="s">
        <v>311</v>
      </c>
    </row>
    <row r="248" spans="1:1" x14ac:dyDescent="0.25">
      <c r="A248" t="s">
        <v>312</v>
      </c>
    </row>
    <row r="249" spans="1:1" x14ac:dyDescent="0.25">
      <c r="A249" t="s">
        <v>313</v>
      </c>
    </row>
    <row r="250" spans="1:1" x14ac:dyDescent="0.25">
      <c r="A250" t="s">
        <v>314</v>
      </c>
    </row>
    <row r="251" spans="1:1" x14ac:dyDescent="0.25">
      <c r="A251" t="s">
        <v>315</v>
      </c>
    </row>
    <row r="252" spans="1:1" x14ac:dyDescent="0.25">
      <c r="A252" t="s">
        <v>316</v>
      </c>
    </row>
    <row r="253" spans="1:1" x14ac:dyDescent="0.25">
      <c r="A253" t="s">
        <v>317</v>
      </c>
    </row>
    <row r="254" spans="1:1" x14ac:dyDescent="0.25">
      <c r="A254" t="s">
        <v>318</v>
      </c>
    </row>
    <row r="255" spans="1:1" x14ac:dyDescent="0.25">
      <c r="A255" t="s">
        <v>319</v>
      </c>
    </row>
    <row r="256" spans="1:1" x14ac:dyDescent="0.25">
      <c r="A256" t="s">
        <v>320</v>
      </c>
    </row>
    <row r="257" spans="1:1" x14ac:dyDescent="0.25">
      <c r="A257" t="s">
        <v>321</v>
      </c>
    </row>
    <row r="258" spans="1:1" x14ac:dyDescent="0.25">
      <c r="A258" t="s">
        <v>322</v>
      </c>
    </row>
    <row r="259" spans="1:1" x14ac:dyDescent="0.25">
      <c r="A259" t="s">
        <v>323</v>
      </c>
    </row>
    <row r="260" spans="1:1" x14ac:dyDescent="0.25">
      <c r="A260" t="s">
        <v>324</v>
      </c>
    </row>
    <row r="261" spans="1:1" x14ac:dyDescent="0.25">
      <c r="A261" t="s">
        <v>325</v>
      </c>
    </row>
    <row r="262" spans="1:1" x14ac:dyDescent="0.25">
      <c r="A262" t="s">
        <v>326</v>
      </c>
    </row>
    <row r="263" spans="1:1" x14ac:dyDescent="0.25">
      <c r="A263" t="s">
        <v>327</v>
      </c>
    </row>
    <row r="264" spans="1:1" x14ac:dyDescent="0.25">
      <c r="A264" t="s">
        <v>328</v>
      </c>
    </row>
    <row r="265" spans="1:1" x14ac:dyDescent="0.25">
      <c r="A265" t="s">
        <v>329</v>
      </c>
    </row>
    <row r="266" spans="1:1" x14ac:dyDescent="0.25">
      <c r="A266" t="s">
        <v>330</v>
      </c>
    </row>
    <row r="267" spans="1:1" x14ac:dyDescent="0.25">
      <c r="A267" t="s">
        <v>331</v>
      </c>
    </row>
    <row r="268" spans="1:1" x14ac:dyDescent="0.25">
      <c r="A268" t="s">
        <v>332</v>
      </c>
    </row>
    <row r="269" spans="1:1" x14ac:dyDescent="0.25">
      <c r="A269" t="s">
        <v>333</v>
      </c>
    </row>
    <row r="270" spans="1:1" x14ac:dyDescent="0.25">
      <c r="A270" t="s">
        <v>334</v>
      </c>
    </row>
    <row r="271" spans="1:1" x14ac:dyDescent="0.25">
      <c r="A271" t="s">
        <v>335</v>
      </c>
    </row>
    <row r="272" spans="1:1" x14ac:dyDescent="0.25">
      <c r="A272" t="s">
        <v>336</v>
      </c>
    </row>
    <row r="273" spans="1:1" x14ac:dyDescent="0.25">
      <c r="A273" t="s">
        <v>337</v>
      </c>
    </row>
    <row r="274" spans="1:1" x14ac:dyDescent="0.25">
      <c r="A274" t="s">
        <v>338</v>
      </c>
    </row>
    <row r="275" spans="1:1" x14ac:dyDescent="0.25">
      <c r="A275" t="s">
        <v>339</v>
      </c>
    </row>
    <row r="276" spans="1:1" x14ac:dyDescent="0.25">
      <c r="A276" t="s">
        <v>340</v>
      </c>
    </row>
    <row r="277" spans="1:1" x14ac:dyDescent="0.25">
      <c r="A277" t="s">
        <v>341</v>
      </c>
    </row>
    <row r="278" spans="1:1" x14ac:dyDescent="0.25">
      <c r="A278" t="s">
        <v>342</v>
      </c>
    </row>
    <row r="279" spans="1:1" x14ac:dyDescent="0.25">
      <c r="A279" t="s">
        <v>343</v>
      </c>
    </row>
    <row r="280" spans="1:1" x14ac:dyDescent="0.25">
      <c r="A280" t="s">
        <v>344</v>
      </c>
    </row>
    <row r="281" spans="1:1" x14ac:dyDescent="0.25">
      <c r="A281" t="s">
        <v>345</v>
      </c>
    </row>
    <row r="282" spans="1:1" x14ac:dyDescent="0.25">
      <c r="A282" t="s">
        <v>346</v>
      </c>
    </row>
    <row r="283" spans="1:1" x14ac:dyDescent="0.25">
      <c r="A283" t="s">
        <v>347</v>
      </c>
    </row>
    <row r="284" spans="1:1" x14ac:dyDescent="0.25">
      <c r="A284" t="s">
        <v>348</v>
      </c>
    </row>
    <row r="285" spans="1:1" x14ac:dyDescent="0.25">
      <c r="A285" t="s">
        <v>349</v>
      </c>
    </row>
    <row r="286" spans="1:1" x14ac:dyDescent="0.25">
      <c r="A286" t="s">
        <v>350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353</v>
      </c>
    </row>
    <row r="290" spans="1:1" x14ac:dyDescent="0.25">
      <c r="A290" t="s">
        <v>354</v>
      </c>
    </row>
    <row r="291" spans="1:1" x14ac:dyDescent="0.25">
      <c r="A291" t="s">
        <v>355</v>
      </c>
    </row>
    <row r="292" spans="1:1" x14ac:dyDescent="0.25">
      <c r="A292" t="s">
        <v>356</v>
      </c>
    </row>
    <row r="293" spans="1:1" x14ac:dyDescent="0.25">
      <c r="A293" t="s">
        <v>357</v>
      </c>
    </row>
    <row r="294" spans="1:1" x14ac:dyDescent="0.25">
      <c r="A294" t="s">
        <v>358</v>
      </c>
    </row>
    <row r="295" spans="1:1" x14ac:dyDescent="0.25">
      <c r="A295" t="s">
        <v>359</v>
      </c>
    </row>
    <row r="296" spans="1:1" x14ac:dyDescent="0.25">
      <c r="A296" t="s">
        <v>360</v>
      </c>
    </row>
    <row r="297" spans="1:1" x14ac:dyDescent="0.25">
      <c r="A297" t="s">
        <v>361</v>
      </c>
    </row>
    <row r="298" spans="1:1" x14ac:dyDescent="0.25">
      <c r="A298" t="s">
        <v>362</v>
      </c>
    </row>
    <row r="299" spans="1:1" x14ac:dyDescent="0.25">
      <c r="A299" t="s">
        <v>363</v>
      </c>
    </row>
    <row r="300" spans="1:1" x14ac:dyDescent="0.25">
      <c r="A300" t="s">
        <v>364</v>
      </c>
    </row>
    <row r="301" spans="1:1" x14ac:dyDescent="0.25">
      <c r="A301" t="s">
        <v>365</v>
      </c>
    </row>
    <row r="302" spans="1:1" x14ac:dyDescent="0.25">
      <c r="A302" t="s">
        <v>366</v>
      </c>
    </row>
    <row r="303" spans="1:1" x14ac:dyDescent="0.25">
      <c r="A303" t="s">
        <v>367</v>
      </c>
    </row>
    <row r="304" spans="1:1" x14ac:dyDescent="0.25">
      <c r="A304" t="s">
        <v>368</v>
      </c>
    </row>
    <row r="305" spans="1:1" x14ac:dyDescent="0.25">
      <c r="A305" t="s">
        <v>369</v>
      </c>
    </row>
    <row r="306" spans="1:1" x14ac:dyDescent="0.25">
      <c r="A306" t="s">
        <v>370</v>
      </c>
    </row>
    <row r="307" spans="1:1" x14ac:dyDescent="0.25">
      <c r="A307" t="s">
        <v>371</v>
      </c>
    </row>
    <row r="308" spans="1:1" x14ac:dyDescent="0.25">
      <c r="A308" t="s">
        <v>372</v>
      </c>
    </row>
    <row r="309" spans="1:1" x14ac:dyDescent="0.25">
      <c r="A309" t="s">
        <v>373</v>
      </c>
    </row>
    <row r="310" spans="1:1" x14ac:dyDescent="0.25">
      <c r="A310" t="s">
        <v>374</v>
      </c>
    </row>
    <row r="311" spans="1:1" x14ac:dyDescent="0.25">
      <c r="A311" t="s">
        <v>375</v>
      </c>
    </row>
    <row r="312" spans="1:1" x14ac:dyDescent="0.25">
      <c r="A312" t="s">
        <v>376</v>
      </c>
    </row>
    <row r="313" spans="1:1" x14ac:dyDescent="0.25">
      <c r="A313" t="s">
        <v>377</v>
      </c>
    </row>
    <row r="314" spans="1:1" x14ac:dyDescent="0.25">
      <c r="A314" t="s">
        <v>378</v>
      </c>
    </row>
    <row r="315" spans="1:1" x14ac:dyDescent="0.25">
      <c r="A315" t="s">
        <v>379</v>
      </c>
    </row>
    <row r="316" spans="1:1" x14ac:dyDescent="0.25">
      <c r="A316" t="s">
        <v>380</v>
      </c>
    </row>
    <row r="317" spans="1:1" x14ac:dyDescent="0.25">
      <c r="A317" t="s">
        <v>381</v>
      </c>
    </row>
    <row r="318" spans="1:1" x14ac:dyDescent="0.25">
      <c r="A318" t="s">
        <v>382</v>
      </c>
    </row>
    <row r="319" spans="1:1" x14ac:dyDescent="0.25">
      <c r="A319" t="s">
        <v>383</v>
      </c>
    </row>
    <row r="320" spans="1:1" x14ac:dyDescent="0.25">
      <c r="A320" t="s">
        <v>384</v>
      </c>
    </row>
    <row r="321" spans="1:1" x14ac:dyDescent="0.25">
      <c r="A321" t="s">
        <v>385</v>
      </c>
    </row>
    <row r="322" spans="1:1" x14ac:dyDescent="0.25">
      <c r="A322" t="s">
        <v>386</v>
      </c>
    </row>
    <row r="323" spans="1:1" x14ac:dyDescent="0.25">
      <c r="A323" t="s">
        <v>387</v>
      </c>
    </row>
    <row r="324" spans="1:1" x14ac:dyDescent="0.25">
      <c r="A324" t="s">
        <v>388</v>
      </c>
    </row>
    <row r="325" spans="1:1" x14ac:dyDescent="0.25">
      <c r="A325" t="s">
        <v>389</v>
      </c>
    </row>
    <row r="326" spans="1:1" x14ac:dyDescent="0.25">
      <c r="A326" t="s">
        <v>390</v>
      </c>
    </row>
    <row r="327" spans="1:1" x14ac:dyDescent="0.25">
      <c r="A327" t="s">
        <v>391</v>
      </c>
    </row>
    <row r="328" spans="1:1" x14ac:dyDescent="0.25">
      <c r="A328" t="s">
        <v>392</v>
      </c>
    </row>
    <row r="329" spans="1:1" x14ac:dyDescent="0.25">
      <c r="A329" t="s">
        <v>393</v>
      </c>
    </row>
    <row r="330" spans="1:1" x14ac:dyDescent="0.25">
      <c r="A330" t="s">
        <v>394</v>
      </c>
    </row>
    <row r="331" spans="1:1" x14ac:dyDescent="0.25">
      <c r="A331" t="s">
        <v>395</v>
      </c>
    </row>
    <row r="332" spans="1:1" x14ac:dyDescent="0.25">
      <c r="A332" t="s">
        <v>396</v>
      </c>
    </row>
    <row r="333" spans="1:1" x14ac:dyDescent="0.25">
      <c r="A333" t="s">
        <v>397</v>
      </c>
    </row>
    <row r="334" spans="1:1" x14ac:dyDescent="0.25">
      <c r="A334" t="s">
        <v>398</v>
      </c>
    </row>
    <row r="335" spans="1:1" x14ac:dyDescent="0.25">
      <c r="A335" t="s">
        <v>399</v>
      </c>
    </row>
    <row r="336" spans="1:1" x14ac:dyDescent="0.25">
      <c r="A336" t="s">
        <v>400</v>
      </c>
    </row>
    <row r="337" spans="1:1" x14ac:dyDescent="0.25">
      <c r="A337" t="s">
        <v>401</v>
      </c>
    </row>
    <row r="338" spans="1:1" x14ac:dyDescent="0.25">
      <c r="A338" t="s">
        <v>402</v>
      </c>
    </row>
    <row r="339" spans="1:1" x14ac:dyDescent="0.25">
      <c r="A339" t="s">
        <v>403</v>
      </c>
    </row>
    <row r="340" spans="1:1" x14ac:dyDescent="0.25">
      <c r="A340" t="s">
        <v>404</v>
      </c>
    </row>
    <row r="341" spans="1:1" x14ac:dyDescent="0.25">
      <c r="A341" t="s">
        <v>405</v>
      </c>
    </row>
    <row r="342" spans="1:1" x14ac:dyDescent="0.25">
      <c r="A342" t="s">
        <v>406</v>
      </c>
    </row>
    <row r="343" spans="1:1" x14ac:dyDescent="0.25">
      <c r="A343" t="s">
        <v>407</v>
      </c>
    </row>
    <row r="344" spans="1:1" x14ac:dyDescent="0.25">
      <c r="A344" t="s">
        <v>408</v>
      </c>
    </row>
    <row r="345" spans="1:1" x14ac:dyDescent="0.25">
      <c r="A345" t="s">
        <v>409</v>
      </c>
    </row>
    <row r="346" spans="1:1" x14ac:dyDescent="0.25">
      <c r="A346" t="s">
        <v>410</v>
      </c>
    </row>
    <row r="347" spans="1:1" x14ac:dyDescent="0.25">
      <c r="A347" t="s">
        <v>411</v>
      </c>
    </row>
    <row r="348" spans="1:1" x14ac:dyDescent="0.25">
      <c r="A348" t="s">
        <v>412</v>
      </c>
    </row>
    <row r="349" spans="1:1" x14ac:dyDescent="0.25">
      <c r="A349" t="s">
        <v>413</v>
      </c>
    </row>
    <row r="350" spans="1:1" x14ac:dyDescent="0.25">
      <c r="A350" t="s">
        <v>414</v>
      </c>
    </row>
    <row r="351" spans="1:1" x14ac:dyDescent="0.25">
      <c r="A351" t="s">
        <v>415</v>
      </c>
    </row>
    <row r="352" spans="1:1" x14ac:dyDescent="0.25">
      <c r="A352" t="s">
        <v>416</v>
      </c>
    </row>
    <row r="353" spans="1:1" x14ac:dyDescent="0.25">
      <c r="A353" t="s">
        <v>417</v>
      </c>
    </row>
    <row r="354" spans="1:1" x14ac:dyDescent="0.25">
      <c r="A354" t="s">
        <v>418</v>
      </c>
    </row>
    <row r="355" spans="1:1" x14ac:dyDescent="0.25">
      <c r="A355" t="s">
        <v>419</v>
      </c>
    </row>
    <row r="356" spans="1:1" x14ac:dyDescent="0.25">
      <c r="A356" t="s">
        <v>420</v>
      </c>
    </row>
    <row r="357" spans="1:1" x14ac:dyDescent="0.25">
      <c r="A357" t="s">
        <v>421</v>
      </c>
    </row>
    <row r="358" spans="1:1" x14ac:dyDescent="0.25">
      <c r="A358" t="s">
        <v>422</v>
      </c>
    </row>
    <row r="359" spans="1:1" x14ac:dyDescent="0.25">
      <c r="A359" t="s">
        <v>423</v>
      </c>
    </row>
    <row r="360" spans="1:1" x14ac:dyDescent="0.25">
      <c r="A360" t="s">
        <v>424</v>
      </c>
    </row>
    <row r="361" spans="1:1" x14ac:dyDescent="0.25">
      <c r="A361" t="s">
        <v>425</v>
      </c>
    </row>
    <row r="362" spans="1:1" x14ac:dyDescent="0.25">
      <c r="A362" t="s">
        <v>426</v>
      </c>
    </row>
    <row r="363" spans="1:1" x14ac:dyDescent="0.25">
      <c r="A363" t="s">
        <v>427</v>
      </c>
    </row>
    <row r="364" spans="1:1" x14ac:dyDescent="0.25">
      <c r="A364" t="s">
        <v>428</v>
      </c>
    </row>
    <row r="365" spans="1:1" x14ac:dyDescent="0.25">
      <c r="A365" t="s">
        <v>429</v>
      </c>
    </row>
    <row r="366" spans="1:1" x14ac:dyDescent="0.25">
      <c r="A366" t="s">
        <v>430</v>
      </c>
    </row>
    <row r="367" spans="1:1" x14ac:dyDescent="0.25">
      <c r="A367" t="s">
        <v>431</v>
      </c>
    </row>
    <row r="368" spans="1:1" x14ac:dyDescent="0.25">
      <c r="A368" t="s">
        <v>432</v>
      </c>
    </row>
    <row r="369" spans="1:1" x14ac:dyDescent="0.25">
      <c r="A369" t="s">
        <v>433</v>
      </c>
    </row>
    <row r="370" spans="1:1" x14ac:dyDescent="0.25">
      <c r="A370" t="s">
        <v>434</v>
      </c>
    </row>
    <row r="371" spans="1:1" x14ac:dyDescent="0.25">
      <c r="A371" t="s">
        <v>435</v>
      </c>
    </row>
    <row r="372" spans="1:1" x14ac:dyDescent="0.25">
      <c r="A372" t="s">
        <v>436</v>
      </c>
    </row>
    <row r="373" spans="1:1" x14ac:dyDescent="0.25">
      <c r="A373" t="s">
        <v>437</v>
      </c>
    </row>
    <row r="374" spans="1:1" x14ac:dyDescent="0.25">
      <c r="A374" t="s">
        <v>438</v>
      </c>
    </row>
    <row r="375" spans="1:1" x14ac:dyDescent="0.25">
      <c r="A375" t="s">
        <v>439</v>
      </c>
    </row>
    <row r="376" spans="1:1" x14ac:dyDescent="0.25">
      <c r="A376" t="s">
        <v>440</v>
      </c>
    </row>
    <row r="377" spans="1:1" x14ac:dyDescent="0.25">
      <c r="A377" t="s">
        <v>441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450</v>
      </c>
    </row>
    <row r="387" spans="1:1" x14ac:dyDescent="0.25">
      <c r="A387" t="s">
        <v>451</v>
      </c>
    </row>
    <row r="388" spans="1:1" x14ac:dyDescent="0.25">
      <c r="A388" t="s">
        <v>452</v>
      </c>
    </row>
    <row r="389" spans="1:1" x14ac:dyDescent="0.25">
      <c r="A389" t="s">
        <v>453</v>
      </c>
    </row>
    <row r="390" spans="1:1" x14ac:dyDescent="0.25">
      <c r="A390" t="s">
        <v>454</v>
      </c>
    </row>
    <row r="391" spans="1:1" x14ac:dyDescent="0.25">
      <c r="A391" t="s">
        <v>455</v>
      </c>
    </row>
    <row r="392" spans="1:1" x14ac:dyDescent="0.25">
      <c r="A392" t="s">
        <v>456</v>
      </c>
    </row>
    <row r="393" spans="1:1" x14ac:dyDescent="0.25">
      <c r="A393" t="s">
        <v>457</v>
      </c>
    </row>
    <row r="394" spans="1:1" x14ac:dyDescent="0.25">
      <c r="A394" t="s">
        <v>458</v>
      </c>
    </row>
    <row r="395" spans="1:1" x14ac:dyDescent="0.25">
      <c r="A395" t="s">
        <v>459</v>
      </c>
    </row>
    <row r="396" spans="1:1" x14ac:dyDescent="0.25">
      <c r="A396" t="s">
        <v>460</v>
      </c>
    </row>
    <row r="397" spans="1:1" x14ac:dyDescent="0.25">
      <c r="A397" t="s">
        <v>461</v>
      </c>
    </row>
    <row r="398" spans="1:1" x14ac:dyDescent="0.25">
      <c r="A398" t="s">
        <v>462</v>
      </c>
    </row>
    <row r="399" spans="1:1" x14ac:dyDescent="0.25">
      <c r="A399" t="s">
        <v>463</v>
      </c>
    </row>
    <row r="400" spans="1:1" x14ac:dyDescent="0.25">
      <c r="A400" t="s">
        <v>464</v>
      </c>
    </row>
    <row r="401" spans="1:1" x14ac:dyDescent="0.25">
      <c r="A401" t="s">
        <v>465</v>
      </c>
    </row>
    <row r="402" spans="1:1" x14ac:dyDescent="0.25">
      <c r="A402" t="s">
        <v>466</v>
      </c>
    </row>
    <row r="403" spans="1:1" x14ac:dyDescent="0.25">
      <c r="A403" t="s">
        <v>467</v>
      </c>
    </row>
    <row r="404" spans="1:1" x14ac:dyDescent="0.25">
      <c r="A404" t="s">
        <v>468</v>
      </c>
    </row>
    <row r="405" spans="1:1" x14ac:dyDescent="0.25">
      <c r="A405" t="s">
        <v>469</v>
      </c>
    </row>
    <row r="406" spans="1:1" x14ac:dyDescent="0.25">
      <c r="A406" t="s">
        <v>470</v>
      </c>
    </row>
    <row r="407" spans="1:1" x14ac:dyDescent="0.25">
      <c r="A407" t="s">
        <v>471</v>
      </c>
    </row>
    <row r="408" spans="1:1" x14ac:dyDescent="0.25">
      <c r="A408" t="s">
        <v>472</v>
      </c>
    </row>
    <row r="409" spans="1:1" x14ac:dyDescent="0.25">
      <c r="A409" t="s">
        <v>473</v>
      </c>
    </row>
    <row r="410" spans="1:1" x14ac:dyDescent="0.25">
      <c r="A410" t="s">
        <v>474</v>
      </c>
    </row>
    <row r="411" spans="1:1" x14ac:dyDescent="0.25">
      <c r="A411" t="s">
        <v>475</v>
      </c>
    </row>
    <row r="412" spans="1:1" x14ac:dyDescent="0.25">
      <c r="A412" t="s">
        <v>476</v>
      </c>
    </row>
    <row r="413" spans="1:1" x14ac:dyDescent="0.25">
      <c r="A413" t="s">
        <v>477</v>
      </c>
    </row>
    <row r="414" spans="1:1" x14ac:dyDescent="0.25">
      <c r="A414" t="s">
        <v>478</v>
      </c>
    </row>
    <row r="415" spans="1:1" x14ac:dyDescent="0.25">
      <c r="A415" t="s">
        <v>479</v>
      </c>
    </row>
    <row r="416" spans="1:1" x14ac:dyDescent="0.25">
      <c r="A416" t="s">
        <v>480</v>
      </c>
    </row>
    <row r="417" spans="1:1" x14ac:dyDescent="0.25">
      <c r="A417" t="s">
        <v>481</v>
      </c>
    </row>
    <row r="418" spans="1:1" x14ac:dyDescent="0.25">
      <c r="A418" t="s">
        <v>482</v>
      </c>
    </row>
    <row r="419" spans="1:1" x14ac:dyDescent="0.25">
      <c r="A419" t="s">
        <v>483</v>
      </c>
    </row>
    <row r="420" spans="1:1" x14ac:dyDescent="0.25">
      <c r="A420" t="s">
        <v>484</v>
      </c>
    </row>
    <row r="421" spans="1:1" x14ac:dyDescent="0.25">
      <c r="A421" t="s">
        <v>485</v>
      </c>
    </row>
    <row r="422" spans="1:1" x14ac:dyDescent="0.25">
      <c r="A422" t="s">
        <v>486</v>
      </c>
    </row>
    <row r="423" spans="1:1" x14ac:dyDescent="0.25">
      <c r="A423" t="s">
        <v>487</v>
      </c>
    </row>
    <row r="424" spans="1:1" x14ac:dyDescent="0.25">
      <c r="A424" t="s">
        <v>488</v>
      </c>
    </row>
    <row r="425" spans="1:1" x14ac:dyDescent="0.25">
      <c r="A425" t="s">
        <v>489</v>
      </c>
    </row>
    <row r="426" spans="1:1" x14ac:dyDescent="0.25">
      <c r="A426" t="s">
        <v>490</v>
      </c>
    </row>
    <row r="427" spans="1:1" x14ac:dyDescent="0.25">
      <c r="A427" t="s">
        <v>491</v>
      </c>
    </row>
    <row r="428" spans="1:1" x14ac:dyDescent="0.25">
      <c r="A428" t="s">
        <v>492</v>
      </c>
    </row>
    <row r="429" spans="1:1" x14ac:dyDescent="0.25">
      <c r="A429" t="s">
        <v>493</v>
      </c>
    </row>
    <row r="430" spans="1:1" x14ac:dyDescent="0.25">
      <c r="A430" t="s">
        <v>494</v>
      </c>
    </row>
    <row r="431" spans="1:1" x14ac:dyDescent="0.25">
      <c r="A431" t="s">
        <v>495</v>
      </c>
    </row>
    <row r="432" spans="1:1" x14ac:dyDescent="0.25">
      <c r="A432" t="s">
        <v>496</v>
      </c>
    </row>
    <row r="433" spans="1:1" x14ac:dyDescent="0.25">
      <c r="A433" t="s">
        <v>497</v>
      </c>
    </row>
    <row r="434" spans="1:1" x14ac:dyDescent="0.25">
      <c r="A434" t="s">
        <v>498</v>
      </c>
    </row>
    <row r="435" spans="1:1" x14ac:dyDescent="0.25">
      <c r="A435" t="s">
        <v>499</v>
      </c>
    </row>
    <row r="436" spans="1:1" x14ac:dyDescent="0.25">
      <c r="A436" t="s">
        <v>500</v>
      </c>
    </row>
    <row r="437" spans="1:1" x14ac:dyDescent="0.25">
      <c r="A437" t="s">
        <v>501</v>
      </c>
    </row>
    <row r="438" spans="1:1" x14ac:dyDescent="0.25">
      <c r="A438" t="s">
        <v>502</v>
      </c>
    </row>
    <row r="439" spans="1:1" x14ac:dyDescent="0.25">
      <c r="A439" t="s">
        <v>503</v>
      </c>
    </row>
    <row r="440" spans="1:1" x14ac:dyDescent="0.25">
      <c r="A440" t="s">
        <v>504</v>
      </c>
    </row>
    <row r="441" spans="1:1" x14ac:dyDescent="0.25">
      <c r="A441" t="s">
        <v>505</v>
      </c>
    </row>
    <row r="442" spans="1:1" x14ac:dyDescent="0.25">
      <c r="A442" t="s">
        <v>506</v>
      </c>
    </row>
    <row r="443" spans="1:1" x14ac:dyDescent="0.25">
      <c r="A443" t="s">
        <v>507</v>
      </c>
    </row>
    <row r="444" spans="1:1" x14ac:dyDescent="0.25">
      <c r="A444" t="s">
        <v>508</v>
      </c>
    </row>
    <row r="445" spans="1:1" x14ac:dyDescent="0.25">
      <c r="A445" t="s">
        <v>509</v>
      </c>
    </row>
    <row r="446" spans="1:1" x14ac:dyDescent="0.25">
      <c r="A446" t="s">
        <v>510</v>
      </c>
    </row>
    <row r="447" spans="1:1" x14ac:dyDescent="0.25">
      <c r="A447" t="s">
        <v>511</v>
      </c>
    </row>
    <row r="448" spans="1:1" x14ac:dyDescent="0.25">
      <c r="A448" t="s">
        <v>512</v>
      </c>
    </row>
    <row r="449" spans="1:1" x14ac:dyDescent="0.25">
      <c r="A449" t="s">
        <v>513</v>
      </c>
    </row>
    <row r="450" spans="1:1" x14ac:dyDescent="0.25">
      <c r="A450" t="s">
        <v>514</v>
      </c>
    </row>
    <row r="451" spans="1:1" x14ac:dyDescent="0.25">
      <c r="A451" t="s">
        <v>515</v>
      </c>
    </row>
    <row r="452" spans="1:1" x14ac:dyDescent="0.25">
      <c r="A452" t="s">
        <v>516</v>
      </c>
    </row>
    <row r="453" spans="1:1" x14ac:dyDescent="0.25">
      <c r="A453" t="s">
        <v>517</v>
      </c>
    </row>
    <row r="454" spans="1:1" x14ac:dyDescent="0.25">
      <c r="A454" t="s">
        <v>518</v>
      </c>
    </row>
    <row r="455" spans="1:1" x14ac:dyDescent="0.25">
      <c r="A455" t="s">
        <v>519</v>
      </c>
    </row>
    <row r="456" spans="1:1" x14ac:dyDescent="0.25">
      <c r="A456" t="s">
        <v>520</v>
      </c>
    </row>
    <row r="457" spans="1:1" x14ac:dyDescent="0.25">
      <c r="A457" t="s">
        <v>521</v>
      </c>
    </row>
    <row r="458" spans="1:1" x14ac:dyDescent="0.25">
      <c r="A458" t="s">
        <v>522</v>
      </c>
    </row>
    <row r="459" spans="1:1" x14ac:dyDescent="0.25">
      <c r="A459" t="s">
        <v>523</v>
      </c>
    </row>
    <row r="460" spans="1:1" x14ac:dyDescent="0.25">
      <c r="A460" t="s">
        <v>524</v>
      </c>
    </row>
    <row r="461" spans="1:1" x14ac:dyDescent="0.25">
      <c r="A461" t="s">
        <v>525</v>
      </c>
    </row>
    <row r="462" spans="1:1" x14ac:dyDescent="0.25">
      <c r="A462" t="s">
        <v>526</v>
      </c>
    </row>
    <row r="463" spans="1:1" x14ac:dyDescent="0.25">
      <c r="A463" t="s">
        <v>527</v>
      </c>
    </row>
    <row r="464" spans="1:1" x14ac:dyDescent="0.25">
      <c r="A464" t="s">
        <v>528</v>
      </c>
    </row>
    <row r="465" spans="1:1" x14ac:dyDescent="0.25">
      <c r="A465" t="s">
        <v>529</v>
      </c>
    </row>
    <row r="466" spans="1:1" x14ac:dyDescent="0.25">
      <c r="A466" t="s">
        <v>530</v>
      </c>
    </row>
    <row r="467" spans="1:1" x14ac:dyDescent="0.25">
      <c r="A467" t="s">
        <v>531</v>
      </c>
    </row>
    <row r="468" spans="1:1" x14ac:dyDescent="0.25">
      <c r="A468" t="s">
        <v>532</v>
      </c>
    </row>
    <row r="469" spans="1:1" x14ac:dyDescent="0.25">
      <c r="A469" t="s">
        <v>533</v>
      </c>
    </row>
    <row r="470" spans="1:1" x14ac:dyDescent="0.25">
      <c r="A470" t="s">
        <v>534</v>
      </c>
    </row>
    <row r="471" spans="1:1" x14ac:dyDescent="0.25">
      <c r="A471" t="s">
        <v>535</v>
      </c>
    </row>
    <row r="472" spans="1:1" x14ac:dyDescent="0.25">
      <c r="A472" t="s">
        <v>536</v>
      </c>
    </row>
    <row r="473" spans="1:1" x14ac:dyDescent="0.25">
      <c r="A473" t="s">
        <v>537</v>
      </c>
    </row>
    <row r="474" spans="1:1" x14ac:dyDescent="0.25">
      <c r="A474" t="s">
        <v>538</v>
      </c>
    </row>
    <row r="475" spans="1:1" x14ac:dyDescent="0.25">
      <c r="A475" t="s">
        <v>539</v>
      </c>
    </row>
    <row r="476" spans="1:1" x14ac:dyDescent="0.25">
      <c r="A476" t="s">
        <v>540</v>
      </c>
    </row>
    <row r="477" spans="1:1" x14ac:dyDescent="0.25">
      <c r="A477" t="s">
        <v>541</v>
      </c>
    </row>
    <row r="478" spans="1:1" x14ac:dyDescent="0.25">
      <c r="A478" t="s">
        <v>542</v>
      </c>
    </row>
    <row r="479" spans="1:1" x14ac:dyDescent="0.25">
      <c r="A479" t="s">
        <v>543</v>
      </c>
    </row>
    <row r="480" spans="1:1" x14ac:dyDescent="0.25">
      <c r="A480" t="s">
        <v>544</v>
      </c>
    </row>
    <row r="481" spans="1:1" x14ac:dyDescent="0.25">
      <c r="A481" t="s">
        <v>545</v>
      </c>
    </row>
    <row r="482" spans="1:1" x14ac:dyDescent="0.25">
      <c r="A482" t="s">
        <v>546</v>
      </c>
    </row>
    <row r="483" spans="1:1" x14ac:dyDescent="0.25">
      <c r="A483" t="s">
        <v>547</v>
      </c>
    </row>
    <row r="484" spans="1:1" x14ac:dyDescent="0.25">
      <c r="A484" t="s">
        <v>548</v>
      </c>
    </row>
    <row r="485" spans="1:1" x14ac:dyDescent="0.25">
      <c r="A485" t="s">
        <v>549</v>
      </c>
    </row>
    <row r="486" spans="1:1" x14ac:dyDescent="0.25">
      <c r="A486" t="s">
        <v>550</v>
      </c>
    </row>
    <row r="487" spans="1:1" x14ac:dyDescent="0.25">
      <c r="A487" t="s">
        <v>551</v>
      </c>
    </row>
    <row r="488" spans="1:1" x14ac:dyDescent="0.25">
      <c r="A488" t="s">
        <v>552</v>
      </c>
    </row>
    <row r="489" spans="1:1" x14ac:dyDescent="0.25">
      <c r="A489" t="s">
        <v>553</v>
      </c>
    </row>
    <row r="490" spans="1:1" x14ac:dyDescent="0.25">
      <c r="A490" t="s">
        <v>554</v>
      </c>
    </row>
    <row r="491" spans="1:1" x14ac:dyDescent="0.25">
      <c r="A491" t="s">
        <v>555</v>
      </c>
    </row>
    <row r="492" spans="1:1" x14ac:dyDescent="0.25">
      <c r="A492" t="s">
        <v>556</v>
      </c>
    </row>
    <row r="493" spans="1:1" x14ac:dyDescent="0.25">
      <c r="A493" t="s">
        <v>557</v>
      </c>
    </row>
    <row r="494" spans="1:1" x14ac:dyDescent="0.25">
      <c r="A494" t="s">
        <v>558</v>
      </c>
    </row>
    <row r="495" spans="1:1" x14ac:dyDescent="0.25">
      <c r="A495" t="s">
        <v>559</v>
      </c>
    </row>
    <row r="496" spans="1:1" x14ac:dyDescent="0.25">
      <c r="A496" t="s">
        <v>560</v>
      </c>
    </row>
    <row r="497" spans="1:1" x14ac:dyDescent="0.25">
      <c r="A497" t="s">
        <v>561</v>
      </c>
    </row>
    <row r="498" spans="1:1" x14ac:dyDescent="0.25">
      <c r="A498" t="s">
        <v>562</v>
      </c>
    </row>
    <row r="499" spans="1:1" x14ac:dyDescent="0.25">
      <c r="A499" t="s">
        <v>563</v>
      </c>
    </row>
    <row r="500" spans="1:1" x14ac:dyDescent="0.25">
      <c r="A500" t="s">
        <v>564</v>
      </c>
    </row>
    <row r="501" spans="1:1" x14ac:dyDescent="0.25">
      <c r="A501" t="s">
        <v>565</v>
      </c>
    </row>
    <row r="502" spans="1:1" x14ac:dyDescent="0.25">
      <c r="A502" t="s">
        <v>566</v>
      </c>
    </row>
    <row r="503" spans="1:1" x14ac:dyDescent="0.25">
      <c r="A503" t="s">
        <v>567</v>
      </c>
    </row>
    <row r="504" spans="1:1" x14ac:dyDescent="0.25">
      <c r="A504" t="s">
        <v>568</v>
      </c>
    </row>
    <row r="505" spans="1:1" x14ac:dyDescent="0.25">
      <c r="A505" t="s">
        <v>569</v>
      </c>
    </row>
    <row r="506" spans="1:1" x14ac:dyDescent="0.25">
      <c r="A506" t="s">
        <v>570</v>
      </c>
    </row>
    <row r="507" spans="1:1" x14ac:dyDescent="0.25">
      <c r="A507" t="s">
        <v>571</v>
      </c>
    </row>
    <row r="508" spans="1:1" x14ac:dyDescent="0.25">
      <c r="A508" t="s">
        <v>572</v>
      </c>
    </row>
    <row r="509" spans="1:1" x14ac:dyDescent="0.25">
      <c r="A509" t="s">
        <v>573</v>
      </c>
    </row>
    <row r="510" spans="1:1" x14ac:dyDescent="0.25">
      <c r="A510" t="s">
        <v>574</v>
      </c>
    </row>
    <row r="511" spans="1:1" x14ac:dyDescent="0.25">
      <c r="A511" t="s">
        <v>575</v>
      </c>
    </row>
    <row r="512" spans="1:1" x14ac:dyDescent="0.25">
      <c r="A512" t="s">
        <v>576</v>
      </c>
    </row>
    <row r="513" spans="1:1" x14ac:dyDescent="0.25">
      <c r="A513" t="s">
        <v>577</v>
      </c>
    </row>
    <row r="514" spans="1:1" x14ac:dyDescent="0.25">
      <c r="A514" t="s">
        <v>578</v>
      </c>
    </row>
    <row r="515" spans="1:1" x14ac:dyDescent="0.25">
      <c r="A515" t="s">
        <v>579</v>
      </c>
    </row>
    <row r="516" spans="1:1" x14ac:dyDescent="0.25">
      <c r="A516" t="s">
        <v>580</v>
      </c>
    </row>
    <row r="517" spans="1:1" x14ac:dyDescent="0.25">
      <c r="A517" t="s">
        <v>581</v>
      </c>
    </row>
    <row r="518" spans="1:1" x14ac:dyDescent="0.25">
      <c r="A518" t="s">
        <v>582</v>
      </c>
    </row>
    <row r="519" spans="1:1" x14ac:dyDescent="0.25">
      <c r="A519" t="s">
        <v>583</v>
      </c>
    </row>
    <row r="520" spans="1:1" x14ac:dyDescent="0.25">
      <c r="A520" t="s">
        <v>584</v>
      </c>
    </row>
    <row r="521" spans="1:1" x14ac:dyDescent="0.25">
      <c r="A521" t="s">
        <v>585</v>
      </c>
    </row>
    <row r="522" spans="1:1" x14ac:dyDescent="0.25">
      <c r="A522" t="s">
        <v>586</v>
      </c>
    </row>
    <row r="523" spans="1:1" x14ac:dyDescent="0.25">
      <c r="A523" t="s">
        <v>587</v>
      </c>
    </row>
    <row r="524" spans="1:1" x14ac:dyDescent="0.25">
      <c r="A524" t="s">
        <v>588</v>
      </c>
    </row>
    <row r="525" spans="1:1" x14ac:dyDescent="0.25">
      <c r="A525" t="s">
        <v>589</v>
      </c>
    </row>
    <row r="526" spans="1:1" x14ac:dyDescent="0.25">
      <c r="A526" t="s">
        <v>590</v>
      </c>
    </row>
    <row r="527" spans="1:1" x14ac:dyDescent="0.25">
      <c r="A527" t="s">
        <v>591</v>
      </c>
    </row>
    <row r="528" spans="1:1" x14ac:dyDescent="0.25">
      <c r="A528" t="s">
        <v>592</v>
      </c>
    </row>
    <row r="529" spans="1:1" x14ac:dyDescent="0.25">
      <c r="A529" t="s">
        <v>593</v>
      </c>
    </row>
    <row r="530" spans="1:1" x14ac:dyDescent="0.25">
      <c r="A530" t="s">
        <v>594</v>
      </c>
    </row>
    <row r="531" spans="1:1" x14ac:dyDescent="0.25">
      <c r="A531" t="s">
        <v>595</v>
      </c>
    </row>
    <row r="532" spans="1:1" x14ac:dyDescent="0.25">
      <c r="A532" t="s">
        <v>596</v>
      </c>
    </row>
    <row r="533" spans="1:1" x14ac:dyDescent="0.25">
      <c r="A533" t="s">
        <v>597</v>
      </c>
    </row>
    <row r="534" spans="1:1" x14ac:dyDescent="0.25">
      <c r="A534" t="s">
        <v>598</v>
      </c>
    </row>
    <row r="535" spans="1:1" x14ac:dyDescent="0.25">
      <c r="A535" t="s">
        <v>599</v>
      </c>
    </row>
    <row r="536" spans="1:1" x14ac:dyDescent="0.25">
      <c r="A536" t="s">
        <v>600</v>
      </c>
    </row>
    <row r="537" spans="1:1" x14ac:dyDescent="0.25">
      <c r="A537" t="s">
        <v>601</v>
      </c>
    </row>
    <row r="538" spans="1:1" x14ac:dyDescent="0.25">
      <c r="A538" t="s">
        <v>602</v>
      </c>
    </row>
    <row r="539" spans="1:1" x14ac:dyDescent="0.25">
      <c r="A539" t="s">
        <v>603</v>
      </c>
    </row>
    <row r="540" spans="1:1" x14ac:dyDescent="0.25">
      <c r="A540" t="s">
        <v>604</v>
      </c>
    </row>
    <row r="541" spans="1:1" x14ac:dyDescent="0.25">
      <c r="A541" t="s">
        <v>605</v>
      </c>
    </row>
    <row r="542" spans="1:1" x14ac:dyDescent="0.25">
      <c r="A542" t="s">
        <v>606</v>
      </c>
    </row>
    <row r="543" spans="1:1" x14ac:dyDescent="0.25">
      <c r="A543" t="s">
        <v>607</v>
      </c>
    </row>
    <row r="544" spans="1:1" x14ac:dyDescent="0.25">
      <c r="A544" t="s">
        <v>608</v>
      </c>
    </row>
    <row r="545" spans="1:1" x14ac:dyDescent="0.25">
      <c r="A545" t="s">
        <v>609</v>
      </c>
    </row>
    <row r="546" spans="1:1" x14ac:dyDescent="0.25">
      <c r="A546" t="s">
        <v>610</v>
      </c>
    </row>
    <row r="547" spans="1:1" x14ac:dyDescent="0.25">
      <c r="A547" t="s">
        <v>611</v>
      </c>
    </row>
    <row r="548" spans="1:1" x14ac:dyDescent="0.25">
      <c r="A548" t="s">
        <v>612</v>
      </c>
    </row>
    <row r="549" spans="1:1" x14ac:dyDescent="0.25">
      <c r="A549" t="s">
        <v>613</v>
      </c>
    </row>
    <row r="550" spans="1:1" x14ac:dyDescent="0.25">
      <c r="A550" t="s">
        <v>614</v>
      </c>
    </row>
    <row r="551" spans="1:1" x14ac:dyDescent="0.25">
      <c r="A551" t="s">
        <v>615</v>
      </c>
    </row>
    <row r="552" spans="1:1" x14ac:dyDescent="0.25">
      <c r="A552" t="s">
        <v>616</v>
      </c>
    </row>
    <row r="553" spans="1:1" x14ac:dyDescent="0.25">
      <c r="A553" t="s">
        <v>617</v>
      </c>
    </row>
    <row r="554" spans="1:1" x14ac:dyDescent="0.25">
      <c r="A554" t="s">
        <v>618</v>
      </c>
    </row>
    <row r="555" spans="1:1" x14ac:dyDescent="0.25">
      <c r="A555" t="s">
        <v>619</v>
      </c>
    </row>
    <row r="556" spans="1:1" x14ac:dyDescent="0.25">
      <c r="A556" t="s">
        <v>620</v>
      </c>
    </row>
    <row r="557" spans="1:1" x14ac:dyDescent="0.25">
      <c r="A557" t="s">
        <v>621</v>
      </c>
    </row>
    <row r="558" spans="1:1" x14ac:dyDescent="0.25">
      <c r="A558" t="s">
        <v>622</v>
      </c>
    </row>
    <row r="559" spans="1:1" x14ac:dyDescent="0.25">
      <c r="A559" t="s">
        <v>623</v>
      </c>
    </row>
    <row r="560" spans="1:1" x14ac:dyDescent="0.25">
      <c r="A560" t="s">
        <v>624</v>
      </c>
    </row>
    <row r="561" spans="1:1" x14ac:dyDescent="0.25">
      <c r="A561" t="s">
        <v>625</v>
      </c>
    </row>
    <row r="562" spans="1:1" x14ac:dyDescent="0.25">
      <c r="A562" t="s">
        <v>626</v>
      </c>
    </row>
    <row r="563" spans="1:1" x14ac:dyDescent="0.25">
      <c r="A563" t="s">
        <v>627</v>
      </c>
    </row>
    <row r="564" spans="1:1" x14ac:dyDescent="0.25">
      <c r="A564" t="s">
        <v>628</v>
      </c>
    </row>
    <row r="565" spans="1:1" x14ac:dyDescent="0.25">
      <c r="A565" t="s">
        <v>629</v>
      </c>
    </row>
    <row r="566" spans="1:1" x14ac:dyDescent="0.25">
      <c r="A566" t="s">
        <v>630</v>
      </c>
    </row>
    <row r="567" spans="1:1" x14ac:dyDescent="0.25">
      <c r="A567" t="s">
        <v>631</v>
      </c>
    </row>
    <row r="568" spans="1:1" x14ac:dyDescent="0.25">
      <c r="A568" t="s">
        <v>632</v>
      </c>
    </row>
    <row r="569" spans="1:1" x14ac:dyDescent="0.25">
      <c r="A569" t="s">
        <v>633</v>
      </c>
    </row>
    <row r="570" spans="1:1" x14ac:dyDescent="0.25">
      <c r="A570" t="s">
        <v>634</v>
      </c>
    </row>
    <row r="571" spans="1:1" x14ac:dyDescent="0.25">
      <c r="A571" t="s">
        <v>635</v>
      </c>
    </row>
    <row r="572" spans="1:1" x14ac:dyDescent="0.25">
      <c r="A572" t="s">
        <v>636</v>
      </c>
    </row>
    <row r="573" spans="1:1" x14ac:dyDescent="0.25">
      <c r="A573" t="s">
        <v>637</v>
      </c>
    </row>
    <row r="574" spans="1:1" x14ac:dyDescent="0.25">
      <c r="A574" t="s">
        <v>638</v>
      </c>
    </row>
    <row r="575" spans="1:1" x14ac:dyDescent="0.25">
      <c r="A575" t="s">
        <v>639</v>
      </c>
    </row>
    <row r="576" spans="1:1" x14ac:dyDescent="0.25">
      <c r="A576" t="s">
        <v>640</v>
      </c>
    </row>
    <row r="577" spans="1:1" x14ac:dyDescent="0.25">
      <c r="A577" t="s">
        <v>641</v>
      </c>
    </row>
    <row r="578" spans="1:1" x14ac:dyDescent="0.25">
      <c r="A578" t="s">
        <v>642</v>
      </c>
    </row>
    <row r="579" spans="1:1" x14ac:dyDescent="0.25">
      <c r="A579" t="s">
        <v>643</v>
      </c>
    </row>
    <row r="580" spans="1:1" x14ac:dyDescent="0.25">
      <c r="A580" t="s">
        <v>644</v>
      </c>
    </row>
    <row r="581" spans="1:1" x14ac:dyDescent="0.25">
      <c r="A581" t="s">
        <v>645</v>
      </c>
    </row>
    <row r="582" spans="1:1" x14ac:dyDescent="0.25">
      <c r="A582" t="s">
        <v>646</v>
      </c>
    </row>
    <row r="583" spans="1:1" x14ac:dyDescent="0.25">
      <c r="A583" t="s">
        <v>647</v>
      </c>
    </row>
    <row r="584" spans="1:1" x14ac:dyDescent="0.25">
      <c r="A584" t="s">
        <v>648</v>
      </c>
    </row>
    <row r="585" spans="1:1" x14ac:dyDescent="0.25">
      <c r="A585" t="s">
        <v>649</v>
      </c>
    </row>
    <row r="586" spans="1:1" x14ac:dyDescent="0.25">
      <c r="A586" t="s">
        <v>650</v>
      </c>
    </row>
    <row r="587" spans="1:1" x14ac:dyDescent="0.25">
      <c r="A587" t="s">
        <v>651</v>
      </c>
    </row>
    <row r="588" spans="1:1" x14ac:dyDescent="0.25">
      <c r="A588" t="s">
        <v>652</v>
      </c>
    </row>
    <row r="589" spans="1:1" x14ac:dyDescent="0.25">
      <c r="A589" t="s">
        <v>653</v>
      </c>
    </row>
    <row r="590" spans="1:1" x14ac:dyDescent="0.25">
      <c r="A590" t="s">
        <v>654</v>
      </c>
    </row>
    <row r="591" spans="1:1" x14ac:dyDescent="0.25">
      <c r="A591" t="s">
        <v>655</v>
      </c>
    </row>
    <row r="592" spans="1:1" x14ac:dyDescent="0.25">
      <c r="A592" t="s">
        <v>656</v>
      </c>
    </row>
    <row r="593" spans="1:1" x14ac:dyDescent="0.25">
      <c r="A593" t="s">
        <v>657</v>
      </c>
    </row>
    <row r="594" spans="1:1" x14ac:dyDescent="0.25">
      <c r="A594" t="s">
        <v>658</v>
      </c>
    </row>
    <row r="595" spans="1:1" x14ac:dyDescent="0.25">
      <c r="A595" t="s">
        <v>659</v>
      </c>
    </row>
    <row r="596" spans="1:1" x14ac:dyDescent="0.25">
      <c r="A596" t="s">
        <v>660</v>
      </c>
    </row>
    <row r="597" spans="1:1" x14ac:dyDescent="0.25">
      <c r="A597" t="s">
        <v>661</v>
      </c>
    </row>
    <row r="598" spans="1:1" x14ac:dyDescent="0.25">
      <c r="A598" t="s">
        <v>662</v>
      </c>
    </row>
    <row r="599" spans="1:1" x14ac:dyDescent="0.25">
      <c r="A599" t="s">
        <v>663</v>
      </c>
    </row>
    <row r="600" spans="1:1" x14ac:dyDescent="0.25">
      <c r="A600" t="s">
        <v>664</v>
      </c>
    </row>
    <row r="601" spans="1:1" x14ac:dyDescent="0.25">
      <c r="A601" t="s">
        <v>665</v>
      </c>
    </row>
    <row r="602" spans="1:1" x14ac:dyDescent="0.25">
      <c r="A602" t="s">
        <v>666</v>
      </c>
    </row>
    <row r="603" spans="1:1" x14ac:dyDescent="0.25">
      <c r="A603" t="s">
        <v>667</v>
      </c>
    </row>
    <row r="604" spans="1:1" x14ac:dyDescent="0.25">
      <c r="A604" t="s">
        <v>668</v>
      </c>
    </row>
    <row r="605" spans="1:1" x14ac:dyDescent="0.25">
      <c r="A605" t="s">
        <v>669</v>
      </c>
    </row>
    <row r="606" spans="1:1" x14ac:dyDescent="0.25">
      <c r="A606" t="s">
        <v>670</v>
      </c>
    </row>
    <row r="607" spans="1:1" x14ac:dyDescent="0.25">
      <c r="A607" t="s">
        <v>671</v>
      </c>
    </row>
    <row r="608" spans="1:1" x14ac:dyDescent="0.25">
      <c r="A608" t="s">
        <v>672</v>
      </c>
    </row>
    <row r="609" spans="1:1" x14ac:dyDescent="0.25">
      <c r="A609" t="s">
        <v>673</v>
      </c>
    </row>
    <row r="610" spans="1:1" x14ac:dyDescent="0.25">
      <c r="A610" t="s">
        <v>674</v>
      </c>
    </row>
    <row r="611" spans="1:1" x14ac:dyDescent="0.25">
      <c r="A611" t="s">
        <v>675</v>
      </c>
    </row>
    <row r="612" spans="1:1" x14ac:dyDescent="0.25">
      <c r="A612" t="s">
        <v>676</v>
      </c>
    </row>
    <row r="613" spans="1:1" x14ac:dyDescent="0.25">
      <c r="A613" t="s">
        <v>677</v>
      </c>
    </row>
    <row r="614" spans="1:1" x14ac:dyDescent="0.25">
      <c r="A614" t="s">
        <v>678</v>
      </c>
    </row>
    <row r="615" spans="1:1" x14ac:dyDescent="0.25">
      <c r="A615" t="s">
        <v>679</v>
      </c>
    </row>
    <row r="616" spans="1:1" x14ac:dyDescent="0.25">
      <c r="A616" t="s">
        <v>680</v>
      </c>
    </row>
    <row r="617" spans="1:1" x14ac:dyDescent="0.25">
      <c r="A617" t="s">
        <v>681</v>
      </c>
    </row>
    <row r="618" spans="1:1" x14ac:dyDescent="0.25">
      <c r="A618" t="s">
        <v>682</v>
      </c>
    </row>
    <row r="619" spans="1:1" x14ac:dyDescent="0.25">
      <c r="A619" t="s">
        <v>683</v>
      </c>
    </row>
    <row r="620" spans="1:1" x14ac:dyDescent="0.25">
      <c r="A620" t="s">
        <v>684</v>
      </c>
    </row>
    <row r="621" spans="1:1" x14ac:dyDescent="0.25">
      <c r="A621" t="s">
        <v>685</v>
      </c>
    </row>
    <row r="622" spans="1:1" x14ac:dyDescent="0.25">
      <c r="A622" t="s">
        <v>686</v>
      </c>
    </row>
    <row r="623" spans="1:1" x14ac:dyDescent="0.25">
      <c r="A623" t="s">
        <v>687</v>
      </c>
    </row>
    <row r="624" spans="1:1" x14ac:dyDescent="0.25">
      <c r="A624" t="s">
        <v>688</v>
      </c>
    </row>
    <row r="625" spans="1:1" x14ac:dyDescent="0.25">
      <c r="A625" t="s">
        <v>689</v>
      </c>
    </row>
    <row r="626" spans="1:1" x14ac:dyDescent="0.25">
      <c r="A626" t="s">
        <v>690</v>
      </c>
    </row>
    <row r="627" spans="1:1" x14ac:dyDescent="0.25">
      <c r="A627" t="s">
        <v>691</v>
      </c>
    </row>
    <row r="628" spans="1:1" x14ac:dyDescent="0.25">
      <c r="A628" t="s">
        <v>692</v>
      </c>
    </row>
    <row r="629" spans="1:1" x14ac:dyDescent="0.25">
      <c r="A629" t="s">
        <v>693</v>
      </c>
    </row>
    <row r="630" spans="1:1" x14ac:dyDescent="0.25">
      <c r="A630" t="s">
        <v>694</v>
      </c>
    </row>
    <row r="631" spans="1:1" x14ac:dyDescent="0.25">
      <c r="A631" t="s">
        <v>695</v>
      </c>
    </row>
    <row r="632" spans="1:1" x14ac:dyDescent="0.25">
      <c r="A632" t="s">
        <v>696</v>
      </c>
    </row>
    <row r="633" spans="1:1" x14ac:dyDescent="0.25">
      <c r="A633" t="s">
        <v>697</v>
      </c>
    </row>
    <row r="634" spans="1:1" x14ac:dyDescent="0.25">
      <c r="A634" t="s">
        <v>698</v>
      </c>
    </row>
    <row r="635" spans="1:1" x14ac:dyDescent="0.25">
      <c r="A635" t="s">
        <v>699</v>
      </c>
    </row>
    <row r="636" spans="1:1" x14ac:dyDescent="0.25">
      <c r="A636" t="s">
        <v>700</v>
      </c>
    </row>
    <row r="637" spans="1:1" x14ac:dyDescent="0.25">
      <c r="A637" t="s">
        <v>701</v>
      </c>
    </row>
    <row r="638" spans="1:1" x14ac:dyDescent="0.25">
      <c r="A638" t="s">
        <v>702</v>
      </c>
    </row>
    <row r="639" spans="1:1" x14ac:dyDescent="0.25">
      <c r="A639" t="s">
        <v>703</v>
      </c>
    </row>
    <row r="640" spans="1:1" x14ac:dyDescent="0.25">
      <c r="A640" t="s">
        <v>704</v>
      </c>
    </row>
    <row r="641" spans="1:1" x14ac:dyDescent="0.25">
      <c r="A641" t="s">
        <v>705</v>
      </c>
    </row>
    <row r="642" spans="1:1" x14ac:dyDescent="0.25">
      <c r="A642" t="s">
        <v>706</v>
      </c>
    </row>
    <row r="643" spans="1:1" x14ac:dyDescent="0.25">
      <c r="A643" t="s">
        <v>707</v>
      </c>
    </row>
    <row r="644" spans="1:1" x14ac:dyDescent="0.25">
      <c r="A644" t="s">
        <v>708</v>
      </c>
    </row>
    <row r="645" spans="1:1" x14ac:dyDescent="0.25">
      <c r="A645" t="s">
        <v>709</v>
      </c>
    </row>
    <row r="646" spans="1:1" x14ac:dyDescent="0.25">
      <c r="A646" t="s">
        <v>710</v>
      </c>
    </row>
    <row r="647" spans="1:1" x14ac:dyDescent="0.25">
      <c r="A647" t="s">
        <v>711</v>
      </c>
    </row>
    <row r="648" spans="1:1" x14ac:dyDescent="0.25">
      <c r="A648" t="s">
        <v>712</v>
      </c>
    </row>
    <row r="649" spans="1:1" x14ac:dyDescent="0.25">
      <c r="A649" t="s">
        <v>713</v>
      </c>
    </row>
    <row r="650" spans="1:1" x14ac:dyDescent="0.25">
      <c r="A650" t="s">
        <v>714</v>
      </c>
    </row>
    <row r="651" spans="1:1" x14ac:dyDescent="0.25">
      <c r="A651" t="s">
        <v>715</v>
      </c>
    </row>
    <row r="652" spans="1:1" x14ac:dyDescent="0.25">
      <c r="A652" t="s">
        <v>716</v>
      </c>
    </row>
    <row r="653" spans="1:1" x14ac:dyDescent="0.25">
      <c r="A653" t="s">
        <v>717</v>
      </c>
    </row>
    <row r="654" spans="1:1" x14ac:dyDescent="0.25">
      <c r="A654" t="s">
        <v>718</v>
      </c>
    </row>
    <row r="655" spans="1:1" x14ac:dyDescent="0.25">
      <c r="A655" t="s">
        <v>719</v>
      </c>
    </row>
    <row r="656" spans="1:1" x14ac:dyDescent="0.25">
      <c r="A656" t="s">
        <v>720</v>
      </c>
    </row>
    <row r="657" spans="1:1" x14ac:dyDescent="0.25">
      <c r="A657" t="s">
        <v>721</v>
      </c>
    </row>
    <row r="658" spans="1:1" x14ac:dyDescent="0.25">
      <c r="A658" t="s">
        <v>722</v>
      </c>
    </row>
    <row r="659" spans="1:1" x14ac:dyDescent="0.25">
      <c r="A659" t="s">
        <v>723</v>
      </c>
    </row>
    <row r="660" spans="1:1" x14ac:dyDescent="0.25">
      <c r="A660" t="s">
        <v>724</v>
      </c>
    </row>
    <row r="661" spans="1:1" x14ac:dyDescent="0.25">
      <c r="A661" t="s">
        <v>725</v>
      </c>
    </row>
    <row r="662" spans="1:1" x14ac:dyDescent="0.25">
      <c r="A662" t="s">
        <v>726</v>
      </c>
    </row>
    <row r="663" spans="1:1" x14ac:dyDescent="0.25">
      <c r="A663" t="s">
        <v>727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733</v>
      </c>
    </row>
    <row r="670" spans="1:1" x14ac:dyDescent="0.25">
      <c r="A670" t="s">
        <v>734</v>
      </c>
    </row>
    <row r="671" spans="1:1" x14ac:dyDescent="0.25">
      <c r="A671" t="s">
        <v>735</v>
      </c>
    </row>
    <row r="672" spans="1:1" x14ac:dyDescent="0.25">
      <c r="A672" t="s">
        <v>736</v>
      </c>
    </row>
    <row r="673" spans="1:1" x14ac:dyDescent="0.25">
      <c r="A673" t="s">
        <v>737</v>
      </c>
    </row>
    <row r="674" spans="1:1" x14ac:dyDescent="0.25">
      <c r="A674" t="s">
        <v>738</v>
      </c>
    </row>
    <row r="675" spans="1:1" x14ac:dyDescent="0.25">
      <c r="A675" t="s">
        <v>739</v>
      </c>
    </row>
    <row r="676" spans="1:1" x14ac:dyDescent="0.25">
      <c r="A676" t="s">
        <v>740</v>
      </c>
    </row>
    <row r="677" spans="1:1" x14ac:dyDescent="0.25">
      <c r="A677" t="s">
        <v>741</v>
      </c>
    </row>
    <row r="678" spans="1:1" x14ac:dyDescent="0.25">
      <c r="A678" t="s">
        <v>742</v>
      </c>
    </row>
    <row r="679" spans="1:1" x14ac:dyDescent="0.25">
      <c r="A679" t="s">
        <v>743</v>
      </c>
    </row>
    <row r="680" spans="1:1" x14ac:dyDescent="0.25">
      <c r="A680" t="s">
        <v>744</v>
      </c>
    </row>
    <row r="681" spans="1:1" x14ac:dyDescent="0.25">
      <c r="A681" t="s">
        <v>745</v>
      </c>
    </row>
    <row r="682" spans="1:1" x14ac:dyDescent="0.25">
      <c r="A682" t="s">
        <v>746</v>
      </c>
    </row>
    <row r="683" spans="1:1" x14ac:dyDescent="0.25">
      <c r="A683" t="s">
        <v>747</v>
      </c>
    </row>
    <row r="684" spans="1:1" x14ac:dyDescent="0.25">
      <c r="A684" t="s">
        <v>748</v>
      </c>
    </row>
    <row r="685" spans="1:1" x14ac:dyDescent="0.25">
      <c r="A685" t="s">
        <v>749</v>
      </c>
    </row>
    <row r="686" spans="1:1" x14ac:dyDescent="0.25">
      <c r="A686" t="s">
        <v>750</v>
      </c>
    </row>
    <row r="687" spans="1:1" x14ac:dyDescent="0.25">
      <c r="A687" t="s">
        <v>751</v>
      </c>
    </row>
    <row r="688" spans="1:1" x14ac:dyDescent="0.25">
      <c r="A688" t="s">
        <v>752</v>
      </c>
    </row>
    <row r="689" spans="1:1" x14ac:dyDescent="0.25">
      <c r="A689" t="s">
        <v>753</v>
      </c>
    </row>
    <row r="690" spans="1:1" x14ac:dyDescent="0.25">
      <c r="A690" t="s">
        <v>754</v>
      </c>
    </row>
    <row r="691" spans="1:1" x14ac:dyDescent="0.25">
      <c r="A691" t="s">
        <v>755</v>
      </c>
    </row>
    <row r="692" spans="1:1" x14ac:dyDescent="0.25">
      <c r="A692" t="s">
        <v>756</v>
      </c>
    </row>
    <row r="693" spans="1:1" x14ac:dyDescent="0.25">
      <c r="A693" t="s">
        <v>757</v>
      </c>
    </row>
    <row r="694" spans="1:1" x14ac:dyDescent="0.25">
      <c r="A694" t="s">
        <v>758</v>
      </c>
    </row>
    <row r="695" spans="1:1" x14ac:dyDescent="0.25">
      <c r="A695" t="s">
        <v>759</v>
      </c>
    </row>
    <row r="696" spans="1:1" x14ac:dyDescent="0.25">
      <c r="A696" t="s">
        <v>760</v>
      </c>
    </row>
    <row r="697" spans="1:1" x14ac:dyDescent="0.25">
      <c r="A697" t="s">
        <v>761</v>
      </c>
    </row>
    <row r="698" spans="1:1" x14ac:dyDescent="0.25">
      <c r="A698" t="s">
        <v>762</v>
      </c>
    </row>
    <row r="699" spans="1:1" x14ac:dyDescent="0.25">
      <c r="A699" t="s">
        <v>763</v>
      </c>
    </row>
    <row r="700" spans="1:1" x14ac:dyDescent="0.25">
      <c r="A700" t="s">
        <v>764</v>
      </c>
    </row>
    <row r="701" spans="1:1" x14ac:dyDescent="0.25">
      <c r="A701" t="s">
        <v>765</v>
      </c>
    </row>
    <row r="702" spans="1:1" x14ac:dyDescent="0.25">
      <c r="A702" t="s">
        <v>766</v>
      </c>
    </row>
    <row r="703" spans="1:1" x14ac:dyDescent="0.25">
      <c r="A703" t="s">
        <v>767</v>
      </c>
    </row>
    <row r="704" spans="1:1" x14ac:dyDescent="0.25">
      <c r="A704" t="s">
        <v>768</v>
      </c>
    </row>
    <row r="705" spans="1:1" x14ac:dyDescent="0.25">
      <c r="A705" t="s">
        <v>769</v>
      </c>
    </row>
    <row r="706" spans="1:1" x14ac:dyDescent="0.25">
      <c r="A706" t="s">
        <v>770</v>
      </c>
    </row>
    <row r="707" spans="1:1" x14ac:dyDescent="0.25">
      <c r="A707" t="s">
        <v>771</v>
      </c>
    </row>
    <row r="708" spans="1:1" x14ac:dyDescent="0.25">
      <c r="A708" t="s">
        <v>772</v>
      </c>
    </row>
    <row r="709" spans="1:1" x14ac:dyDescent="0.25">
      <c r="A709" t="s">
        <v>773</v>
      </c>
    </row>
    <row r="710" spans="1:1" x14ac:dyDescent="0.25">
      <c r="A710" t="s">
        <v>774</v>
      </c>
    </row>
    <row r="711" spans="1:1" x14ac:dyDescent="0.25">
      <c r="A711" t="s">
        <v>775</v>
      </c>
    </row>
    <row r="712" spans="1:1" x14ac:dyDescent="0.25">
      <c r="A712" t="s">
        <v>776</v>
      </c>
    </row>
    <row r="713" spans="1:1" x14ac:dyDescent="0.25">
      <c r="A713" t="s">
        <v>777</v>
      </c>
    </row>
    <row r="714" spans="1:1" x14ac:dyDescent="0.25">
      <c r="A714" t="s">
        <v>778</v>
      </c>
    </row>
    <row r="715" spans="1:1" x14ac:dyDescent="0.25">
      <c r="A715" t="s">
        <v>779</v>
      </c>
    </row>
    <row r="716" spans="1:1" x14ac:dyDescent="0.25">
      <c r="A716" t="s">
        <v>780</v>
      </c>
    </row>
    <row r="717" spans="1:1" x14ac:dyDescent="0.25">
      <c r="A717" t="s">
        <v>781</v>
      </c>
    </row>
    <row r="718" spans="1:1" x14ac:dyDescent="0.25">
      <c r="A718" t="s">
        <v>782</v>
      </c>
    </row>
    <row r="719" spans="1:1" x14ac:dyDescent="0.25">
      <c r="A719" t="s">
        <v>783</v>
      </c>
    </row>
    <row r="720" spans="1:1" x14ac:dyDescent="0.25">
      <c r="A720" t="s">
        <v>784</v>
      </c>
    </row>
    <row r="721" spans="1:1" x14ac:dyDescent="0.25">
      <c r="A721" t="s">
        <v>785</v>
      </c>
    </row>
    <row r="722" spans="1:1" x14ac:dyDescent="0.25">
      <c r="A722" t="s">
        <v>786</v>
      </c>
    </row>
    <row r="723" spans="1:1" x14ac:dyDescent="0.25">
      <c r="A723" t="s">
        <v>787</v>
      </c>
    </row>
    <row r="724" spans="1:1" x14ac:dyDescent="0.25">
      <c r="A724" t="s">
        <v>788</v>
      </c>
    </row>
    <row r="725" spans="1:1" x14ac:dyDescent="0.25">
      <c r="A725" t="s">
        <v>789</v>
      </c>
    </row>
    <row r="726" spans="1:1" x14ac:dyDescent="0.25">
      <c r="A726" t="s">
        <v>790</v>
      </c>
    </row>
    <row r="727" spans="1:1" x14ac:dyDescent="0.25">
      <c r="A727" t="s">
        <v>791</v>
      </c>
    </row>
    <row r="728" spans="1:1" x14ac:dyDescent="0.25">
      <c r="A728" t="s">
        <v>792</v>
      </c>
    </row>
    <row r="729" spans="1:1" x14ac:dyDescent="0.25">
      <c r="A729" t="s">
        <v>793</v>
      </c>
    </row>
    <row r="730" spans="1:1" x14ac:dyDescent="0.25">
      <c r="A730" t="s">
        <v>794</v>
      </c>
    </row>
    <row r="731" spans="1:1" x14ac:dyDescent="0.25">
      <c r="A731" t="s">
        <v>795</v>
      </c>
    </row>
    <row r="732" spans="1:1" x14ac:dyDescent="0.25">
      <c r="A732" t="s">
        <v>796</v>
      </c>
    </row>
    <row r="733" spans="1:1" x14ac:dyDescent="0.25">
      <c r="A733" t="s">
        <v>797</v>
      </c>
    </row>
    <row r="734" spans="1:1" x14ac:dyDescent="0.25">
      <c r="A734" t="s">
        <v>798</v>
      </c>
    </row>
    <row r="735" spans="1:1" x14ac:dyDescent="0.25">
      <c r="A735" t="s">
        <v>799</v>
      </c>
    </row>
    <row r="736" spans="1:1" x14ac:dyDescent="0.25">
      <c r="A736" t="s">
        <v>800</v>
      </c>
    </row>
    <row r="737" spans="1:1" x14ac:dyDescent="0.25">
      <c r="A737" t="s">
        <v>801</v>
      </c>
    </row>
    <row r="738" spans="1:1" x14ac:dyDescent="0.25">
      <c r="A738" t="s">
        <v>802</v>
      </c>
    </row>
    <row r="739" spans="1:1" x14ac:dyDescent="0.25">
      <c r="A739" t="s">
        <v>803</v>
      </c>
    </row>
    <row r="740" spans="1:1" x14ac:dyDescent="0.25">
      <c r="A740" t="s">
        <v>804</v>
      </c>
    </row>
    <row r="741" spans="1:1" x14ac:dyDescent="0.25">
      <c r="A741" t="s">
        <v>805</v>
      </c>
    </row>
    <row r="742" spans="1:1" x14ac:dyDescent="0.25">
      <c r="A742" t="s">
        <v>806</v>
      </c>
    </row>
    <row r="743" spans="1:1" x14ac:dyDescent="0.25">
      <c r="A743" t="s">
        <v>807</v>
      </c>
    </row>
    <row r="744" spans="1:1" x14ac:dyDescent="0.25">
      <c r="A744" t="s">
        <v>808</v>
      </c>
    </row>
    <row r="745" spans="1:1" x14ac:dyDescent="0.25">
      <c r="A745" t="s">
        <v>809</v>
      </c>
    </row>
    <row r="746" spans="1:1" x14ac:dyDescent="0.25">
      <c r="A746" t="s">
        <v>810</v>
      </c>
    </row>
    <row r="747" spans="1:1" x14ac:dyDescent="0.25">
      <c r="A747" t="s">
        <v>811</v>
      </c>
    </row>
    <row r="748" spans="1:1" x14ac:dyDescent="0.25">
      <c r="A748" t="s">
        <v>812</v>
      </c>
    </row>
    <row r="749" spans="1:1" x14ac:dyDescent="0.25">
      <c r="A749" t="s">
        <v>813</v>
      </c>
    </row>
    <row r="750" spans="1:1" x14ac:dyDescent="0.25">
      <c r="A750" t="s">
        <v>814</v>
      </c>
    </row>
    <row r="751" spans="1:1" x14ac:dyDescent="0.25">
      <c r="A751" t="s">
        <v>815</v>
      </c>
    </row>
    <row r="752" spans="1:1" x14ac:dyDescent="0.25">
      <c r="A752" t="s">
        <v>816</v>
      </c>
    </row>
    <row r="753" spans="1:1" x14ac:dyDescent="0.25">
      <c r="A753" t="s">
        <v>817</v>
      </c>
    </row>
    <row r="754" spans="1:1" x14ac:dyDescent="0.25">
      <c r="A754" t="s">
        <v>818</v>
      </c>
    </row>
    <row r="755" spans="1:1" x14ac:dyDescent="0.25">
      <c r="A755" t="s">
        <v>819</v>
      </c>
    </row>
    <row r="756" spans="1:1" x14ac:dyDescent="0.25">
      <c r="A756" t="s">
        <v>820</v>
      </c>
    </row>
    <row r="757" spans="1:1" x14ac:dyDescent="0.25">
      <c r="A757" t="s">
        <v>821</v>
      </c>
    </row>
    <row r="758" spans="1:1" x14ac:dyDescent="0.25">
      <c r="A758" t="s">
        <v>822</v>
      </c>
    </row>
    <row r="759" spans="1:1" x14ac:dyDescent="0.25">
      <c r="A759" t="s">
        <v>823</v>
      </c>
    </row>
    <row r="760" spans="1:1" x14ac:dyDescent="0.25">
      <c r="A760" t="s">
        <v>824</v>
      </c>
    </row>
    <row r="761" spans="1:1" x14ac:dyDescent="0.25">
      <c r="A761" t="s">
        <v>825</v>
      </c>
    </row>
    <row r="762" spans="1:1" x14ac:dyDescent="0.25">
      <c r="A762" t="s">
        <v>826</v>
      </c>
    </row>
    <row r="763" spans="1:1" x14ac:dyDescent="0.25">
      <c r="A763" t="s">
        <v>827</v>
      </c>
    </row>
    <row r="764" spans="1:1" x14ac:dyDescent="0.25">
      <c r="A764" t="s">
        <v>828</v>
      </c>
    </row>
    <row r="765" spans="1:1" x14ac:dyDescent="0.25">
      <c r="A765" t="s">
        <v>829</v>
      </c>
    </row>
    <row r="766" spans="1:1" x14ac:dyDescent="0.25">
      <c r="A766" t="s">
        <v>830</v>
      </c>
    </row>
    <row r="767" spans="1:1" x14ac:dyDescent="0.25">
      <c r="A767" t="s">
        <v>831</v>
      </c>
    </row>
    <row r="768" spans="1:1" x14ac:dyDescent="0.25">
      <c r="A768" t="s">
        <v>832</v>
      </c>
    </row>
    <row r="769" spans="1:1" x14ac:dyDescent="0.25">
      <c r="A769" t="s">
        <v>833</v>
      </c>
    </row>
    <row r="770" spans="1:1" x14ac:dyDescent="0.25">
      <c r="A770" t="s">
        <v>834</v>
      </c>
    </row>
    <row r="771" spans="1:1" x14ac:dyDescent="0.25">
      <c r="A771" t="s">
        <v>835</v>
      </c>
    </row>
    <row r="772" spans="1:1" x14ac:dyDescent="0.25">
      <c r="A772" t="s">
        <v>836</v>
      </c>
    </row>
    <row r="773" spans="1:1" x14ac:dyDescent="0.25">
      <c r="A773" t="s">
        <v>837</v>
      </c>
    </row>
    <row r="774" spans="1:1" x14ac:dyDescent="0.25">
      <c r="A774" t="s">
        <v>838</v>
      </c>
    </row>
    <row r="775" spans="1:1" x14ac:dyDescent="0.25">
      <c r="A775" t="s">
        <v>839</v>
      </c>
    </row>
    <row r="776" spans="1:1" x14ac:dyDescent="0.25">
      <c r="A776" t="s">
        <v>840</v>
      </c>
    </row>
    <row r="777" spans="1:1" x14ac:dyDescent="0.25">
      <c r="A777" t="s">
        <v>841</v>
      </c>
    </row>
    <row r="778" spans="1:1" x14ac:dyDescent="0.25">
      <c r="A778" t="s">
        <v>842</v>
      </c>
    </row>
    <row r="779" spans="1:1" x14ac:dyDescent="0.25">
      <c r="A779" t="s">
        <v>843</v>
      </c>
    </row>
    <row r="780" spans="1:1" x14ac:dyDescent="0.25">
      <c r="A780" t="s">
        <v>844</v>
      </c>
    </row>
    <row r="781" spans="1:1" x14ac:dyDescent="0.25">
      <c r="A781" t="s">
        <v>845</v>
      </c>
    </row>
    <row r="782" spans="1:1" x14ac:dyDescent="0.25">
      <c r="A782" t="s">
        <v>846</v>
      </c>
    </row>
    <row r="783" spans="1:1" x14ac:dyDescent="0.25">
      <c r="A783" t="s">
        <v>847</v>
      </c>
    </row>
    <row r="784" spans="1:1" x14ac:dyDescent="0.25">
      <c r="A784" t="s">
        <v>848</v>
      </c>
    </row>
    <row r="785" spans="1:1" x14ac:dyDescent="0.25">
      <c r="A785" t="s">
        <v>849</v>
      </c>
    </row>
    <row r="786" spans="1:1" x14ac:dyDescent="0.25">
      <c r="A786" t="s">
        <v>850</v>
      </c>
    </row>
    <row r="787" spans="1:1" x14ac:dyDescent="0.25">
      <c r="A787" t="s">
        <v>851</v>
      </c>
    </row>
    <row r="788" spans="1:1" x14ac:dyDescent="0.25">
      <c r="A788" t="s">
        <v>852</v>
      </c>
    </row>
    <row r="789" spans="1:1" x14ac:dyDescent="0.25">
      <c r="A789" t="s">
        <v>853</v>
      </c>
    </row>
    <row r="790" spans="1:1" x14ac:dyDescent="0.25">
      <c r="A790" t="s">
        <v>854</v>
      </c>
    </row>
    <row r="791" spans="1:1" x14ac:dyDescent="0.25">
      <c r="A791" t="s">
        <v>855</v>
      </c>
    </row>
    <row r="792" spans="1:1" x14ac:dyDescent="0.25">
      <c r="A792" t="s">
        <v>856</v>
      </c>
    </row>
    <row r="793" spans="1:1" x14ac:dyDescent="0.25">
      <c r="A793" t="s">
        <v>857</v>
      </c>
    </row>
    <row r="794" spans="1:1" x14ac:dyDescent="0.25">
      <c r="A794" t="s">
        <v>858</v>
      </c>
    </row>
    <row r="795" spans="1:1" x14ac:dyDescent="0.25">
      <c r="A795" t="s">
        <v>859</v>
      </c>
    </row>
    <row r="796" spans="1:1" x14ac:dyDescent="0.25">
      <c r="A796" t="s">
        <v>860</v>
      </c>
    </row>
    <row r="797" spans="1:1" x14ac:dyDescent="0.25">
      <c r="A797" t="s">
        <v>861</v>
      </c>
    </row>
    <row r="798" spans="1:1" x14ac:dyDescent="0.25">
      <c r="A798" t="s">
        <v>862</v>
      </c>
    </row>
    <row r="799" spans="1:1" x14ac:dyDescent="0.25">
      <c r="A799" t="s">
        <v>863</v>
      </c>
    </row>
    <row r="800" spans="1:1" x14ac:dyDescent="0.25">
      <c r="A800" t="s">
        <v>864</v>
      </c>
    </row>
    <row r="801" spans="1:1" x14ac:dyDescent="0.25">
      <c r="A801" t="s">
        <v>865</v>
      </c>
    </row>
    <row r="802" spans="1:1" x14ac:dyDescent="0.25">
      <c r="A802" t="s">
        <v>866</v>
      </c>
    </row>
    <row r="803" spans="1:1" x14ac:dyDescent="0.25">
      <c r="A803" t="s">
        <v>867</v>
      </c>
    </row>
    <row r="804" spans="1:1" x14ac:dyDescent="0.25">
      <c r="A804" t="s">
        <v>868</v>
      </c>
    </row>
    <row r="805" spans="1:1" x14ac:dyDescent="0.25">
      <c r="A805" t="s">
        <v>869</v>
      </c>
    </row>
    <row r="806" spans="1:1" x14ac:dyDescent="0.25">
      <c r="A806" t="s">
        <v>870</v>
      </c>
    </row>
    <row r="807" spans="1:1" x14ac:dyDescent="0.25">
      <c r="A807" t="s">
        <v>871</v>
      </c>
    </row>
    <row r="808" spans="1:1" x14ac:dyDescent="0.25">
      <c r="A808" t="s">
        <v>872</v>
      </c>
    </row>
    <row r="809" spans="1:1" x14ac:dyDescent="0.25">
      <c r="A809" t="s">
        <v>873</v>
      </c>
    </row>
    <row r="810" spans="1:1" x14ac:dyDescent="0.25">
      <c r="A810" t="s">
        <v>874</v>
      </c>
    </row>
    <row r="811" spans="1:1" x14ac:dyDescent="0.25">
      <c r="A811" t="s">
        <v>875</v>
      </c>
    </row>
    <row r="812" spans="1:1" x14ac:dyDescent="0.25">
      <c r="A812" t="s">
        <v>876</v>
      </c>
    </row>
    <row r="813" spans="1:1" x14ac:dyDescent="0.25">
      <c r="A813" t="s">
        <v>877</v>
      </c>
    </row>
    <row r="814" spans="1:1" x14ac:dyDescent="0.25">
      <c r="A814" t="s">
        <v>878</v>
      </c>
    </row>
    <row r="815" spans="1:1" x14ac:dyDescent="0.25">
      <c r="A815" t="s">
        <v>879</v>
      </c>
    </row>
    <row r="816" spans="1:1" x14ac:dyDescent="0.25">
      <c r="A816" t="s">
        <v>880</v>
      </c>
    </row>
    <row r="817" spans="1:1" x14ac:dyDescent="0.25">
      <c r="A817" t="s">
        <v>881</v>
      </c>
    </row>
    <row r="818" spans="1:1" x14ac:dyDescent="0.25">
      <c r="A818" t="s">
        <v>882</v>
      </c>
    </row>
    <row r="819" spans="1:1" x14ac:dyDescent="0.25">
      <c r="A819" t="s">
        <v>883</v>
      </c>
    </row>
    <row r="820" spans="1:1" x14ac:dyDescent="0.25">
      <c r="A820" t="s">
        <v>884</v>
      </c>
    </row>
    <row r="821" spans="1:1" x14ac:dyDescent="0.25">
      <c r="A821" t="s">
        <v>885</v>
      </c>
    </row>
    <row r="822" spans="1:1" x14ac:dyDescent="0.25">
      <c r="A822" t="s">
        <v>886</v>
      </c>
    </row>
    <row r="823" spans="1:1" x14ac:dyDescent="0.25">
      <c r="A823" t="s">
        <v>887</v>
      </c>
    </row>
    <row r="824" spans="1:1" x14ac:dyDescent="0.25">
      <c r="A824" t="s">
        <v>888</v>
      </c>
    </row>
    <row r="825" spans="1:1" x14ac:dyDescent="0.25">
      <c r="A825" t="s">
        <v>889</v>
      </c>
    </row>
    <row r="826" spans="1:1" x14ac:dyDescent="0.25">
      <c r="A826" t="s">
        <v>890</v>
      </c>
    </row>
    <row r="827" spans="1:1" x14ac:dyDescent="0.25">
      <c r="A827" t="s">
        <v>891</v>
      </c>
    </row>
    <row r="828" spans="1:1" x14ac:dyDescent="0.25">
      <c r="A828" t="s">
        <v>892</v>
      </c>
    </row>
    <row r="829" spans="1:1" x14ac:dyDescent="0.25">
      <c r="A829" t="s">
        <v>893</v>
      </c>
    </row>
    <row r="830" spans="1:1" x14ac:dyDescent="0.25">
      <c r="A830" t="s">
        <v>894</v>
      </c>
    </row>
    <row r="831" spans="1:1" x14ac:dyDescent="0.25">
      <c r="A831" t="s">
        <v>895</v>
      </c>
    </row>
    <row r="832" spans="1:1" x14ac:dyDescent="0.25">
      <c r="A832" t="s">
        <v>896</v>
      </c>
    </row>
    <row r="833" spans="1:1" x14ac:dyDescent="0.25">
      <c r="A833" t="s">
        <v>897</v>
      </c>
    </row>
    <row r="834" spans="1:1" x14ac:dyDescent="0.25">
      <c r="A834" t="s">
        <v>898</v>
      </c>
    </row>
    <row r="835" spans="1:1" x14ac:dyDescent="0.25">
      <c r="A835" t="s">
        <v>899</v>
      </c>
    </row>
    <row r="836" spans="1:1" x14ac:dyDescent="0.25">
      <c r="A836" t="s">
        <v>900</v>
      </c>
    </row>
    <row r="837" spans="1:1" x14ac:dyDescent="0.25">
      <c r="A837" t="s">
        <v>901</v>
      </c>
    </row>
    <row r="838" spans="1:1" x14ac:dyDescent="0.25">
      <c r="A838" t="s">
        <v>902</v>
      </c>
    </row>
    <row r="839" spans="1:1" x14ac:dyDescent="0.25">
      <c r="A839" t="s">
        <v>903</v>
      </c>
    </row>
    <row r="840" spans="1:1" x14ac:dyDescent="0.25">
      <c r="A840" t="s">
        <v>904</v>
      </c>
    </row>
    <row r="841" spans="1:1" x14ac:dyDescent="0.25">
      <c r="A841" t="s">
        <v>905</v>
      </c>
    </row>
    <row r="842" spans="1:1" x14ac:dyDescent="0.25">
      <c r="A842" t="s">
        <v>906</v>
      </c>
    </row>
    <row r="843" spans="1:1" x14ac:dyDescent="0.25">
      <c r="A843" t="s">
        <v>907</v>
      </c>
    </row>
    <row r="844" spans="1:1" x14ac:dyDescent="0.25">
      <c r="A844" t="s">
        <v>908</v>
      </c>
    </row>
    <row r="845" spans="1:1" x14ac:dyDescent="0.25">
      <c r="A845" t="s">
        <v>909</v>
      </c>
    </row>
    <row r="846" spans="1:1" x14ac:dyDescent="0.25">
      <c r="A846" t="s">
        <v>910</v>
      </c>
    </row>
    <row r="847" spans="1:1" x14ac:dyDescent="0.25">
      <c r="A847" t="s">
        <v>911</v>
      </c>
    </row>
    <row r="848" spans="1:1" x14ac:dyDescent="0.25">
      <c r="A848" t="s">
        <v>912</v>
      </c>
    </row>
    <row r="849" spans="1:1" x14ac:dyDescent="0.25">
      <c r="A849" t="s">
        <v>913</v>
      </c>
    </row>
    <row r="850" spans="1:1" x14ac:dyDescent="0.25">
      <c r="A850" t="s">
        <v>914</v>
      </c>
    </row>
    <row r="851" spans="1:1" x14ac:dyDescent="0.25">
      <c r="A851" t="s">
        <v>915</v>
      </c>
    </row>
    <row r="852" spans="1:1" x14ac:dyDescent="0.25">
      <c r="A852" t="s">
        <v>916</v>
      </c>
    </row>
    <row r="853" spans="1:1" x14ac:dyDescent="0.25">
      <c r="A853" t="s">
        <v>917</v>
      </c>
    </row>
    <row r="854" spans="1:1" x14ac:dyDescent="0.25">
      <c r="A854" t="s">
        <v>918</v>
      </c>
    </row>
    <row r="855" spans="1:1" x14ac:dyDescent="0.25">
      <c r="A855" t="s">
        <v>919</v>
      </c>
    </row>
    <row r="856" spans="1:1" x14ac:dyDescent="0.25">
      <c r="A856" t="s">
        <v>920</v>
      </c>
    </row>
    <row r="857" spans="1:1" x14ac:dyDescent="0.25">
      <c r="A857" t="s">
        <v>921</v>
      </c>
    </row>
    <row r="858" spans="1:1" x14ac:dyDescent="0.25">
      <c r="A858" t="s">
        <v>922</v>
      </c>
    </row>
    <row r="859" spans="1:1" x14ac:dyDescent="0.25">
      <c r="A859" t="s">
        <v>923</v>
      </c>
    </row>
    <row r="860" spans="1:1" x14ac:dyDescent="0.25">
      <c r="A860" t="s">
        <v>924</v>
      </c>
    </row>
    <row r="861" spans="1:1" x14ac:dyDescent="0.25">
      <c r="A861" t="s">
        <v>925</v>
      </c>
    </row>
    <row r="862" spans="1:1" x14ac:dyDescent="0.25">
      <c r="A862" t="s">
        <v>926</v>
      </c>
    </row>
    <row r="863" spans="1:1" x14ac:dyDescent="0.25">
      <c r="A863" t="s">
        <v>927</v>
      </c>
    </row>
    <row r="864" spans="1:1" x14ac:dyDescent="0.25">
      <c r="A864" t="s">
        <v>928</v>
      </c>
    </row>
    <row r="865" spans="1:1" x14ac:dyDescent="0.25">
      <c r="A865" t="s">
        <v>929</v>
      </c>
    </row>
    <row r="866" spans="1:1" x14ac:dyDescent="0.25">
      <c r="A866" t="s">
        <v>930</v>
      </c>
    </row>
    <row r="867" spans="1:1" x14ac:dyDescent="0.25">
      <c r="A867" t="s">
        <v>931</v>
      </c>
    </row>
    <row r="868" spans="1:1" x14ac:dyDescent="0.25">
      <c r="A868" t="s">
        <v>932</v>
      </c>
    </row>
    <row r="869" spans="1:1" x14ac:dyDescent="0.25">
      <c r="A869" t="s">
        <v>933</v>
      </c>
    </row>
    <row r="870" spans="1:1" x14ac:dyDescent="0.25">
      <c r="A870" t="s">
        <v>934</v>
      </c>
    </row>
    <row r="871" spans="1:1" x14ac:dyDescent="0.25">
      <c r="A871" t="s">
        <v>935</v>
      </c>
    </row>
    <row r="872" spans="1:1" x14ac:dyDescent="0.25">
      <c r="A872" t="s">
        <v>936</v>
      </c>
    </row>
    <row r="873" spans="1:1" x14ac:dyDescent="0.25">
      <c r="A873" t="s">
        <v>937</v>
      </c>
    </row>
    <row r="874" spans="1:1" x14ac:dyDescent="0.25">
      <c r="A874" t="s">
        <v>938</v>
      </c>
    </row>
    <row r="875" spans="1:1" x14ac:dyDescent="0.25">
      <c r="A875" t="s">
        <v>939</v>
      </c>
    </row>
    <row r="876" spans="1:1" x14ac:dyDescent="0.25">
      <c r="A876" t="s">
        <v>940</v>
      </c>
    </row>
    <row r="877" spans="1:1" x14ac:dyDescent="0.25">
      <c r="A877" t="s">
        <v>941</v>
      </c>
    </row>
    <row r="878" spans="1:1" x14ac:dyDescent="0.25">
      <c r="A878" t="s">
        <v>942</v>
      </c>
    </row>
    <row r="879" spans="1:1" x14ac:dyDescent="0.25">
      <c r="A879" t="s">
        <v>943</v>
      </c>
    </row>
    <row r="880" spans="1:1" x14ac:dyDescent="0.25">
      <c r="A880" t="s">
        <v>944</v>
      </c>
    </row>
    <row r="881" spans="1:1" x14ac:dyDescent="0.25">
      <c r="A881" t="s">
        <v>945</v>
      </c>
    </row>
    <row r="882" spans="1:1" x14ac:dyDescent="0.25">
      <c r="A882" t="s">
        <v>946</v>
      </c>
    </row>
    <row r="883" spans="1:1" x14ac:dyDescent="0.25">
      <c r="A883" t="s">
        <v>947</v>
      </c>
    </row>
    <row r="884" spans="1:1" x14ac:dyDescent="0.25">
      <c r="A884" t="s">
        <v>948</v>
      </c>
    </row>
    <row r="885" spans="1:1" x14ac:dyDescent="0.25">
      <c r="A885" t="s">
        <v>949</v>
      </c>
    </row>
    <row r="886" spans="1:1" x14ac:dyDescent="0.25">
      <c r="A886" t="s">
        <v>950</v>
      </c>
    </row>
    <row r="887" spans="1:1" x14ac:dyDescent="0.25">
      <c r="A887" t="s">
        <v>951</v>
      </c>
    </row>
    <row r="888" spans="1:1" x14ac:dyDescent="0.25">
      <c r="A888" t="s">
        <v>952</v>
      </c>
    </row>
    <row r="889" spans="1:1" x14ac:dyDescent="0.25">
      <c r="A889" t="s">
        <v>953</v>
      </c>
    </row>
    <row r="890" spans="1:1" x14ac:dyDescent="0.25">
      <c r="A890" t="s">
        <v>954</v>
      </c>
    </row>
    <row r="891" spans="1:1" x14ac:dyDescent="0.25">
      <c r="A891" t="s">
        <v>955</v>
      </c>
    </row>
    <row r="892" spans="1:1" x14ac:dyDescent="0.25">
      <c r="A892" t="s">
        <v>956</v>
      </c>
    </row>
    <row r="893" spans="1:1" x14ac:dyDescent="0.25">
      <c r="A893" t="s">
        <v>957</v>
      </c>
    </row>
    <row r="894" spans="1:1" x14ac:dyDescent="0.25">
      <c r="A894" t="s">
        <v>958</v>
      </c>
    </row>
    <row r="895" spans="1:1" x14ac:dyDescent="0.25">
      <c r="A895" t="s">
        <v>959</v>
      </c>
    </row>
    <row r="896" spans="1:1" x14ac:dyDescent="0.25">
      <c r="A896" t="s">
        <v>960</v>
      </c>
    </row>
    <row r="897" spans="1:1" x14ac:dyDescent="0.25">
      <c r="A897" t="s">
        <v>961</v>
      </c>
    </row>
    <row r="898" spans="1:1" x14ac:dyDescent="0.25">
      <c r="A898" t="s">
        <v>962</v>
      </c>
    </row>
    <row r="899" spans="1:1" x14ac:dyDescent="0.25">
      <c r="A899" t="s">
        <v>963</v>
      </c>
    </row>
    <row r="900" spans="1:1" x14ac:dyDescent="0.25">
      <c r="A900" t="s">
        <v>964</v>
      </c>
    </row>
    <row r="901" spans="1:1" x14ac:dyDescent="0.25">
      <c r="A901" t="s">
        <v>965</v>
      </c>
    </row>
    <row r="902" spans="1:1" x14ac:dyDescent="0.25">
      <c r="A902" t="s">
        <v>966</v>
      </c>
    </row>
    <row r="903" spans="1:1" x14ac:dyDescent="0.25">
      <c r="A903" t="s">
        <v>967</v>
      </c>
    </row>
    <row r="904" spans="1:1" x14ac:dyDescent="0.25">
      <c r="A904" t="s">
        <v>968</v>
      </c>
    </row>
    <row r="905" spans="1:1" x14ac:dyDescent="0.25">
      <c r="A905" t="s">
        <v>969</v>
      </c>
    </row>
    <row r="906" spans="1:1" x14ac:dyDescent="0.25">
      <c r="A906" t="s">
        <v>970</v>
      </c>
    </row>
    <row r="907" spans="1:1" x14ac:dyDescent="0.25">
      <c r="A907" t="s">
        <v>971</v>
      </c>
    </row>
    <row r="908" spans="1:1" x14ac:dyDescent="0.25">
      <c r="A908" t="s">
        <v>972</v>
      </c>
    </row>
    <row r="909" spans="1:1" x14ac:dyDescent="0.25">
      <c r="A909" t="s">
        <v>973</v>
      </c>
    </row>
    <row r="910" spans="1:1" x14ac:dyDescent="0.25">
      <c r="A910" t="s">
        <v>974</v>
      </c>
    </row>
    <row r="911" spans="1:1" x14ac:dyDescent="0.25">
      <c r="A911" t="s">
        <v>975</v>
      </c>
    </row>
    <row r="912" spans="1:1" x14ac:dyDescent="0.25">
      <c r="A912" t="s">
        <v>976</v>
      </c>
    </row>
    <row r="913" spans="1:1" x14ac:dyDescent="0.25">
      <c r="A913" t="s">
        <v>977</v>
      </c>
    </row>
    <row r="914" spans="1:1" x14ac:dyDescent="0.25">
      <c r="A914" t="s">
        <v>978</v>
      </c>
    </row>
    <row r="915" spans="1:1" x14ac:dyDescent="0.25">
      <c r="A915" t="s">
        <v>979</v>
      </c>
    </row>
    <row r="916" spans="1:1" x14ac:dyDescent="0.25">
      <c r="A916" t="s">
        <v>980</v>
      </c>
    </row>
    <row r="917" spans="1:1" x14ac:dyDescent="0.25">
      <c r="A917" t="s">
        <v>981</v>
      </c>
    </row>
    <row r="918" spans="1:1" x14ac:dyDescent="0.25">
      <c r="A918" t="s">
        <v>982</v>
      </c>
    </row>
    <row r="919" spans="1:1" x14ac:dyDescent="0.25">
      <c r="A919" t="s">
        <v>983</v>
      </c>
    </row>
    <row r="920" spans="1:1" x14ac:dyDescent="0.25">
      <c r="A920" t="s">
        <v>984</v>
      </c>
    </row>
    <row r="921" spans="1:1" x14ac:dyDescent="0.25">
      <c r="A921" t="s">
        <v>985</v>
      </c>
    </row>
    <row r="922" spans="1:1" x14ac:dyDescent="0.25">
      <c r="A922" t="s">
        <v>986</v>
      </c>
    </row>
    <row r="923" spans="1:1" x14ac:dyDescent="0.25">
      <c r="A923" t="s">
        <v>987</v>
      </c>
    </row>
    <row r="924" spans="1:1" x14ac:dyDescent="0.25">
      <c r="A924" t="s">
        <v>988</v>
      </c>
    </row>
    <row r="925" spans="1:1" x14ac:dyDescent="0.25">
      <c r="A925" t="s">
        <v>989</v>
      </c>
    </row>
    <row r="926" spans="1:1" x14ac:dyDescent="0.25">
      <c r="A926" t="s">
        <v>990</v>
      </c>
    </row>
    <row r="927" spans="1:1" x14ac:dyDescent="0.25">
      <c r="A927" t="s">
        <v>991</v>
      </c>
    </row>
    <row r="928" spans="1:1" x14ac:dyDescent="0.25">
      <c r="A928" t="s">
        <v>992</v>
      </c>
    </row>
    <row r="929" spans="1:1" x14ac:dyDescent="0.25">
      <c r="A929" t="s">
        <v>993</v>
      </c>
    </row>
    <row r="930" spans="1:1" x14ac:dyDescent="0.25">
      <c r="A930" t="s">
        <v>994</v>
      </c>
    </row>
    <row r="931" spans="1:1" x14ac:dyDescent="0.25">
      <c r="A931" t="s">
        <v>995</v>
      </c>
    </row>
    <row r="932" spans="1:1" x14ac:dyDescent="0.25">
      <c r="A932" t="s">
        <v>996</v>
      </c>
    </row>
    <row r="933" spans="1:1" x14ac:dyDescent="0.25">
      <c r="A933" t="s">
        <v>997</v>
      </c>
    </row>
    <row r="934" spans="1:1" x14ac:dyDescent="0.25">
      <c r="A934" t="s">
        <v>998</v>
      </c>
    </row>
    <row r="935" spans="1:1" x14ac:dyDescent="0.25">
      <c r="A935" t="s">
        <v>999</v>
      </c>
    </row>
    <row r="936" spans="1:1" x14ac:dyDescent="0.25">
      <c r="A936" t="s">
        <v>1000</v>
      </c>
    </row>
    <row r="937" spans="1:1" x14ac:dyDescent="0.25">
      <c r="A937" t="s">
        <v>1001</v>
      </c>
    </row>
    <row r="938" spans="1:1" x14ac:dyDescent="0.25">
      <c r="A938" t="s">
        <v>1002</v>
      </c>
    </row>
    <row r="939" spans="1:1" x14ac:dyDescent="0.25">
      <c r="A939" t="s">
        <v>1003</v>
      </c>
    </row>
    <row r="940" spans="1:1" x14ac:dyDescent="0.25">
      <c r="A940" t="s">
        <v>1004</v>
      </c>
    </row>
    <row r="941" spans="1:1" x14ac:dyDescent="0.25">
      <c r="A941" t="s">
        <v>1005</v>
      </c>
    </row>
    <row r="942" spans="1:1" x14ac:dyDescent="0.25">
      <c r="A942" t="s">
        <v>1006</v>
      </c>
    </row>
    <row r="943" spans="1:1" x14ac:dyDescent="0.25">
      <c r="A943" t="s">
        <v>1007</v>
      </c>
    </row>
    <row r="944" spans="1:1" x14ac:dyDescent="0.25">
      <c r="A944" t="s">
        <v>1008</v>
      </c>
    </row>
    <row r="945" spans="1:1" x14ac:dyDescent="0.25">
      <c r="A945" t="s">
        <v>1009</v>
      </c>
    </row>
    <row r="946" spans="1:1" x14ac:dyDescent="0.25">
      <c r="A946" t="s">
        <v>1010</v>
      </c>
    </row>
    <row r="947" spans="1:1" x14ac:dyDescent="0.25">
      <c r="A947" t="s">
        <v>1011</v>
      </c>
    </row>
    <row r="948" spans="1:1" x14ac:dyDescent="0.25">
      <c r="A948" t="s">
        <v>1012</v>
      </c>
    </row>
    <row r="949" spans="1:1" x14ac:dyDescent="0.25">
      <c r="A949" t="s">
        <v>1013</v>
      </c>
    </row>
    <row r="950" spans="1:1" x14ac:dyDescent="0.25">
      <c r="A950" t="s">
        <v>1014</v>
      </c>
    </row>
    <row r="951" spans="1:1" x14ac:dyDescent="0.25">
      <c r="A951" t="s">
        <v>1015</v>
      </c>
    </row>
    <row r="952" spans="1:1" x14ac:dyDescent="0.25">
      <c r="A952" t="s">
        <v>1016</v>
      </c>
    </row>
    <row r="953" spans="1:1" x14ac:dyDescent="0.25">
      <c r="A953" t="s">
        <v>1017</v>
      </c>
    </row>
    <row r="954" spans="1:1" x14ac:dyDescent="0.25">
      <c r="A954" t="s">
        <v>1018</v>
      </c>
    </row>
    <row r="955" spans="1:1" x14ac:dyDescent="0.25">
      <c r="A955" t="s">
        <v>1019</v>
      </c>
    </row>
    <row r="956" spans="1:1" x14ac:dyDescent="0.25">
      <c r="A956" t="s">
        <v>1020</v>
      </c>
    </row>
    <row r="957" spans="1:1" x14ac:dyDescent="0.25">
      <c r="A957" t="s">
        <v>1021</v>
      </c>
    </row>
    <row r="958" spans="1:1" x14ac:dyDescent="0.25">
      <c r="A958" t="s">
        <v>1022</v>
      </c>
    </row>
    <row r="959" spans="1:1" x14ac:dyDescent="0.25">
      <c r="A959" t="s">
        <v>1023</v>
      </c>
    </row>
    <row r="960" spans="1:1" x14ac:dyDescent="0.25">
      <c r="A960" t="s">
        <v>1024</v>
      </c>
    </row>
    <row r="961" spans="1:1" x14ac:dyDescent="0.25">
      <c r="A961" t="s">
        <v>1025</v>
      </c>
    </row>
    <row r="962" spans="1:1" x14ac:dyDescent="0.25">
      <c r="A962" t="s">
        <v>1026</v>
      </c>
    </row>
    <row r="963" spans="1:1" x14ac:dyDescent="0.25">
      <c r="A963" t="s">
        <v>1027</v>
      </c>
    </row>
    <row r="964" spans="1:1" x14ac:dyDescent="0.25">
      <c r="A964" t="s">
        <v>1028</v>
      </c>
    </row>
    <row r="965" spans="1:1" x14ac:dyDescent="0.25">
      <c r="A965" t="s">
        <v>1029</v>
      </c>
    </row>
    <row r="966" spans="1:1" x14ac:dyDescent="0.25">
      <c r="A966" t="s">
        <v>1030</v>
      </c>
    </row>
    <row r="967" spans="1:1" x14ac:dyDescent="0.25">
      <c r="A967" t="s">
        <v>1031</v>
      </c>
    </row>
    <row r="968" spans="1:1" x14ac:dyDescent="0.25">
      <c r="A968" t="s">
        <v>1032</v>
      </c>
    </row>
    <row r="969" spans="1:1" x14ac:dyDescent="0.25">
      <c r="A969" t="s">
        <v>1033</v>
      </c>
    </row>
    <row r="970" spans="1:1" x14ac:dyDescent="0.25">
      <c r="A970" t="s">
        <v>1034</v>
      </c>
    </row>
    <row r="971" spans="1:1" x14ac:dyDescent="0.25">
      <c r="A971" t="s">
        <v>1035</v>
      </c>
    </row>
    <row r="972" spans="1:1" x14ac:dyDescent="0.25">
      <c r="A972" t="s">
        <v>1036</v>
      </c>
    </row>
    <row r="973" spans="1:1" x14ac:dyDescent="0.25">
      <c r="A973" t="s">
        <v>1037</v>
      </c>
    </row>
    <row r="974" spans="1:1" x14ac:dyDescent="0.25">
      <c r="A974" t="s">
        <v>1038</v>
      </c>
    </row>
    <row r="975" spans="1:1" x14ac:dyDescent="0.25">
      <c r="A975" t="s">
        <v>1039</v>
      </c>
    </row>
    <row r="976" spans="1:1" x14ac:dyDescent="0.25">
      <c r="A976" t="s">
        <v>1040</v>
      </c>
    </row>
    <row r="977" spans="1:1" x14ac:dyDescent="0.25">
      <c r="A977" t="s">
        <v>1041</v>
      </c>
    </row>
    <row r="978" spans="1:1" x14ac:dyDescent="0.25">
      <c r="A978" t="s">
        <v>1042</v>
      </c>
    </row>
    <row r="979" spans="1:1" x14ac:dyDescent="0.25">
      <c r="A979" t="s">
        <v>1043</v>
      </c>
    </row>
    <row r="980" spans="1:1" x14ac:dyDescent="0.25">
      <c r="A980" t="s">
        <v>1044</v>
      </c>
    </row>
    <row r="981" spans="1:1" x14ac:dyDescent="0.25">
      <c r="A981" t="s">
        <v>1045</v>
      </c>
    </row>
    <row r="982" spans="1:1" x14ac:dyDescent="0.25">
      <c r="A982" t="s">
        <v>1046</v>
      </c>
    </row>
    <row r="983" spans="1:1" x14ac:dyDescent="0.25">
      <c r="A983" t="s">
        <v>1047</v>
      </c>
    </row>
    <row r="984" spans="1:1" x14ac:dyDescent="0.25">
      <c r="A984" t="s">
        <v>1048</v>
      </c>
    </row>
    <row r="985" spans="1:1" x14ac:dyDescent="0.25">
      <c r="A985" t="s">
        <v>1049</v>
      </c>
    </row>
    <row r="986" spans="1:1" x14ac:dyDescent="0.25">
      <c r="A986" t="s">
        <v>1050</v>
      </c>
    </row>
    <row r="987" spans="1:1" x14ac:dyDescent="0.25">
      <c r="A987" t="s">
        <v>1051</v>
      </c>
    </row>
    <row r="988" spans="1:1" x14ac:dyDescent="0.25">
      <c r="A988" t="s">
        <v>1052</v>
      </c>
    </row>
    <row r="989" spans="1:1" x14ac:dyDescent="0.25">
      <c r="A989" t="s">
        <v>1053</v>
      </c>
    </row>
    <row r="990" spans="1:1" x14ac:dyDescent="0.25">
      <c r="A990" t="s">
        <v>1054</v>
      </c>
    </row>
    <row r="991" spans="1:1" x14ac:dyDescent="0.25">
      <c r="A991" t="s">
        <v>1055</v>
      </c>
    </row>
    <row r="992" spans="1:1" x14ac:dyDescent="0.25">
      <c r="A992" t="s">
        <v>1056</v>
      </c>
    </row>
    <row r="993" spans="1:1" x14ac:dyDescent="0.25">
      <c r="A993" t="s">
        <v>1057</v>
      </c>
    </row>
    <row r="994" spans="1:1" x14ac:dyDescent="0.25">
      <c r="A994" t="s">
        <v>1058</v>
      </c>
    </row>
    <row r="995" spans="1:1" x14ac:dyDescent="0.25">
      <c r="A995" t="s">
        <v>1059</v>
      </c>
    </row>
    <row r="996" spans="1:1" x14ac:dyDescent="0.25">
      <c r="A996" t="s">
        <v>1060</v>
      </c>
    </row>
    <row r="997" spans="1:1" x14ac:dyDescent="0.25">
      <c r="A997" t="s">
        <v>1061</v>
      </c>
    </row>
    <row r="998" spans="1:1" x14ac:dyDescent="0.25">
      <c r="A998" t="s">
        <v>1062</v>
      </c>
    </row>
    <row r="999" spans="1:1" x14ac:dyDescent="0.25">
      <c r="A999" t="s">
        <v>1063</v>
      </c>
    </row>
    <row r="1000" spans="1:1" x14ac:dyDescent="0.25">
      <c r="A1000" t="s">
        <v>1064</v>
      </c>
    </row>
    <row r="1001" spans="1:1" x14ac:dyDescent="0.25">
      <c r="A1001" t="s">
        <v>1065</v>
      </c>
    </row>
    <row r="1002" spans="1:1" x14ac:dyDescent="0.25">
      <c r="A1002" t="s">
        <v>1066</v>
      </c>
    </row>
    <row r="1003" spans="1:1" x14ac:dyDescent="0.25">
      <c r="A1003" t="s">
        <v>1067</v>
      </c>
    </row>
    <row r="1004" spans="1:1" x14ac:dyDescent="0.25">
      <c r="A1004" t="s">
        <v>1068</v>
      </c>
    </row>
    <row r="1005" spans="1:1" x14ac:dyDescent="0.25">
      <c r="A1005" t="s">
        <v>1069</v>
      </c>
    </row>
    <row r="1006" spans="1:1" x14ac:dyDescent="0.25">
      <c r="A1006" t="s">
        <v>1070</v>
      </c>
    </row>
    <row r="1007" spans="1:1" x14ac:dyDescent="0.25">
      <c r="A1007" t="s">
        <v>1071</v>
      </c>
    </row>
    <row r="1008" spans="1:1" x14ac:dyDescent="0.25">
      <c r="A1008" t="s">
        <v>1072</v>
      </c>
    </row>
    <row r="1009" spans="1:1" x14ac:dyDescent="0.25">
      <c r="A1009" t="s">
        <v>1073</v>
      </c>
    </row>
    <row r="1010" spans="1:1" x14ac:dyDescent="0.25">
      <c r="A1010" t="s">
        <v>1074</v>
      </c>
    </row>
    <row r="1011" spans="1:1" x14ac:dyDescent="0.25">
      <c r="A1011" t="s">
        <v>1075</v>
      </c>
    </row>
    <row r="1012" spans="1:1" x14ac:dyDescent="0.25">
      <c r="A1012" t="s">
        <v>1076</v>
      </c>
    </row>
    <row r="1013" spans="1:1" x14ac:dyDescent="0.25">
      <c r="A1013" t="s">
        <v>1077</v>
      </c>
    </row>
    <row r="1014" spans="1:1" x14ac:dyDescent="0.25">
      <c r="A1014" t="s">
        <v>1078</v>
      </c>
    </row>
    <row r="1015" spans="1:1" x14ac:dyDescent="0.25">
      <c r="A1015" t="s">
        <v>1079</v>
      </c>
    </row>
    <row r="1016" spans="1:1" x14ac:dyDescent="0.25">
      <c r="A1016" t="s">
        <v>1080</v>
      </c>
    </row>
    <row r="1017" spans="1:1" x14ac:dyDescent="0.25">
      <c r="A1017" t="s">
        <v>1081</v>
      </c>
    </row>
    <row r="1018" spans="1:1" x14ac:dyDescent="0.25">
      <c r="A1018" t="s">
        <v>1082</v>
      </c>
    </row>
    <row r="1019" spans="1:1" x14ac:dyDescent="0.25">
      <c r="A1019" t="s">
        <v>1083</v>
      </c>
    </row>
    <row r="1020" spans="1:1" x14ac:dyDescent="0.25">
      <c r="A1020" t="s">
        <v>1084</v>
      </c>
    </row>
    <row r="1021" spans="1:1" x14ac:dyDescent="0.25">
      <c r="A1021" t="s">
        <v>1085</v>
      </c>
    </row>
    <row r="1022" spans="1:1" x14ac:dyDescent="0.25">
      <c r="A1022" t="s">
        <v>1086</v>
      </c>
    </row>
    <row r="1023" spans="1:1" x14ac:dyDescent="0.25">
      <c r="A1023" t="s">
        <v>1087</v>
      </c>
    </row>
    <row r="1024" spans="1:1" x14ac:dyDescent="0.25">
      <c r="A1024" t="s">
        <v>1088</v>
      </c>
    </row>
    <row r="1025" spans="1:1" x14ac:dyDescent="0.25">
      <c r="A1025" t="s">
        <v>1089</v>
      </c>
    </row>
    <row r="1026" spans="1:1" x14ac:dyDescent="0.25">
      <c r="A1026" t="s">
        <v>1090</v>
      </c>
    </row>
    <row r="1027" spans="1:1" x14ac:dyDescent="0.25">
      <c r="A1027" t="s">
        <v>1091</v>
      </c>
    </row>
    <row r="1028" spans="1:1" x14ac:dyDescent="0.25">
      <c r="A1028" t="s">
        <v>1092</v>
      </c>
    </row>
    <row r="1029" spans="1:1" x14ac:dyDescent="0.25">
      <c r="A1029" t="s">
        <v>1093</v>
      </c>
    </row>
    <row r="1030" spans="1:1" x14ac:dyDescent="0.25">
      <c r="A1030" t="s">
        <v>1094</v>
      </c>
    </row>
    <row r="1031" spans="1:1" x14ac:dyDescent="0.25">
      <c r="A1031" t="s">
        <v>1095</v>
      </c>
    </row>
    <row r="1032" spans="1:1" x14ac:dyDescent="0.25">
      <c r="A1032" t="s">
        <v>1096</v>
      </c>
    </row>
    <row r="1033" spans="1:1" x14ac:dyDescent="0.25">
      <c r="A1033" t="s">
        <v>1097</v>
      </c>
    </row>
    <row r="1034" spans="1:1" x14ac:dyDescent="0.25">
      <c r="A1034" t="s">
        <v>1098</v>
      </c>
    </row>
    <row r="1035" spans="1:1" x14ac:dyDescent="0.25">
      <c r="A1035" t="s">
        <v>1099</v>
      </c>
    </row>
    <row r="1036" spans="1:1" x14ac:dyDescent="0.25">
      <c r="A1036" t="s">
        <v>1100</v>
      </c>
    </row>
    <row r="1037" spans="1:1" x14ac:dyDescent="0.25">
      <c r="A1037" t="s">
        <v>1101</v>
      </c>
    </row>
    <row r="1038" spans="1:1" x14ac:dyDescent="0.25">
      <c r="A1038" t="s">
        <v>1102</v>
      </c>
    </row>
    <row r="1039" spans="1:1" x14ac:dyDescent="0.25">
      <c r="A1039" t="s">
        <v>1103</v>
      </c>
    </row>
    <row r="1040" spans="1:1" x14ac:dyDescent="0.25">
      <c r="A1040" t="s">
        <v>1104</v>
      </c>
    </row>
    <row r="1041" spans="1:1" x14ac:dyDescent="0.25">
      <c r="A1041" t="s">
        <v>1105</v>
      </c>
    </row>
    <row r="1042" spans="1:1" x14ac:dyDescent="0.25">
      <c r="A1042" t="s">
        <v>1106</v>
      </c>
    </row>
    <row r="1043" spans="1:1" x14ac:dyDescent="0.25">
      <c r="A1043" t="s">
        <v>1107</v>
      </c>
    </row>
    <row r="1044" spans="1:1" x14ac:dyDescent="0.25">
      <c r="A1044" t="s">
        <v>1108</v>
      </c>
    </row>
    <row r="1045" spans="1:1" x14ac:dyDescent="0.25">
      <c r="A1045" t="s">
        <v>1109</v>
      </c>
    </row>
    <row r="1046" spans="1:1" x14ac:dyDescent="0.25">
      <c r="A1046" t="s">
        <v>1110</v>
      </c>
    </row>
    <row r="1047" spans="1:1" x14ac:dyDescent="0.25">
      <c r="A1047" t="s">
        <v>1111</v>
      </c>
    </row>
    <row r="1048" spans="1:1" x14ac:dyDescent="0.25">
      <c r="A1048" t="s">
        <v>1112</v>
      </c>
    </row>
    <row r="1049" spans="1:1" x14ac:dyDescent="0.25">
      <c r="A1049" t="s">
        <v>1113</v>
      </c>
    </row>
    <row r="1050" spans="1:1" x14ac:dyDescent="0.25">
      <c r="A1050" t="s">
        <v>1114</v>
      </c>
    </row>
    <row r="1051" spans="1:1" x14ac:dyDescent="0.25">
      <c r="A1051" t="s">
        <v>1115</v>
      </c>
    </row>
    <row r="1052" spans="1:1" x14ac:dyDescent="0.25">
      <c r="A1052" t="s">
        <v>1116</v>
      </c>
    </row>
    <row r="1053" spans="1:1" x14ac:dyDescent="0.25">
      <c r="A1053" t="s">
        <v>1117</v>
      </c>
    </row>
    <row r="1054" spans="1:1" x14ac:dyDescent="0.25">
      <c r="A1054" t="s">
        <v>1118</v>
      </c>
    </row>
    <row r="1055" spans="1:1" x14ac:dyDescent="0.25">
      <c r="A1055" t="s">
        <v>1119</v>
      </c>
    </row>
    <row r="1056" spans="1:1" x14ac:dyDescent="0.25">
      <c r="A1056" t="s">
        <v>1120</v>
      </c>
    </row>
    <row r="1057" spans="1:1" x14ac:dyDescent="0.25">
      <c r="A1057" t="s">
        <v>1121</v>
      </c>
    </row>
    <row r="1058" spans="1:1" x14ac:dyDescent="0.25">
      <c r="A1058" t="s">
        <v>1122</v>
      </c>
    </row>
    <row r="1059" spans="1:1" x14ac:dyDescent="0.25">
      <c r="A1059" t="s">
        <v>1123</v>
      </c>
    </row>
    <row r="1060" spans="1:1" x14ac:dyDescent="0.25">
      <c r="A1060" t="s">
        <v>1124</v>
      </c>
    </row>
    <row r="1061" spans="1:1" x14ac:dyDescent="0.25">
      <c r="A1061" t="s">
        <v>1125</v>
      </c>
    </row>
    <row r="1062" spans="1:1" x14ac:dyDescent="0.25">
      <c r="A1062" t="s">
        <v>1126</v>
      </c>
    </row>
    <row r="1063" spans="1:1" x14ac:dyDescent="0.25">
      <c r="A1063" t="s">
        <v>1127</v>
      </c>
    </row>
    <row r="1064" spans="1:1" x14ac:dyDescent="0.25">
      <c r="A1064" t="s">
        <v>1128</v>
      </c>
    </row>
    <row r="1065" spans="1:1" x14ac:dyDescent="0.25">
      <c r="A1065" t="s">
        <v>1129</v>
      </c>
    </row>
    <row r="1066" spans="1:1" x14ac:dyDescent="0.25">
      <c r="A1066" t="s">
        <v>1130</v>
      </c>
    </row>
    <row r="1067" spans="1:1" x14ac:dyDescent="0.25">
      <c r="A1067" t="s">
        <v>1131</v>
      </c>
    </row>
    <row r="1068" spans="1:1" x14ac:dyDescent="0.25">
      <c r="A1068" t="s">
        <v>1132</v>
      </c>
    </row>
    <row r="1069" spans="1:1" x14ac:dyDescent="0.25">
      <c r="A1069" t="s">
        <v>1133</v>
      </c>
    </row>
    <row r="1070" spans="1:1" x14ac:dyDescent="0.25">
      <c r="A1070" t="s">
        <v>1134</v>
      </c>
    </row>
    <row r="1071" spans="1:1" x14ac:dyDescent="0.25">
      <c r="A1071" t="s">
        <v>1135</v>
      </c>
    </row>
    <row r="1072" spans="1:1" x14ac:dyDescent="0.25">
      <c r="A1072" t="s">
        <v>1136</v>
      </c>
    </row>
    <row r="1073" spans="1:1" x14ac:dyDescent="0.25">
      <c r="A1073" t="s">
        <v>1137</v>
      </c>
    </row>
    <row r="1074" spans="1:1" x14ac:dyDescent="0.25">
      <c r="A1074" t="s">
        <v>1138</v>
      </c>
    </row>
    <row r="1075" spans="1:1" x14ac:dyDescent="0.25">
      <c r="A1075" t="s">
        <v>1139</v>
      </c>
    </row>
    <row r="1076" spans="1:1" x14ac:dyDescent="0.25">
      <c r="A1076" t="s">
        <v>1140</v>
      </c>
    </row>
    <row r="1077" spans="1:1" x14ac:dyDescent="0.25">
      <c r="A1077" t="s">
        <v>1141</v>
      </c>
    </row>
    <row r="1078" spans="1:1" x14ac:dyDescent="0.25">
      <c r="A1078" t="s">
        <v>1142</v>
      </c>
    </row>
    <row r="1079" spans="1:1" x14ac:dyDescent="0.25">
      <c r="A1079" t="s">
        <v>1143</v>
      </c>
    </row>
    <row r="1080" spans="1:1" x14ac:dyDescent="0.25">
      <c r="A1080" t="s">
        <v>1144</v>
      </c>
    </row>
    <row r="1081" spans="1:1" x14ac:dyDescent="0.25">
      <c r="A1081" t="s">
        <v>1145</v>
      </c>
    </row>
    <row r="1082" spans="1:1" x14ac:dyDescent="0.25">
      <c r="A1082" t="s">
        <v>1146</v>
      </c>
    </row>
    <row r="1083" spans="1:1" x14ac:dyDescent="0.25">
      <c r="A1083" t="s">
        <v>1147</v>
      </c>
    </row>
    <row r="1084" spans="1:1" x14ac:dyDescent="0.25">
      <c r="A1084" t="s">
        <v>1148</v>
      </c>
    </row>
    <row r="1085" spans="1:1" x14ac:dyDescent="0.25">
      <c r="A1085" t="s">
        <v>1149</v>
      </c>
    </row>
    <row r="1086" spans="1:1" x14ac:dyDescent="0.25">
      <c r="A1086" t="s">
        <v>1150</v>
      </c>
    </row>
    <row r="1087" spans="1:1" x14ac:dyDescent="0.25">
      <c r="A1087" t="s">
        <v>1151</v>
      </c>
    </row>
    <row r="1088" spans="1:1" x14ac:dyDescent="0.25">
      <c r="A1088" t="s">
        <v>1152</v>
      </c>
    </row>
    <row r="1089" spans="1:1" x14ac:dyDescent="0.25">
      <c r="A1089" t="s">
        <v>1153</v>
      </c>
    </row>
    <row r="1090" spans="1:1" x14ac:dyDescent="0.25">
      <c r="A1090" t="s">
        <v>1154</v>
      </c>
    </row>
    <row r="1091" spans="1:1" x14ac:dyDescent="0.25">
      <c r="A1091" t="s">
        <v>1155</v>
      </c>
    </row>
    <row r="1092" spans="1:1" x14ac:dyDescent="0.25">
      <c r="A1092" t="s">
        <v>1156</v>
      </c>
    </row>
    <row r="1093" spans="1:1" x14ac:dyDescent="0.25">
      <c r="A1093" t="s">
        <v>1157</v>
      </c>
    </row>
    <row r="1094" spans="1:1" x14ac:dyDescent="0.25">
      <c r="A1094" t="s">
        <v>1158</v>
      </c>
    </row>
    <row r="1095" spans="1:1" x14ac:dyDescent="0.25">
      <c r="A1095" t="s">
        <v>1159</v>
      </c>
    </row>
    <row r="1096" spans="1:1" x14ac:dyDescent="0.25">
      <c r="A1096" t="s">
        <v>1160</v>
      </c>
    </row>
    <row r="1097" spans="1:1" x14ac:dyDescent="0.25">
      <c r="A1097" t="s">
        <v>1161</v>
      </c>
    </row>
    <row r="1098" spans="1:1" x14ac:dyDescent="0.25">
      <c r="A1098" t="s">
        <v>1162</v>
      </c>
    </row>
    <row r="1099" spans="1:1" x14ac:dyDescent="0.25">
      <c r="A1099" t="s">
        <v>1163</v>
      </c>
    </row>
    <row r="1100" spans="1:1" x14ac:dyDescent="0.25">
      <c r="A1100" t="s">
        <v>1164</v>
      </c>
    </row>
    <row r="1101" spans="1:1" x14ac:dyDescent="0.25">
      <c r="A1101" t="s">
        <v>1165</v>
      </c>
    </row>
    <row r="1102" spans="1:1" x14ac:dyDescent="0.25">
      <c r="A1102" t="s">
        <v>1166</v>
      </c>
    </row>
    <row r="1103" spans="1:1" x14ac:dyDescent="0.25">
      <c r="A1103" t="s">
        <v>1167</v>
      </c>
    </row>
    <row r="1104" spans="1:1" x14ac:dyDescent="0.25">
      <c r="A1104" t="s">
        <v>1168</v>
      </c>
    </row>
    <row r="1105" spans="1:1" x14ac:dyDescent="0.25">
      <c r="A1105" t="s">
        <v>1169</v>
      </c>
    </row>
    <row r="1106" spans="1:1" x14ac:dyDescent="0.25">
      <c r="A1106" t="s">
        <v>1170</v>
      </c>
    </row>
    <row r="1107" spans="1:1" x14ac:dyDescent="0.25">
      <c r="A1107" t="s">
        <v>1171</v>
      </c>
    </row>
    <row r="1108" spans="1:1" x14ac:dyDescent="0.25">
      <c r="A1108" t="s">
        <v>1172</v>
      </c>
    </row>
    <row r="1109" spans="1:1" x14ac:dyDescent="0.25">
      <c r="A1109" t="s">
        <v>1173</v>
      </c>
    </row>
    <row r="1110" spans="1:1" x14ac:dyDescent="0.25">
      <c r="A1110" t="s">
        <v>1174</v>
      </c>
    </row>
    <row r="1111" spans="1:1" x14ac:dyDescent="0.25">
      <c r="A1111" t="s">
        <v>1175</v>
      </c>
    </row>
    <row r="1112" spans="1:1" x14ac:dyDescent="0.25">
      <c r="A1112" t="s">
        <v>1176</v>
      </c>
    </row>
    <row r="1113" spans="1:1" x14ac:dyDescent="0.25">
      <c r="A1113" t="s">
        <v>1177</v>
      </c>
    </row>
    <row r="1114" spans="1:1" x14ac:dyDescent="0.25">
      <c r="A1114" t="s">
        <v>1178</v>
      </c>
    </row>
    <row r="1115" spans="1:1" x14ac:dyDescent="0.25">
      <c r="A1115" t="s">
        <v>1179</v>
      </c>
    </row>
    <row r="1116" spans="1:1" x14ac:dyDescent="0.25">
      <c r="A1116" t="s">
        <v>1180</v>
      </c>
    </row>
    <row r="1117" spans="1:1" x14ac:dyDescent="0.25">
      <c r="A1117" t="s">
        <v>1181</v>
      </c>
    </row>
    <row r="1118" spans="1:1" x14ac:dyDescent="0.25">
      <c r="A1118" t="s">
        <v>1182</v>
      </c>
    </row>
    <row r="1119" spans="1:1" x14ac:dyDescent="0.25">
      <c r="A1119" t="s">
        <v>1183</v>
      </c>
    </row>
    <row r="1120" spans="1:1" x14ac:dyDescent="0.25">
      <c r="A1120" t="s">
        <v>1184</v>
      </c>
    </row>
    <row r="1121" spans="1:1" x14ac:dyDescent="0.25">
      <c r="A1121" t="s">
        <v>1185</v>
      </c>
    </row>
    <row r="1122" spans="1:1" x14ac:dyDescent="0.25">
      <c r="A1122" t="s">
        <v>1186</v>
      </c>
    </row>
    <row r="1123" spans="1:1" x14ac:dyDescent="0.25">
      <c r="A1123" t="s">
        <v>1187</v>
      </c>
    </row>
    <row r="1124" spans="1:1" x14ac:dyDescent="0.25">
      <c r="A1124" t="s">
        <v>1188</v>
      </c>
    </row>
    <row r="1125" spans="1:1" x14ac:dyDescent="0.25">
      <c r="A1125" t="s">
        <v>1189</v>
      </c>
    </row>
    <row r="1126" spans="1:1" x14ac:dyDescent="0.25">
      <c r="A1126" t="s">
        <v>1190</v>
      </c>
    </row>
    <row r="1127" spans="1:1" x14ac:dyDescent="0.25">
      <c r="A1127" t="s">
        <v>1191</v>
      </c>
    </row>
    <row r="1128" spans="1:1" x14ac:dyDescent="0.25">
      <c r="A1128" t="s">
        <v>1192</v>
      </c>
    </row>
    <row r="1129" spans="1:1" x14ac:dyDescent="0.25">
      <c r="A1129" t="s">
        <v>1193</v>
      </c>
    </row>
    <row r="1130" spans="1:1" x14ac:dyDescent="0.25">
      <c r="A1130" t="s">
        <v>1194</v>
      </c>
    </row>
    <row r="1131" spans="1:1" x14ac:dyDescent="0.25">
      <c r="A1131" t="s">
        <v>1195</v>
      </c>
    </row>
    <row r="1132" spans="1:1" x14ac:dyDescent="0.25">
      <c r="A1132" t="s">
        <v>1196</v>
      </c>
    </row>
    <row r="1133" spans="1:1" x14ac:dyDescent="0.25">
      <c r="A1133" t="s">
        <v>1197</v>
      </c>
    </row>
    <row r="1134" spans="1:1" x14ac:dyDescent="0.25">
      <c r="A1134" t="s">
        <v>1198</v>
      </c>
    </row>
    <row r="1135" spans="1:1" x14ac:dyDescent="0.25">
      <c r="A1135" t="s">
        <v>1199</v>
      </c>
    </row>
    <row r="1136" spans="1:1" x14ac:dyDescent="0.25">
      <c r="A1136" t="s">
        <v>1200</v>
      </c>
    </row>
    <row r="1137" spans="1:1" x14ac:dyDescent="0.25">
      <c r="A1137" t="s">
        <v>1201</v>
      </c>
    </row>
    <row r="1138" spans="1:1" x14ac:dyDescent="0.25">
      <c r="A1138" t="s">
        <v>1202</v>
      </c>
    </row>
    <row r="1139" spans="1:1" x14ac:dyDescent="0.25">
      <c r="A1139" t="s">
        <v>1203</v>
      </c>
    </row>
    <row r="1140" spans="1:1" x14ac:dyDescent="0.25">
      <c r="A1140" t="s">
        <v>1204</v>
      </c>
    </row>
    <row r="1141" spans="1:1" x14ac:dyDescent="0.25">
      <c r="A1141" t="s">
        <v>1205</v>
      </c>
    </row>
    <row r="1142" spans="1:1" x14ac:dyDescent="0.25">
      <c r="A1142" t="s">
        <v>1206</v>
      </c>
    </row>
    <row r="1143" spans="1:1" x14ac:dyDescent="0.25">
      <c r="A1143" t="s">
        <v>1207</v>
      </c>
    </row>
    <row r="1144" spans="1:1" x14ac:dyDescent="0.25">
      <c r="A1144" t="s">
        <v>1208</v>
      </c>
    </row>
    <row r="1145" spans="1:1" x14ac:dyDescent="0.25">
      <c r="A1145" t="s">
        <v>1209</v>
      </c>
    </row>
    <row r="1146" spans="1:1" x14ac:dyDescent="0.25">
      <c r="A1146" t="s">
        <v>1210</v>
      </c>
    </row>
    <row r="1147" spans="1:1" x14ac:dyDescent="0.25">
      <c r="A1147" t="s">
        <v>1211</v>
      </c>
    </row>
    <row r="1148" spans="1:1" x14ac:dyDescent="0.25">
      <c r="A1148" t="s">
        <v>1212</v>
      </c>
    </row>
    <row r="1149" spans="1:1" x14ac:dyDescent="0.25">
      <c r="A1149" t="s">
        <v>1213</v>
      </c>
    </row>
    <row r="1150" spans="1:1" x14ac:dyDescent="0.25">
      <c r="A1150" t="s">
        <v>1214</v>
      </c>
    </row>
    <row r="1151" spans="1:1" x14ac:dyDescent="0.25">
      <c r="A1151" t="s">
        <v>1215</v>
      </c>
    </row>
    <row r="1152" spans="1:1" x14ac:dyDescent="0.25">
      <c r="A1152" t="s">
        <v>1216</v>
      </c>
    </row>
    <row r="1153" spans="1:1" x14ac:dyDescent="0.25">
      <c r="A1153" t="s">
        <v>1217</v>
      </c>
    </row>
    <row r="1154" spans="1:1" x14ac:dyDescent="0.25">
      <c r="A1154" t="s">
        <v>1218</v>
      </c>
    </row>
    <row r="1155" spans="1:1" x14ac:dyDescent="0.25">
      <c r="A1155" t="s">
        <v>1219</v>
      </c>
    </row>
    <row r="1156" spans="1:1" x14ac:dyDescent="0.25">
      <c r="A1156" t="s">
        <v>1220</v>
      </c>
    </row>
    <row r="1157" spans="1:1" x14ac:dyDescent="0.25">
      <c r="A1157" t="s">
        <v>1221</v>
      </c>
    </row>
    <row r="1158" spans="1:1" x14ac:dyDescent="0.25">
      <c r="A1158" t="s">
        <v>1222</v>
      </c>
    </row>
    <row r="1159" spans="1:1" x14ac:dyDescent="0.25">
      <c r="A1159" t="s">
        <v>1223</v>
      </c>
    </row>
    <row r="1160" spans="1:1" x14ac:dyDescent="0.25">
      <c r="A1160" t="s">
        <v>1224</v>
      </c>
    </row>
    <row r="1161" spans="1:1" x14ac:dyDescent="0.25">
      <c r="A1161" t="s">
        <v>1225</v>
      </c>
    </row>
    <row r="1162" spans="1:1" x14ac:dyDescent="0.25">
      <c r="A1162" t="s">
        <v>1226</v>
      </c>
    </row>
    <row r="1163" spans="1:1" x14ac:dyDescent="0.25">
      <c r="A1163" t="s">
        <v>1227</v>
      </c>
    </row>
    <row r="1164" spans="1:1" x14ac:dyDescent="0.25">
      <c r="A1164" t="s">
        <v>1228</v>
      </c>
    </row>
    <row r="1165" spans="1:1" x14ac:dyDescent="0.25">
      <c r="A1165" t="s">
        <v>1229</v>
      </c>
    </row>
    <row r="1166" spans="1:1" x14ac:dyDescent="0.25">
      <c r="A1166" t="s">
        <v>1230</v>
      </c>
    </row>
    <row r="1167" spans="1:1" x14ac:dyDescent="0.25">
      <c r="A1167" t="s">
        <v>1231</v>
      </c>
    </row>
    <row r="1168" spans="1:1" x14ac:dyDescent="0.25">
      <c r="A1168" t="s">
        <v>1232</v>
      </c>
    </row>
    <row r="1169" spans="1:1" x14ac:dyDescent="0.25">
      <c r="A1169" t="s">
        <v>1233</v>
      </c>
    </row>
    <row r="1170" spans="1:1" x14ac:dyDescent="0.25">
      <c r="A1170" t="s">
        <v>1234</v>
      </c>
    </row>
    <row r="1171" spans="1:1" x14ac:dyDescent="0.25">
      <c r="A1171" t="s">
        <v>1235</v>
      </c>
    </row>
    <row r="1172" spans="1:1" x14ac:dyDescent="0.25">
      <c r="A1172" t="s">
        <v>1236</v>
      </c>
    </row>
    <row r="1173" spans="1:1" x14ac:dyDescent="0.25">
      <c r="A1173" t="s">
        <v>1237</v>
      </c>
    </row>
    <row r="1174" spans="1:1" x14ac:dyDescent="0.25">
      <c r="A1174" t="s">
        <v>1238</v>
      </c>
    </row>
    <row r="1175" spans="1:1" x14ac:dyDescent="0.25">
      <c r="A1175" t="s">
        <v>1239</v>
      </c>
    </row>
    <row r="1176" spans="1:1" x14ac:dyDescent="0.25">
      <c r="A1176" t="s">
        <v>1240</v>
      </c>
    </row>
    <row r="1177" spans="1:1" x14ac:dyDescent="0.25">
      <c r="A1177" t="s">
        <v>1241</v>
      </c>
    </row>
    <row r="1178" spans="1:1" x14ac:dyDescent="0.25">
      <c r="A1178" t="s">
        <v>1242</v>
      </c>
    </row>
    <row r="1179" spans="1:1" x14ac:dyDescent="0.25">
      <c r="A1179" t="s">
        <v>1243</v>
      </c>
    </row>
    <row r="1180" spans="1:1" x14ac:dyDescent="0.25">
      <c r="A1180" t="s">
        <v>1244</v>
      </c>
    </row>
    <row r="1181" spans="1:1" x14ac:dyDescent="0.25">
      <c r="A1181" t="s">
        <v>1245</v>
      </c>
    </row>
    <row r="1182" spans="1:1" x14ac:dyDescent="0.25">
      <c r="A1182" t="s">
        <v>1246</v>
      </c>
    </row>
    <row r="1183" spans="1:1" x14ac:dyDescent="0.25">
      <c r="A1183" t="s">
        <v>1247</v>
      </c>
    </row>
    <row r="1184" spans="1:1" x14ac:dyDescent="0.25">
      <c r="A1184" t="s">
        <v>1248</v>
      </c>
    </row>
    <row r="1185" spans="1:1" x14ac:dyDescent="0.25">
      <c r="A1185" t="s">
        <v>1249</v>
      </c>
    </row>
    <row r="1186" spans="1:1" x14ac:dyDescent="0.25">
      <c r="A1186" t="s">
        <v>1250</v>
      </c>
    </row>
    <row r="1187" spans="1:1" x14ac:dyDescent="0.25">
      <c r="A1187" t="s">
        <v>1251</v>
      </c>
    </row>
    <row r="1188" spans="1:1" x14ac:dyDescent="0.25">
      <c r="A1188" t="s">
        <v>1252</v>
      </c>
    </row>
    <row r="1189" spans="1:1" x14ac:dyDescent="0.25">
      <c r="A1189" t="s">
        <v>1253</v>
      </c>
    </row>
    <row r="1190" spans="1:1" x14ac:dyDescent="0.25">
      <c r="A1190" t="s">
        <v>1254</v>
      </c>
    </row>
    <row r="1191" spans="1:1" x14ac:dyDescent="0.25">
      <c r="A1191" t="s">
        <v>1255</v>
      </c>
    </row>
    <row r="1192" spans="1:1" x14ac:dyDescent="0.25">
      <c r="A1192" t="s">
        <v>1256</v>
      </c>
    </row>
    <row r="1193" spans="1:1" x14ac:dyDescent="0.25">
      <c r="A1193" t="s">
        <v>1257</v>
      </c>
    </row>
    <row r="1194" spans="1:1" x14ac:dyDescent="0.25">
      <c r="A1194" t="s">
        <v>1258</v>
      </c>
    </row>
    <row r="1195" spans="1:1" x14ac:dyDescent="0.25">
      <c r="A1195" t="s">
        <v>1259</v>
      </c>
    </row>
    <row r="1196" spans="1:1" x14ac:dyDescent="0.25">
      <c r="A1196" t="s">
        <v>1260</v>
      </c>
    </row>
    <row r="1197" spans="1:1" x14ac:dyDescent="0.25">
      <c r="A1197" t="s">
        <v>1261</v>
      </c>
    </row>
    <row r="1198" spans="1:1" x14ac:dyDescent="0.25">
      <c r="A1198" t="s">
        <v>1262</v>
      </c>
    </row>
    <row r="1199" spans="1:1" x14ac:dyDescent="0.25">
      <c r="A1199" t="s">
        <v>1263</v>
      </c>
    </row>
    <row r="1200" spans="1:1" x14ac:dyDescent="0.25">
      <c r="A1200" t="s">
        <v>1264</v>
      </c>
    </row>
    <row r="1201" spans="1:1" x14ac:dyDescent="0.25">
      <c r="A1201" t="s">
        <v>1265</v>
      </c>
    </row>
    <row r="1202" spans="1:1" x14ac:dyDescent="0.25">
      <c r="A1202" t="s">
        <v>1266</v>
      </c>
    </row>
    <row r="1203" spans="1:1" x14ac:dyDescent="0.25">
      <c r="A1203" t="s">
        <v>1267</v>
      </c>
    </row>
    <row r="1204" spans="1:1" x14ac:dyDescent="0.25">
      <c r="A1204" t="s">
        <v>1268</v>
      </c>
    </row>
    <row r="1205" spans="1:1" x14ac:dyDescent="0.25">
      <c r="A1205" t="s">
        <v>1269</v>
      </c>
    </row>
    <row r="1206" spans="1:1" x14ac:dyDescent="0.25">
      <c r="A1206" t="s">
        <v>1270</v>
      </c>
    </row>
    <row r="1207" spans="1:1" x14ac:dyDescent="0.25">
      <c r="A1207" t="s">
        <v>1271</v>
      </c>
    </row>
    <row r="1208" spans="1:1" x14ac:dyDescent="0.25">
      <c r="A1208" t="s">
        <v>1272</v>
      </c>
    </row>
    <row r="1209" spans="1:1" x14ac:dyDescent="0.25">
      <c r="A1209" t="s">
        <v>1273</v>
      </c>
    </row>
    <row r="1210" spans="1:1" x14ac:dyDescent="0.25">
      <c r="A1210" t="s">
        <v>1274</v>
      </c>
    </row>
    <row r="1211" spans="1:1" x14ac:dyDescent="0.25">
      <c r="A1211" t="s">
        <v>1275</v>
      </c>
    </row>
    <row r="1212" spans="1:1" x14ac:dyDescent="0.25">
      <c r="A1212" t="s">
        <v>1276</v>
      </c>
    </row>
    <row r="1213" spans="1:1" x14ac:dyDescent="0.25">
      <c r="A1213" t="s">
        <v>1277</v>
      </c>
    </row>
    <row r="1214" spans="1:1" x14ac:dyDescent="0.25">
      <c r="A1214" t="s">
        <v>1278</v>
      </c>
    </row>
    <row r="1215" spans="1:1" x14ac:dyDescent="0.25">
      <c r="A1215" t="s">
        <v>1279</v>
      </c>
    </row>
    <row r="1216" spans="1:1" x14ac:dyDescent="0.25">
      <c r="A1216" t="s">
        <v>1280</v>
      </c>
    </row>
    <row r="1217" spans="1:1" x14ac:dyDescent="0.25">
      <c r="A1217" t="s">
        <v>1281</v>
      </c>
    </row>
    <row r="1218" spans="1:1" x14ac:dyDescent="0.25">
      <c r="A1218" t="s">
        <v>1282</v>
      </c>
    </row>
    <row r="1219" spans="1:1" x14ac:dyDescent="0.25">
      <c r="A1219" t="s">
        <v>1283</v>
      </c>
    </row>
    <row r="1220" spans="1:1" x14ac:dyDescent="0.25">
      <c r="A1220" t="s">
        <v>1284</v>
      </c>
    </row>
    <row r="1221" spans="1:1" x14ac:dyDescent="0.25">
      <c r="A1221" t="s">
        <v>1285</v>
      </c>
    </row>
    <row r="1222" spans="1:1" x14ac:dyDescent="0.25">
      <c r="A1222" t="s">
        <v>1286</v>
      </c>
    </row>
    <row r="1223" spans="1:1" x14ac:dyDescent="0.25">
      <c r="A1223" t="s">
        <v>1287</v>
      </c>
    </row>
    <row r="1224" spans="1:1" x14ac:dyDescent="0.25">
      <c r="A1224" t="s">
        <v>1288</v>
      </c>
    </row>
    <row r="1225" spans="1:1" x14ac:dyDescent="0.25">
      <c r="A1225" t="s">
        <v>1289</v>
      </c>
    </row>
    <row r="1226" spans="1:1" x14ac:dyDescent="0.25">
      <c r="A1226" t="s">
        <v>1290</v>
      </c>
    </row>
    <row r="1227" spans="1:1" x14ac:dyDescent="0.25">
      <c r="A1227" t="s">
        <v>1291</v>
      </c>
    </row>
    <row r="1228" spans="1:1" x14ac:dyDescent="0.25">
      <c r="A1228" t="s">
        <v>1292</v>
      </c>
    </row>
    <row r="1229" spans="1:1" x14ac:dyDescent="0.25">
      <c r="A1229" t="s">
        <v>1293</v>
      </c>
    </row>
    <row r="1230" spans="1:1" x14ac:dyDescent="0.25">
      <c r="A1230" t="s">
        <v>1294</v>
      </c>
    </row>
    <row r="1231" spans="1:1" x14ac:dyDescent="0.25">
      <c r="A1231" t="s">
        <v>1295</v>
      </c>
    </row>
    <row r="1232" spans="1:1" x14ac:dyDescent="0.25">
      <c r="A1232" t="s">
        <v>1296</v>
      </c>
    </row>
    <row r="1233" spans="1:1" x14ac:dyDescent="0.25">
      <c r="A1233" t="s">
        <v>1297</v>
      </c>
    </row>
    <row r="1234" spans="1:1" x14ac:dyDescent="0.25">
      <c r="A1234" t="s">
        <v>1298</v>
      </c>
    </row>
    <row r="1235" spans="1:1" x14ac:dyDescent="0.25">
      <c r="A1235" t="s">
        <v>1299</v>
      </c>
    </row>
    <row r="1236" spans="1:1" x14ac:dyDescent="0.25">
      <c r="A1236" t="s">
        <v>1300</v>
      </c>
    </row>
    <row r="1237" spans="1:1" x14ac:dyDescent="0.25">
      <c r="A1237" t="s">
        <v>1301</v>
      </c>
    </row>
    <row r="1238" spans="1:1" x14ac:dyDescent="0.25">
      <c r="A1238" t="s">
        <v>1302</v>
      </c>
    </row>
    <row r="1239" spans="1:1" x14ac:dyDescent="0.25">
      <c r="A1239" t="s">
        <v>1303</v>
      </c>
    </row>
    <row r="1240" spans="1:1" x14ac:dyDescent="0.25">
      <c r="A1240" t="s">
        <v>1304</v>
      </c>
    </row>
    <row r="1241" spans="1:1" x14ac:dyDescent="0.25">
      <c r="A1241" t="s">
        <v>1305</v>
      </c>
    </row>
    <row r="1242" spans="1:1" x14ac:dyDescent="0.25">
      <c r="A1242" t="s">
        <v>1306</v>
      </c>
    </row>
    <row r="1243" spans="1:1" x14ac:dyDescent="0.25">
      <c r="A1243" t="s">
        <v>1307</v>
      </c>
    </row>
    <row r="1244" spans="1:1" x14ac:dyDescent="0.25">
      <c r="A1244" t="s">
        <v>1308</v>
      </c>
    </row>
    <row r="1245" spans="1:1" x14ac:dyDescent="0.25">
      <c r="A1245" t="s">
        <v>1309</v>
      </c>
    </row>
    <row r="1246" spans="1:1" x14ac:dyDescent="0.25">
      <c r="A1246" t="s">
        <v>1310</v>
      </c>
    </row>
    <row r="1247" spans="1:1" x14ac:dyDescent="0.25">
      <c r="A1247" t="s">
        <v>1311</v>
      </c>
    </row>
    <row r="1248" spans="1:1" x14ac:dyDescent="0.25">
      <c r="A1248" t="s">
        <v>1312</v>
      </c>
    </row>
    <row r="1249" spans="1:1" x14ac:dyDescent="0.25">
      <c r="A1249" t="s">
        <v>1313</v>
      </c>
    </row>
    <row r="1250" spans="1:1" x14ac:dyDescent="0.25">
      <c r="A1250" t="s">
        <v>1314</v>
      </c>
    </row>
    <row r="1251" spans="1:1" x14ac:dyDescent="0.25">
      <c r="A1251" t="s">
        <v>1315</v>
      </c>
    </row>
    <row r="1252" spans="1:1" x14ac:dyDescent="0.25">
      <c r="A1252" t="s">
        <v>1316</v>
      </c>
    </row>
    <row r="1253" spans="1:1" x14ac:dyDescent="0.25">
      <c r="A1253" t="s">
        <v>1317</v>
      </c>
    </row>
    <row r="1254" spans="1:1" x14ac:dyDescent="0.25">
      <c r="A1254" t="s">
        <v>1318</v>
      </c>
    </row>
    <row r="1255" spans="1:1" x14ac:dyDescent="0.25">
      <c r="A1255" t="s">
        <v>1319</v>
      </c>
    </row>
    <row r="1256" spans="1:1" x14ac:dyDescent="0.25">
      <c r="A1256" t="s">
        <v>1320</v>
      </c>
    </row>
    <row r="1257" spans="1:1" x14ac:dyDescent="0.25">
      <c r="A1257" t="s">
        <v>1321</v>
      </c>
    </row>
    <row r="1258" spans="1:1" x14ac:dyDescent="0.25">
      <c r="A1258" t="s">
        <v>1322</v>
      </c>
    </row>
    <row r="1259" spans="1:1" x14ac:dyDescent="0.25">
      <c r="A1259" t="s">
        <v>1323</v>
      </c>
    </row>
    <row r="1260" spans="1:1" x14ac:dyDescent="0.25">
      <c r="A1260" t="s">
        <v>1324</v>
      </c>
    </row>
    <row r="1261" spans="1:1" x14ac:dyDescent="0.25">
      <c r="A1261" t="s">
        <v>1325</v>
      </c>
    </row>
    <row r="1262" spans="1:1" x14ac:dyDescent="0.25">
      <c r="A1262" t="s">
        <v>1326</v>
      </c>
    </row>
    <row r="1263" spans="1:1" x14ac:dyDescent="0.25">
      <c r="A1263" t="s">
        <v>1327</v>
      </c>
    </row>
    <row r="1264" spans="1:1" x14ac:dyDescent="0.25">
      <c r="A1264" t="s">
        <v>1328</v>
      </c>
    </row>
    <row r="1265" spans="1:1" x14ac:dyDescent="0.25">
      <c r="A1265" t="s">
        <v>1329</v>
      </c>
    </row>
    <row r="1266" spans="1:1" x14ac:dyDescent="0.25">
      <c r="A1266" t="s">
        <v>1330</v>
      </c>
    </row>
    <row r="1267" spans="1:1" x14ac:dyDescent="0.25">
      <c r="A1267" t="s">
        <v>1331</v>
      </c>
    </row>
    <row r="1268" spans="1:1" x14ac:dyDescent="0.25">
      <c r="A1268" t="s">
        <v>1332</v>
      </c>
    </row>
    <row r="1269" spans="1:1" x14ac:dyDescent="0.25">
      <c r="A1269" t="s">
        <v>1333</v>
      </c>
    </row>
    <row r="1270" spans="1:1" x14ac:dyDescent="0.25">
      <c r="A1270" t="s">
        <v>1334</v>
      </c>
    </row>
    <row r="1271" spans="1:1" x14ac:dyDescent="0.25">
      <c r="A1271" t="s">
        <v>1335</v>
      </c>
    </row>
    <row r="1272" spans="1:1" x14ac:dyDescent="0.25">
      <c r="A1272" t="s">
        <v>1336</v>
      </c>
    </row>
    <row r="1273" spans="1:1" x14ac:dyDescent="0.25">
      <c r="A1273" t="s">
        <v>1337</v>
      </c>
    </row>
    <row r="1274" spans="1:1" x14ac:dyDescent="0.25">
      <c r="A1274" t="s">
        <v>1338</v>
      </c>
    </row>
    <row r="1275" spans="1:1" x14ac:dyDescent="0.25">
      <c r="A1275" t="s">
        <v>1339</v>
      </c>
    </row>
    <row r="1276" spans="1:1" x14ac:dyDescent="0.25">
      <c r="A1276" t="s">
        <v>1340</v>
      </c>
    </row>
    <row r="1277" spans="1:1" x14ac:dyDescent="0.25">
      <c r="A1277" t="s">
        <v>1341</v>
      </c>
    </row>
    <row r="1278" spans="1:1" x14ac:dyDescent="0.25">
      <c r="A1278" t="s">
        <v>1342</v>
      </c>
    </row>
    <row r="1279" spans="1:1" x14ac:dyDescent="0.25">
      <c r="A1279" t="s">
        <v>1343</v>
      </c>
    </row>
    <row r="1280" spans="1:1" x14ac:dyDescent="0.25">
      <c r="A1280" t="s">
        <v>1344</v>
      </c>
    </row>
    <row r="1281" spans="1:1" x14ac:dyDescent="0.25">
      <c r="A1281" t="s">
        <v>1345</v>
      </c>
    </row>
    <row r="1282" spans="1:1" x14ac:dyDescent="0.25">
      <c r="A1282" t="s">
        <v>1346</v>
      </c>
    </row>
    <row r="1283" spans="1:1" x14ac:dyDescent="0.25">
      <c r="A1283" t="s">
        <v>1347</v>
      </c>
    </row>
    <row r="1284" spans="1:1" x14ac:dyDescent="0.25">
      <c r="A1284" t="s">
        <v>1348</v>
      </c>
    </row>
    <row r="1285" spans="1:1" x14ac:dyDescent="0.25">
      <c r="A1285" t="s">
        <v>1349</v>
      </c>
    </row>
    <row r="1286" spans="1:1" x14ac:dyDescent="0.25">
      <c r="A1286" t="s">
        <v>1350</v>
      </c>
    </row>
    <row r="1287" spans="1:1" x14ac:dyDescent="0.25">
      <c r="A1287" t="s">
        <v>1351</v>
      </c>
    </row>
    <row r="1288" spans="1:1" x14ac:dyDescent="0.25">
      <c r="A1288" t="s">
        <v>1352</v>
      </c>
    </row>
    <row r="1289" spans="1:1" x14ac:dyDescent="0.25">
      <c r="A1289" t="s">
        <v>1353</v>
      </c>
    </row>
    <row r="1290" spans="1:1" x14ac:dyDescent="0.25">
      <c r="A1290" t="s">
        <v>1354</v>
      </c>
    </row>
    <row r="1291" spans="1:1" x14ac:dyDescent="0.25">
      <c r="A1291" t="s">
        <v>1355</v>
      </c>
    </row>
    <row r="1292" spans="1:1" x14ac:dyDescent="0.25">
      <c r="A1292" t="s">
        <v>1356</v>
      </c>
    </row>
    <row r="1293" spans="1:1" x14ac:dyDescent="0.25">
      <c r="A1293" t="s">
        <v>1357</v>
      </c>
    </row>
    <row r="1294" spans="1:1" x14ac:dyDescent="0.25">
      <c r="A1294" t="s">
        <v>1358</v>
      </c>
    </row>
    <row r="1295" spans="1:1" x14ac:dyDescent="0.25">
      <c r="A1295" t="s">
        <v>1359</v>
      </c>
    </row>
    <row r="1296" spans="1:1" x14ac:dyDescent="0.25">
      <c r="A1296" t="s">
        <v>1360</v>
      </c>
    </row>
    <row r="1297" spans="1:1" x14ac:dyDescent="0.25">
      <c r="A1297" t="s">
        <v>1361</v>
      </c>
    </row>
    <row r="1298" spans="1:1" x14ac:dyDescent="0.25">
      <c r="A1298" t="s">
        <v>1362</v>
      </c>
    </row>
    <row r="1299" spans="1:1" x14ac:dyDescent="0.25">
      <c r="A1299" t="s">
        <v>1363</v>
      </c>
    </row>
    <row r="1300" spans="1:1" x14ac:dyDescent="0.25">
      <c r="A1300" t="s">
        <v>1364</v>
      </c>
    </row>
    <row r="1301" spans="1:1" x14ac:dyDescent="0.25">
      <c r="A1301" t="s">
        <v>1365</v>
      </c>
    </row>
    <row r="1302" spans="1:1" x14ac:dyDescent="0.25">
      <c r="A1302" t="s">
        <v>1366</v>
      </c>
    </row>
    <row r="1303" spans="1:1" x14ac:dyDescent="0.25">
      <c r="A1303" t="s">
        <v>1367</v>
      </c>
    </row>
    <row r="1304" spans="1:1" x14ac:dyDescent="0.25">
      <c r="A1304" t="s">
        <v>1368</v>
      </c>
    </row>
    <row r="1305" spans="1:1" x14ac:dyDescent="0.25">
      <c r="A1305" t="s">
        <v>1369</v>
      </c>
    </row>
    <row r="1306" spans="1:1" x14ac:dyDescent="0.25">
      <c r="A1306" t="s">
        <v>1370</v>
      </c>
    </row>
    <row r="1307" spans="1:1" x14ac:dyDescent="0.25">
      <c r="A1307" t="s">
        <v>1371</v>
      </c>
    </row>
    <row r="1308" spans="1:1" x14ac:dyDescent="0.25">
      <c r="A1308" t="s">
        <v>1372</v>
      </c>
    </row>
    <row r="1309" spans="1:1" x14ac:dyDescent="0.25">
      <c r="A1309" t="s">
        <v>1373</v>
      </c>
    </row>
    <row r="1310" spans="1:1" x14ac:dyDescent="0.25">
      <c r="A1310" t="s">
        <v>1374</v>
      </c>
    </row>
    <row r="1311" spans="1:1" x14ac:dyDescent="0.25">
      <c r="A1311" t="s">
        <v>1375</v>
      </c>
    </row>
    <row r="1312" spans="1:1" x14ac:dyDescent="0.25">
      <c r="A1312" t="s">
        <v>1376</v>
      </c>
    </row>
    <row r="1313" spans="1:1" x14ac:dyDescent="0.25">
      <c r="A1313" t="s">
        <v>1377</v>
      </c>
    </row>
    <row r="1314" spans="1:1" x14ac:dyDescent="0.25">
      <c r="A1314" t="s">
        <v>1378</v>
      </c>
    </row>
    <row r="1315" spans="1:1" x14ac:dyDescent="0.25">
      <c r="A1315" t="s">
        <v>1379</v>
      </c>
    </row>
    <row r="1316" spans="1:1" x14ac:dyDescent="0.25">
      <c r="A1316" t="s">
        <v>1380</v>
      </c>
    </row>
    <row r="1317" spans="1:1" x14ac:dyDescent="0.25">
      <c r="A1317" t="s">
        <v>1381</v>
      </c>
    </row>
    <row r="1318" spans="1:1" x14ac:dyDescent="0.25">
      <c r="A1318" t="s">
        <v>1382</v>
      </c>
    </row>
    <row r="1319" spans="1:1" x14ac:dyDescent="0.25">
      <c r="A1319" t="s">
        <v>1383</v>
      </c>
    </row>
    <row r="1320" spans="1:1" x14ac:dyDescent="0.25">
      <c r="A1320" t="s">
        <v>1384</v>
      </c>
    </row>
    <row r="1321" spans="1:1" x14ac:dyDescent="0.25">
      <c r="A1321" t="s">
        <v>1385</v>
      </c>
    </row>
    <row r="1322" spans="1:1" x14ac:dyDescent="0.25">
      <c r="A1322" t="s">
        <v>1386</v>
      </c>
    </row>
    <row r="1323" spans="1:1" x14ac:dyDescent="0.25">
      <c r="A1323" t="s">
        <v>1387</v>
      </c>
    </row>
    <row r="1324" spans="1:1" x14ac:dyDescent="0.25">
      <c r="A1324" t="s">
        <v>1388</v>
      </c>
    </row>
    <row r="1325" spans="1:1" x14ac:dyDescent="0.25">
      <c r="A1325" t="s">
        <v>1389</v>
      </c>
    </row>
    <row r="1326" spans="1:1" x14ac:dyDescent="0.25">
      <c r="A1326" t="s">
        <v>1390</v>
      </c>
    </row>
    <row r="1327" spans="1:1" x14ac:dyDescent="0.25">
      <c r="A1327" t="s">
        <v>1391</v>
      </c>
    </row>
    <row r="1328" spans="1:1" x14ac:dyDescent="0.25">
      <c r="A1328" t="s">
        <v>1392</v>
      </c>
    </row>
    <row r="1329" spans="1:1" x14ac:dyDescent="0.25">
      <c r="A1329" t="s">
        <v>1393</v>
      </c>
    </row>
    <row r="1330" spans="1:1" x14ac:dyDescent="0.25">
      <c r="A1330" t="s">
        <v>1394</v>
      </c>
    </row>
    <row r="1331" spans="1:1" x14ac:dyDescent="0.25">
      <c r="A1331" t="s">
        <v>1395</v>
      </c>
    </row>
    <row r="1332" spans="1:1" x14ac:dyDescent="0.25">
      <c r="A1332" t="s">
        <v>1396</v>
      </c>
    </row>
    <row r="1333" spans="1:1" x14ac:dyDescent="0.25">
      <c r="A1333" t="s">
        <v>1397</v>
      </c>
    </row>
    <row r="1334" spans="1:1" x14ac:dyDescent="0.25">
      <c r="A1334" t="s">
        <v>1398</v>
      </c>
    </row>
    <row r="1335" spans="1:1" x14ac:dyDescent="0.25">
      <c r="A1335" t="s">
        <v>1399</v>
      </c>
    </row>
    <row r="1336" spans="1:1" x14ac:dyDescent="0.25">
      <c r="A1336" t="s">
        <v>1400</v>
      </c>
    </row>
    <row r="1337" spans="1:1" x14ac:dyDescent="0.25">
      <c r="A1337" t="s">
        <v>1401</v>
      </c>
    </row>
    <row r="1338" spans="1:1" x14ac:dyDescent="0.25">
      <c r="A1338" t="s">
        <v>1402</v>
      </c>
    </row>
    <row r="1339" spans="1:1" x14ac:dyDescent="0.25">
      <c r="A1339" t="s">
        <v>1403</v>
      </c>
    </row>
    <row r="1340" spans="1:1" x14ac:dyDescent="0.25">
      <c r="A1340" t="s">
        <v>1404</v>
      </c>
    </row>
    <row r="1341" spans="1:1" x14ac:dyDescent="0.25">
      <c r="A1341" t="s">
        <v>1405</v>
      </c>
    </row>
    <row r="1342" spans="1:1" x14ac:dyDescent="0.25">
      <c r="A1342" t="s">
        <v>1406</v>
      </c>
    </row>
    <row r="1343" spans="1:1" x14ac:dyDescent="0.25">
      <c r="A1343" t="s">
        <v>1407</v>
      </c>
    </row>
    <row r="1344" spans="1:1" x14ac:dyDescent="0.25">
      <c r="A1344" t="s">
        <v>1408</v>
      </c>
    </row>
    <row r="1345" spans="1:1" x14ac:dyDescent="0.25">
      <c r="A1345" t="s">
        <v>1409</v>
      </c>
    </row>
    <row r="1346" spans="1:1" x14ac:dyDescent="0.25">
      <c r="A1346" t="s">
        <v>1410</v>
      </c>
    </row>
    <row r="1347" spans="1:1" x14ac:dyDescent="0.25">
      <c r="A1347" t="s">
        <v>1411</v>
      </c>
    </row>
    <row r="1348" spans="1:1" x14ac:dyDescent="0.25">
      <c r="A1348" t="s">
        <v>1412</v>
      </c>
    </row>
    <row r="1349" spans="1:1" x14ac:dyDescent="0.25">
      <c r="A1349" t="s">
        <v>1413</v>
      </c>
    </row>
    <row r="1350" spans="1:1" x14ac:dyDescent="0.25">
      <c r="A1350" t="s">
        <v>1414</v>
      </c>
    </row>
    <row r="1351" spans="1:1" x14ac:dyDescent="0.25">
      <c r="A1351" t="s">
        <v>1415</v>
      </c>
    </row>
    <row r="1352" spans="1:1" x14ac:dyDescent="0.25">
      <c r="A1352" t="s">
        <v>1416</v>
      </c>
    </row>
    <row r="1353" spans="1:1" x14ac:dyDescent="0.25">
      <c r="A1353" t="s">
        <v>1417</v>
      </c>
    </row>
    <row r="1354" spans="1:1" x14ac:dyDescent="0.25">
      <c r="A1354" t="s">
        <v>1418</v>
      </c>
    </row>
    <row r="1355" spans="1:1" x14ac:dyDescent="0.25">
      <c r="A1355" t="s">
        <v>1419</v>
      </c>
    </row>
    <row r="1356" spans="1:1" x14ac:dyDescent="0.25">
      <c r="A1356" t="s">
        <v>1420</v>
      </c>
    </row>
    <row r="1357" spans="1:1" x14ac:dyDescent="0.25">
      <c r="A1357" t="s">
        <v>1421</v>
      </c>
    </row>
    <row r="1358" spans="1:1" x14ac:dyDescent="0.25">
      <c r="A1358" t="s">
        <v>1422</v>
      </c>
    </row>
    <row r="1359" spans="1:1" x14ac:dyDescent="0.25">
      <c r="A1359" t="s">
        <v>1423</v>
      </c>
    </row>
    <row r="1360" spans="1:1" x14ac:dyDescent="0.25">
      <c r="A1360" t="s">
        <v>1424</v>
      </c>
    </row>
    <row r="1361" spans="1:1" x14ac:dyDescent="0.25">
      <c r="A1361" t="s">
        <v>1425</v>
      </c>
    </row>
    <row r="1362" spans="1:1" x14ac:dyDescent="0.25">
      <c r="A1362" t="s">
        <v>1426</v>
      </c>
    </row>
    <row r="1363" spans="1:1" x14ac:dyDescent="0.25">
      <c r="A1363" t="s">
        <v>1427</v>
      </c>
    </row>
    <row r="1364" spans="1:1" x14ac:dyDescent="0.25">
      <c r="A1364" t="s">
        <v>1428</v>
      </c>
    </row>
    <row r="1365" spans="1:1" x14ac:dyDescent="0.25">
      <c r="A1365" t="s">
        <v>1429</v>
      </c>
    </row>
    <row r="1366" spans="1:1" x14ac:dyDescent="0.25">
      <c r="A1366" t="s">
        <v>1430</v>
      </c>
    </row>
    <row r="1367" spans="1:1" x14ac:dyDescent="0.25">
      <c r="A1367" t="s">
        <v>1431</v>
      </c>
    </row>
    <row r="1368" spans="1:1" x14ac:dyDescent="0.25">
      <c r="A1368" t="s">
        <v>1432</v>
      </c>
    </row>
    <row r="1369" spans="1:1" x14ac:dyDescent="0.25">
      <c r="A1369" t="s">
        <v>1433</v>
      </c>
    </row>
    <row r="1370" spans="1:1" x14ac:dyDescent="0.25">
      <c r="A1370" t="s">
        <v>1434</v>
      </c>
    </row>
    <row r="1371" spans="1:1" x14ac:dyDescent="0.25">
      <c r="A1371" t="s">
        <v>1435</v>
      </c>
    </row>
    <row r="1372" spans="1:1" x14ac:dyDescent="0.25">
      <c r="A1372" t="s">
        <v>1436</v>
      </c>
    </row>
    <row r="1373" spans="1:1" x14ac:dyDescent="0.25">
      <c r="A1373" t="s">
        <v>1437</v>
      </c>
    </row>
    <row r="1374" spans="1:1" x14ac:dyDescent="0.25">
      <c r="A1374" t="s">
        <v>1438</v>
      </c>
    </row>
    <row r="1375" spans="1:1" x14ac:dyDescent="0.25">
      <c r="A1375" t="s">
        <v>1439</v>
      </c>
    </row>
    <row r="1376" spans="1:1" x14ac:dyDescent="0.25">
      <c r="A1376" t="s">
        <v>1440</v>
      </c>
    </row>
    <row r="1377" spans="1:1" x14ac:dyDescent="0.25">
      <c r="A1377" t="s">
        <v>1441</v>
      </c>
    </row>
    <row r="1378" spans="1:1" x14ac:dyDescent="0.25">
      <c r="A1378" t="s">
        <v>1442</v>
      </c>
    </row>
    <row r="1379" spans="1:1" x14ac:dyDescent="0.25">
      <c r="A1379" t="s">
        <v>1443</v>
      </c>
    </row>
    <row r="1380" spans="1:1" x14ac:dyDescent="0.25">
      <c r="A1380" t="s">
        <v>1444</v>
      </c>
    </row>
    <row r="1381" spans="1:1" x14ac:dyDescent="0.25">
      <c r="A1381" t="s">
        <v>1445</v>
      </c>
    </row>
    <row r="1382" spans="1:1" x14ac:dyDescent="0.25">
      <c r="A1382" t="s">
        <v>1446</v>
      </c>
    </row>
    <row r="1383" spans="1:1" x14ac:dyDescent="0.25">
      <c r="A1383" t="s">
        <v>1447</v>
      </c>
    </row>
    <row r="1384" spans="1:1" x14ac:dyDescent="0.25">
      <c r="A1384" t="s">
        <v>1448</v>
      </c>
    </row>
    <row r="1385" spans="1:1" x14ac:dyDescent="0.25">
      <c r="A1385" t="s">
        <v>1449</v>
      </c>
    </row>
    <row r="1386" spans="1:1" x14ac:dyDescent="0.25">
      <c r="A1386" t="s">
        <v>1450</v>
      </c>
    </row>
    <row r="1387" spans="1:1" x14ac:dyDescent="0.25">
      <c r="A1387" t="s">
        <v>1451</v>
      </c>
    </row>
    <row r="1388" spans="1:1" x14ac:dyDescent="0.25">
      <c r="A1388" t="s">
        <v>1452</v>
      </c>
    </row>
    <row r="1389" spans="1:1" x14ac:dyDescent="0.25">
      <c r="A1389" t="s">
        <v>1453</v>
      </c>
    </row>
    <row r="1390" spans="1:1" x14ac:dyDescent="0.25">
      <c r="A1390" t="s">
        <v>1454</v>
      </c>
    </row>
    <row r="1391" spans="1:1" x14ac:dyDescent="0.25">
      <c r="A1391" t="s">
        <v>1455</v>
      </c>
    </row>
    <row r="1392" spans="1:1" x14ac:dyDescent="0.25">
      <c r="A1392" t="s">
        <v>1456</v>
      </c>
    </row>
    <row r="1393" spans="1:1" x14ac:dyDescent="0.25">
      <c r="A1393" t="s">
        <v>1457</v>
      </c>
    </row>
    <row r="1394" spans="1:1" x14ac:dyDescent="0.25">
      <c r="A1394" t="s">
        <v>1458</v>
      </c>
    </row>
    <row r="1395" spans="1:1" x14ac:dyDescent="0.25">
      <c r="A1395" t="s">
        <v>1459</v>
      </c>
    </row>
    <row r="1396" spans="1:1" x14ac:dyDescent="0.25">
      <c r="A1396" t="s">
        <v>1460</v>
      </c>
    </row>
    <row r="1397" spans="1:1" x14ac:dyDescent="0.25">
      <c r="A1397" t="s">
        <v>1461</v>
      </c>
    </row>
    <row r="1398" spans="1:1" x14ac:dyDescent="0.25">
      <c r="A1398" t="s">
        <v>1462</v>
      </c>
    </row>
    <row r="1399" spans="1:1" x14ac:dyDescent="0.25">
      <c r="A1399" t="s">
        <v>1463</v>
      </c>
    </row>
    <row r="1400" spans="1:1" x14ac:dyDescent="0.25">
      <c r="A1400" t="s">
        <v>1464</v>
      </c>
    </row>
    <row r="1401" spans="1:1" x14ac:dyDescent="0.25">
      <c r="A1401" t="s">
        <v>1465</v>
      </c>
    </row>
    <row r="1402" spans="1:1" x14ac:dyDescent="0.25">
      <c r="A1402" t="s">
        <v>1466</v>
      </c>
    </row>
    <row r="1403" spans="1:1" x14ac:dyDescent="0.25">
      <c r="A1403" t="s">
        <v>1467</v>
      </c>
    </row>
    <row r="1404" spans="1:1" x14ac:dyDescent="0.25">
      <c r="A1404" t="s">
        <v>1468</v>
      </c>
    </row>
    <row r="1405" spans="1:1" x14ac:dyDescent="0.25">
      <c r="A1405" t="s">
        <v>1469</v>
      </c>
    </row>
    <row r="1406" spans="1:1" x14ac:dyDescent="0.25">
      <c r="A1406" t="s">
        <v>1470</v>
      </c>
    </row>
    <row r="1407" spans="1:1" x14ac:dyDescent="0.25">
      <c r="A1407" t="s">
        <v>1471</v>
      </c>
    </row>
    <row r="1408" spans="1:1" x14ac:dyDescent="0.25">
      <c r="A1408" t="s">
        <v>1472</v>
      </c>
    </row>
    <row r="1409" spans="1:1" x14ac:dyDescent="0.25">
      <c r="A1409" t="s">
        <v>1473</v>
      </c>
    </row>
    <row r="1410" spans="1:1" x14ac:dyDescent="0.25">
      <c r="A1410" t="s">
        <v>1474</v>
      </c>
    </row>
    <row r="1411" spans="1:1" x14ac:dyDescent="0.25">
      <c r="A1411" t="s">
        <v>1475</v>
      </c>
    </row>
    <row r="1412" spans="1:1" x14ac:dyDescent="0.25">
      <c r="A1412" t="s">
        <v>1476</v>
      </c>
    </row>
    <row r="1413" spans="1:1" x14ac:dyDescent="0.25">
      <c r="A1413" t="s">
        <v>1477</v>
      </c>
    </row>
    <row r="1414" spans="1:1" x14ac:dyDescent="0.25">
      <c r="A1414" t="s">
        <v>1478</v>
      </c>
    </row>
    <row r="1415" spans="1:1" x14ac:dyDescent="0.25">
      <c r="A1415" t="s">
        <v>1479</v>
      </c>
    </row>
    <row r="1416" spans="1:1" x14ac:dyDescent="0.25">
      <c r="A1416" t="s">
        <v>1480</v>
      </c>
    </row>
    <row r="1417" spans="1:1" x14ac:dyDescent="0.25">
      <c r="A1417" t="s">
        <v>1481</v>
      </c>
    </row>
    <row r="1418" spans="1:1" x14ac:dyDescent="0.25">
      <c r="A1418" t="s">
        <v>1482</v>
      </c>
    </row>
    <row r="1419" spans="1:1" x14ac:dyDescent="0.25">
      <c r="A1419" t="s">
        <v>1483</v>
      </c>
    </row>
    <row r="1420" spans="1:1" x14ac:dyDescent="0.25">
      <c r="A1420" t="s">
        <v>1484</v>
      </c>
    </row>
    <row r="1421" spans="1:1" x14ac:dyDescent="0.25">
      <c r="A1421" t="s">
        <v>1485</v>
      </c>
    </row>
    <row r="1422" spans="1:1" x14ac:dyDescent="0.25">
      <c r="A1422" t="s">
        <v>1486</v>
      </c>
    </row>
    <row r="1423" spans="1:1" x14ac:dyDescent="0.25">
      <c r="A1423" t="s">
        <v>1487</v>
      </c>
    </row>
    <row r="1424" spans="1:1" x14ac:dyDescent="0.25">
      <c r="A1424" t="s">
        <v>1488</v>
      </c>
    </row>
    <row r="1425" spans="1:1" x14ac:dyDescent="0.25">
      <c r="A1425" t="s">
        <v>1489</v>
      </c>
    </row>
    <row r="1426" spans="1:1" x14ac:dyDescent="0.25">
      <c r="A1426" t="s">
        <v>1490</v>
      </c>
    </row>
    <row r="1427" spans="1:1" x14ac:dyDescent="0.25">
      <c r="A1427" t="s">
        <v>1491</v>
      </c>
    </row>
    <row r="1428" spans="1:1" x14ac:dyDescent="0.25">
      <c r="A1428" t="s">
        <v>1492</v>
      </c>
    </row>
    <row r="1429" spans="1:1" x14ac:dyDescent="0.25">
      <c r="A1429" t="s">
        <v>1493</v>
      </c>
    </row>
    <row r="1430" spans="1:1" x14ac:dyDescent="0.25">
      <c r="A1430" t="s">
        <v>1494</v>
      </c>
    </row>
    <row r="1431" spans="1:1" x14ac:dyDescent="0.25">
      <c r="A1431" t="s">
        <v>1495</v>
      </c>
    </row>
    <row r="1432" spans="1:1" x14ac:dyDescent="0.25">
      <c r="A1432" t="s">
        <v>1496</v>
      </c>
    </row>
    <row r="1433" spans="1:1" x14ac:dyDescent="0.25">
      <c r="A1433" t="s">
        <v>1497</v>
      </c>
    </row>
    <row r="1434" spans="1:1" x14ac:dyDescent="0.25">
      <c r="A1434" t="s">
        <v>1498</v>
      </c>
    </row>
    <row r="1435" spans="1:1" x14ac:dyDescent="0.25">
      <c r="A1435" t="s">
        <v>1499</v>
      </c>
    </row>
    <row r="1436" spans="1:1" x14ac:dyDescent="0.25">
      <c r="A1436" t="s">
        <v>1500</v>
      </c>
    </row>
    <row r="1437" spans="1:1" x14ac:dyDescent="0.25">
      <c r="A1437" t="s">
        <v>1501</v>
      </c>
    </row>
    <row r="1438" spans="1:1" x14ac:dyDescent="0.25">
      <c r="A1438" t="s">
        <v>1502</v>
      </c>
    </row>
    <row r="1439" spans="1:1" x14ac:dyDescent="0.25">
      <c r="A1439" t="s">
        <v>1503</v>
      </c>
    </row>
    <row r="1440" spans="1:1" x14ac:dyDescent="0.25">
      <c r="A1440" t="s">
        <v>1504</v>
      </c>
    </row>
    <row r="1441" spans="1:1" x14ac:dyDescent="0.25">
      <c r="A1441" t="s">
        <v>1505</v>
      </c>
    </row>
    <row r="1442" spans="1:1" x14ac:dyDescent="0.25">
      <c r="A1442" t="s">
        <v>1506</v>
      </c>
    </row>
    <row r="1443" spans="1:1" x14ac:dyDescent="0.25">
      <c r="A1443" t="s">
        <v>1507</v>
      </c>
    </row>
    <row r="1444" spans="1:1" x14ac:dyDescent="0.25">
      <c r="A1444" t="s">
        <v>1508</v>
      </c>
    </row>
    <row r="1445" spans="1:1" x14ac:dyDescent="0.25">
      <c r="A1445" t="s">
        <v>1509</v>
      </c>
    </row>
    <row r="1446" spans="1:1" x14ac:dyDescent="0.25">
      <c r="A1446" t="s">
        <v>1510</v>
      </c>
    </row>
    <row r="1447" spans="1:1" x14ac:dyDescent="0.25">
      <c r="A1447" t="s">
        <v>1511</v>
      </c>
    </row>
    <row r="1448" spans="1:1" x14ac:dyDescent="0.25">
      <c r="A1448" t="s">
        <v>1512</v>
      </c>
    </row>
    <row r="1449" spans="1:1" x14ac:dyDescent="0.25">
      <c r="A1449" t="s">
        <v>1513</v>
      </c>
    </row>
    <row r="1450" spans="1:1" x14ac:dyDescent="0.25">
      <c r="A1450" t="s">
        <v>1514</v>
      </c>
    </row>
    <row r="1451" spans="1:1" x14ac:dyDescent="0.25">
      <c r="A1451" t="s">
        <v>1515</v>
      </c>
    </row>
    <row r="1452" spans="1:1" x14ac:dyDescent="0.25">
      <c r="A1452" t="s">
        <v>1516</v>
      </c>
    </row>
    <row r="1453" spans="1:1" x14ac:dyDescent="0.25">
      <c r="A1453" t="s">
        <v>1517</v>
      </c>
    </row>
    <row r="1454" spans="1:1" x14ac:dyDescent="0.25">
      <c r="A1454" t="s">
        <v>1518</v>
      </c>
    </row>
    <row r="1455" spans="1:1" x14ac:dyDescent="0.25">
      <c r="A1455" t="s">
        <v>1519</v>
      </c>
    </row>
    <row r="1456" spans="1:1" x14ac:dyDescent="0.25">
      <c r="A1456" t="s">
        <v>1520</v>
      </c>
    </row>
    <row r="1457" spans="1:1" x14ac:dyDescent="0.25">
      <c r="A1457" t="s">
        <v>1521</v>
      </c>
    </row>
    <row r="1458" spans="1:1" x14ac:dyDescent="0.25">
      <c r="A1458" t="s">
        <v>1522</v>
      </c>
    </row>
    <row r="1459" spans="1:1" x14ac:dyDescent="0.25">
      <c r="A1459" t="s">
        <v>1523</v>
      </c>
    </row>
    <row r="1460" spans="1:1" x14ac:dyDescent="0.25">
      <c r="A1460" t="s">
        <v>1524</v>
      </c>
    </row>
    <row r="1461" spans="1:1" x14ac:dyDescent="0.25">
      <c r="A1461" t="s">
        <v>1525</v>
      </c>
    </row>
    <row r="1462" spans="1:1" x14ac:dyDescent="0.25">
      <c r="A1462" t="s">
        <v>1526</v>
      </c>
    </row>
    <row r="1463" spans="1:1" x14ac:dyDescent="0.25">
      <c r="A1463" t="s">
        <v>1527</v>
      </c>
    </row>
    <row r="1464" spans="1:1" x14ac:dyDescent="0.25">
      <c r="A1464" t="s">
        <v>1528</v>
      </c>
    </row>
    <row r="1465" spans="1:1" x14ac:dyDescent="0.25">
      <c r="A1465" t="s">
        <v>1529</v>
      </c>
    </row>
    <row r="1466" spans="1:1" x14ac:dyDescent="0.25">
      <c r="A1466" t="s">
        <v>1530</v>
      </c>
    </row>
    <row r="1467" spans="1:1" x14ac:dyDescent="0.25">
      <c r="A1467" t="s">
        <v>1531</v>
      </c>
    </row>
    <row r="1468" spans="1:1" x14ac:dyDescent="0.25">
      <c r="A1468" t="s">
        <v>1532</v>
      </c>
    </row>
    <row r="1469" spans="1:1" x14ac:dyDescent="0.25">
      <c r="A1469" t="s">
        <v>1533</v>
      </c>
    </row>
    <row r="1470" spans="1:1" x14ac:dyDescent="0.25">
      <c r="A1470" t="s">
        <v>1534</v>
      </c>
    </row>
    <row r="1471" spans="1:1" x14ac:dyDescent="0.25">
      <c r="A1471" t="s">
        <v>1535</v>
      </c>
    </row>
    <row r="1472" spans="1:1" x14ac:dyDescent="0.25">
      <c r="A1472" t="s">
        <v>1536</v>
      </c>
    </row>
    <row r="1473" spans="1:1" x14ac:dyDescent="0.25">
      <c r="A1473" t="s">
        <v>1537</v>
      </c>
    </row>
    <row r="1474" spans="1:1" x14ac:dyDescent="0.25">
      <c r="A1474" t="s">
        <v>1538</v>
      </c>
    </row>
    <row r="1475" spans="1:1" x14ac:dyDescent="0.25">
      <c r="A1475" t="s">
        <v>1539</v>
      </c>
    </row>
    <row r="1476" spans="1:1" x14ac:dyDescent="0.25">
      <c r="A1476" t="s">
        <v>1540</v>
      </c>
    </row>
    <row r="1477" spans="1:1" x14ac:dyDescent="0.25">
      <c r="A1477" t="s">
        <v>1541</v>
      </c>
    </row>
    <row r="1478" spans="1:1" x14ac:dyDescent="0.25">
      <c r="A1478" t="s">
        <v>1542</v>
      </c>
    </row>
    <row r="1479" spans="1:1" x14ac:dyDescent="0.25">
      <c r="A1479" t="s">
        <v>1543</v>
      </c>
    </row>
    <row r="1480" spans="1:1" x14ac:dyDescent="0.25">
      <c r="A1480" t="s">
        <v>1544</v>
      </c>
    </row>
    <row r="1481" spans="1:1" x14ac:dyDescent="0.25">
      <c r="A1481" t="s">
        <v>1545</v>
      </c>
    </row>
    <row r="1482" spans="1:1" x14ac:dyDescent="0.25">
      <c r="A1482" t="s">
        <v>1546</v>
      </c>
    </row>
    <row r="1483" spans="1:1" x14ac:dyDescent="0.25">
      <c r="A1483" t="s">
        <v>1547</v>
      </c>
    </row>
    <row r="1484" spans="1:1" x14ac:dyDescent="0.25">
      <c r="A1484" t="s">
        <v>1548</v>
      </c>
    </row>
    <row r="1485" spans="1:1" x14ac:dyDescent="0.25">
      <c r="A1485" t="s">
        <v>1549</v>
      </c>
    </row>
    <row r="1486" spans="1:1" x14ac:dyDescent="0.25">
      <c r="A1486" t="s">
        <v>1550</v>
      </c>
    </row>
    <row r="1487" spans="1:1" x14ac:dyDescent="0.25">
      <c r="A1487" t="s">
        <v>1551</v>
      </c>
    </row>
    <row r="1488" spans="1:1" x14ac:dyDescent="0.25">
      <c r="A1488" t="s">
        <v>1552</v>
      </c>
    </row>
    <row r="1489" spans="1:1" x14ac:dyDescent="0.25">
      <c r="A1489" t="s">
        <v>1553</v>
      </c>
    </row>
    <row r="1490" spans="1:1" x14ac:dyDescent="0.25">
      <c r="A1490" t="s">
        <v>1554</v>
      </c>
    </row>
    <row r="1491" spans="1:1" x14ac:dyDescent="0.25">
      <c r="A1491" t="s">
        <v>1555</v>
      </c>
    </row>
    <row r="1492" spans="1:1" x14ac:dyDescent="0.25">
      <c r="A1492" t="s">
        <v>1556</v>
      </c>
    </row>
    <row r="1493" spans="1:1" x14ac:dyDescent="0.25">
      <c r="A1493" t="s">
        <v>1557</v>
      </c>
    </row>
    <row r="1494" spans="1:1" x14ac:dyDescent="0.25">
      <c r="A1494" t="s">
        <v>1558</v>
      </c>
    </row>
    <row r="1495" spans="1:1" x14ac:dyDescent="0.25">
      <c r="A1495" t="s">
        <v>1559</v>
      </c>
    </row>
    <row r="1496" spans="1:1" x14ac:dyDescent="0.25">
      <c r="A1496" t="s">
        <v>1560</v>
      </c>
    </row>
    <row r="1497" spans="1:1" x14ac:dyDescent="0.25">
      <c r="A1497" t="s">
        <v>1561</v>
      </c>
    </row>
    <row r="1498" spans="1:1" x14ac:dyDescent="0.25">
      <c r="A1498" t="s">
        <v>1562</v>
      </c>
    </row>
    <row r="1499" spans="1:1" x14ac:dyDescent="0.25">
      <c r="A1499" t="s">
        <v>1563</v>
      </c>
    </row>
    <row r="1500" spans="1:1" x14ac:dyDescent="0.25">
      <c r="A1500" t="s">
        <v>1564</v>
      </c>
    </row>
    <row r="1501" spans="1:1" x14ac:dyDescent="0.25">
      <c r="A1501" t="s">
        <v>1565</v>
      </c>
    </row>
    <row r="1502" spans="1:1" x14ac:dyDescent="0.25">
      <c r="A1502" t="s">
        <v>1566</v>
      </c>
    </row>
    <row r="1503" spans="1:1" x14ac:dyDescent="0.25">
      <c r="A1503" t="s">
        <v>1567</v>
      </c>
    </row>
    <row r="1504" spans="1:1" x14ac:dyDescent="0.25">
      <c r="A1504" t="s">
        <v>1568</v>
      </c>
    </row>
    <row r="1505" spans="1:1" x14ac:dyDescent="0.25">
      <c r="A1505" t="s">
        <v>1569</v>
      </c>
    </row>
    <row r="1506" spans="1:1" x14ac:dyDescent="0.25">
      <c r="A1506" t="s">
        <v>1570</v>
      </c>
    </row>
    <row r="1507" spans="1:1" x14ac:dyDescent="0.25">
      <c r="A1507" t="s">
        <v>1571</v>
      </c>
    </row>
    <row r="1508" spans="1:1" x14ac:dyDescent="0.25">
      <c r="A1508" t="s">
        <v>1572</v>
      </c>
    </row>
    <row r="1509" spans="1:1" x14ac:dyDescent="0.25">
      <c r="A1509" t="s">
        <v>1573</v>
      </c>
    </row>
    <row r="1510" spans="1:1" x14ac:dyDescent="0.25">
      <c r="A1510" t="s">
        <v>1574</v>
      </c>
    </row>
    <row r="1511" spans="1:1" x14ac:dyDescent="0.25">
      <c r="A1511" t="s">
        <v>1575</v>
      </c>
    </row>
    <row r="1512" spans="1:1" x14ac:dyDescent="0.25">
      <c r="A1512" t="s">
        <v>1576</v>
      </c>
    </row>
    <row r="1513" spans="1:1" x14ac:dyDescent="0.25">
      <c r="A1513" t="s">
        <v>1577</v>
      </c>
    </row>
    <row r="1514" spans="1:1" x14ac:dyDescent="0.25">
      <c r="A1514" t="s">
        <v>1578</v>
      </c>
    </row>
    <row r="1515" spans="1:1" x14ac:dyDescent="0.25">
      <c r="A1515" t="s">
        <v>1579</v>
      </c>
    </row>
    <row r="1516" spans="1:1" x14ac:dyDescent="0.25">
      <c r="A1516" t="s">
        <v>1580</v>
      </c>
    </row>
    <row r="1517" spans="1:1" x14ac:dyDescent="0.25">
      <c r="A1517" t="s">
        <v>1581</v>
      </c>
    </row>
    <row r="1518" spans="1:1" x14ac:dyDescent="0.25">
      <c r="A1518" t="s">
        <v>1582</v>
      </c>
    </row>
    <row r="1519" spans="1:1" x14ac:dyDescent="0.25">
      <c r="A1519" t="s">
        <v>1583</v>
      </c>
    </row>
    <row r="1520" spans="1:1" x14ac:dyDescent="0.25">
      <c r="A1520" t="s">
        <v>1584</v>
      </c>
    </row>
    <row r="1521" spans="1:1" x14ac:dyDescent="0.25">
      <c r="A1521" t="s">
        <v>1585</v>
      </c>
    </row>
    <row r="1522" spans="1:1" x14ac:dyDescent="0.25">
      <c r="A1522" t="s">
        <v>1586</v>
      </c>
    </row>
    <row r="1523" spans="1:1" x14ac:dyDescent="0.25">
      <c r="A1523" t="s">
        <v>1587</v>
      </c>
    </row>
    <row r="1524" spans="1:1" x14ac:dyDescent="0.25">
      <c r="A1524" t="s">
        <v>1588</v>
      </c>
    </row>
    <row r="1525" spans="1:1" x14ac:dyDescent="0.25">
      <c r="A1525" t="s">
        <v>1589</v>
      </c>
    </row>
    <row r="1526" spans="1:1" x14ac:dyDescent="0.25">
      <c r="A1526" t="s">
        <v>1590</v>
      </c>
    </row>
    <row r="1527" spans="1:1" x14ac:dyDescent="0.25">
      <c r="A1527" t="s">
        <v>1591</v>
      </c>
    </row>
    <row r="1528" spans="1:1" x14ac:dyDescent="0.25">
      <c r="A1528" t="s">
        <v>1592</v>
      </c>
    </row>
    <row r="1529" spans="1:1" x14ac:dyDescent="0.25">
      <c r="A1529" t="s">
        <v>1593</v>
      </c>
    </row>
    <row r="1530" spans="1:1" x14ac:dyDescent="0.25">
      <c r="A1530" t="s">
        <v>1594</v>
      </c>
    </row>
    <row r="1531" spans="1:1" x14ac:dyDescent="0.25">
      <c r="A1531" t="s">
        <v>1595</v>
      </c>
    </row>
    <row r="1532" spans="1:1" x14ac:dyDescent="0.25">
      <c r="A1532" t="s">
        <v>1596</v>
      </c>
    </row>
    <row r="1533" spans="1:1" x14ac:dyDescent="0.25">
      <c r="A1533" t="s">
        <v>1597</v>
      </c>
    </row>
    <row r="1534" spans="1:1" x14ac:dyDescent="0.25">
      <c r="A1534" t="s">
        <v>1598</v>
      </c>
    </row>
    <row r="1535" spans="1:1" x14ac:dyDescent="0.25">
      <c r="A1535" t="s">
        <v>1599</v>
      </c>
    </row>
    <row r="1536" spans="1:1" x14ac:dyDescent="0.25">
      <c r="A1536" t="s">
        <v>1600</v>
      </c>
    </row>
    <row r="1537" spans="1:1" x14ac:dyDescent="0.25">
      <c r="A1537" t="s">
        <v>1601</v>
      </c>
    </row>
    <row r="1538" spans="1:1" x14ac:dyDescent="0.25">
      <c r="A1538" t="s">
        <v>1602</v>
      </c>
    </row>
    <row r="1539" spans="1:1" x14ac:dyDescent="0.25">
      <c r="A1539" t="s">
        <v>1603</v>
      </c>
    </row>
    <row r="1540" spans="1:1" x14ac:dyDescent="0.25">
      <c r="A1540" t="s">
        <v>1604</v>
      </c>
    </row>
    <row r="1541" spans="1:1" x14ac:dyDescent="0.25">
      <c r="A1541" t="s">
        <v>1605</v>
      </c>
    </row>
    <row r="1542" spans="1:1" x14ac:dyDescent="0.25">
      <c r="A1542" t="s">
        <v>1606</v>
      </c>
    </row>
    <row r="1543" spans="1:1" x14ac:dyDescent="0.25">
      <c r="A1543" t="s">
        <v>1607</v>
      </c>
    </row>
    <row r="1544" spans="1:1" x14ac:dyDescent="0.25">
      <c r="A1544" t="s">
        <v>1608</v>
      </c>
    </row>
    <row r="1545" spans="1:1" x14ac:dyDescent="0.25">
      <c r="A1545" t="s">
        <v>1609</v>
      </c>
    </row>
    <row r="1546" spans="1:1" x14ac:dyDescent="0.25">
      <c r="A1546" t="s">
        <v>1610</v>
      </c>
    </row>
    <row r="1547" spans="1:1" x14ac:dyDescent="0.25">
      <c r="A1547" t="s">
        <v>1611</v>
      </c>
    </row>
    <row r="1548" spans="1:1" x14ac:dyDescent="0.25">
      <c r="A1548" t="s">
        <v>1612</v>
      </c>
    </row>
    <row r="1549" spans="1:1" x14ac:dyDescent="0.25">
      <c r="A1549" t="s">
        <v>1613</v>
      </c>
    </row>
    <row r="1550" spans="1:1" x14ac:dyDescent="0.25">
      <c r="A1550" t="s">
        <v>1614</v>
      </c>
    </row>
    <row r="1551" spans="1:1" x14ac:dyDescent="0.25">
      <c r="A1551" t="s">
        <v>1615</v>
      </c>
    </row>
    <row r="1552" spans="1:1" x14ac:dyDescent="0.25">
      <c r="A1552" t="s">
        <v>1616</v>
      </c>
    </row>
    <row r="1553" spans="1:1" x14ac:dyDescent="0.25">
      <c r="A1553" t="s">
        <v>1617</v>
      </c>
    </row>
    <row r="1554" spans="1:1" x14ac:dyDescent="0.25">
      <c r="A1554" t="s">
        <v>1618</v>
      </c>
    </row>
    <row r="1555" spans="1:1" x14ac:dyDescent="0.25">
      <c r="A1555" t="s">
        <v>1619</v>
      </c>
    </row>
    <row r="1556" spans="1:1" x14ac:dyDescent="0.25">
      <c r="A1556" t="s">
        <v>1620</v>
      </c>
    </row>
    <row r="1557" spans="1:1" x14ac:dyDescent="0.25">
      <c r="A1557" t="s">
        <v>1621</v>
      </c>
    </row>
    <row r="1558" spans="1:1" x14ac:dyDescent="0.25">
      <c r="A1558" t="s">
        <v>1622</v>
      </c>
    </row>
    <row r="1559" spans="1:1" x14ac:dyDescent="0.25">
      <c r="A1559" t="s">
        <v>1623</v>
      </c>
    </row>
    <row r="1560" spans="1:1" x14ac:dyDescent="0.25">
      <c r="A1560" t="s">
        <v>1624</v>
      </c>
    </row>
    <row r="1561" spans="1:1" x14ac:dyDescent="0.25">
      <c r="A1561" t="s">
        <v>1625</v>
      </c>
    </row>
    <row r="1562" spans="1:1" x14ac:dyDescent="0.25">
      <c r="A1562" t="s">
        <v>1626</v>
      </c>
    </row>
    <row r="1563" spans="1:1" x14ac:dyDescent="0.25">
      <c r="A1563" t="s">
        <v>1627</v>
      </c>
    </row>
    <row r="1564" spans="1:1" x14ac:dyDescent="0.25">
      <c r="A1564" t="s">
        <v>1628</v>
      </c>
    </row>
    <row r="1565" spans="1:1" x14ac:dyDescent="0.25">
      <c r="A1565" t="s">
        <v>1629</v>
      </c>
    </row>
    <row r="1566" spans="1:1" x14ac:dyDescent="0.25">
      <c r="A1566" t="s">
        <v>1630</v>
      </c>
    </row>
    <row r="1567" spans="1:1" x14ac:dyDescent="0.25">
      <c r="A1567" t="s">
        <v>1631</v>
      </c>
    </row>
    <row r="1568" spans="1:1" x14ac:dyDescent="0.25">
      <c r="A1568" t="s">
        <v>1632</v>
      </c>
    </row>
    <row r="1569" spans="1:1" x14ac:dyDescent="0.25">
      <c r="A1569" t="s">
        <v>1633</v>
      </c>
    </row>
    <row r="1570" spans="1:1" x14ac:dyDescent="0.25">
      <c r="A1570" t="s">
        <v>1634</v>
      </c>
    </row>
    <row r="1571" spans="1:1" x14ac:dyDescent="0.25">
      <c r="A1571" t="s">
        <v>1635</v>
      </c>
    </row>
    <row r="1572" spans="1:1" x14ac:dyDescent="0.25">
      <c r="A1572" t="s">
        <v>1636</v>
      </c>
    </row>
    <row r="1573" spans="1:1" x14ac:dyDescent="0.25">
      <c r="A1573" t="s">
        <v>1637</v>
      </c>
    </row>
    <row r="1574" spans="1:1" x14ac:dyDescent="0.25">
      <c r="A1574" t="s">
        <v>1638</v>
      </c>
    </row>
    <row r="1575" spans="1:1" x14ac:dyDescent="0.25">
      <c r="A1575" t="s">
        <v>1639</v>
      </c>
    </row>
    <row r="1576" spans="1:1" x14ac:dyDescent="0.25">
      <c r="A1576" t="s">
        <v>1640</v>
      </c>
    </row>
    <row r="1577" spans="1:1" x14ac:dyDescent="0.25">
      <c r="A1577" t="s">
        <v>1641</v>
      </c>
    </row>
    <row r="1578" spans="1:1" x14ac:dyDescent="0.25">
      <c r="A1578" t="s">
        <v>1642</v>
      </c>
    </row>
    <row r="1579" spans="1:1" x14ac:dyDescent="0.25">
      <c r="A1579" t="s">
        <v>1643</v>
      </c>
    </row>
    <row r="1580" spans="1:1" x14ac:dyDescent="0.25">
      <c r="A1580" t="s">
        <v>1644</v>
      </c>
    </row>
    <row r="1581" spans="1:1" x14ac:dyDescent="0.25">
      <c r="A1581" t="s">
        <v>1645</v>
      </c>
    </row>
    <row r="1582" spans="1:1" x14ac:dyDescent="0.25">
      <c r="A1582" t="s">
        <v>1646</v>
      </c>
    </row>
    <row r="1583" spans="1:1" x14ac:dyDescent="0.25">
      <c r="A1583" t="s">
        <v>1647</v>
      </c>
    </row>
    <row r="1584" spans="1:1" x14ac:dyDescent="0.25">
      <c r="A1584" t="s">
        <v>1648</v>
      </c>
    </row>
    <row r="1585" spans="1:1" x14ac:dyDescent="0.25">
      <c r="A1585" t="s">
        <v>1649</v>
      </c>
    </row>
    <row r="1586" spans="1:1" x14ac:dyDescent="0.25">
      <c r="A1586" t="s">
        <v>1650</v>
      </c>
    </row>
    <row r="1587" spans="1:1" x14ac:dyDescent="0.25">
      <c r="A1587" t="s">
        <v>1651</v>
      </c>
    </row>
    <row r="1588" spans="1:1" x14ac:dyDescent="0.25">
      <c r="A1588" t="s">
        <v>1652</v>
      </c>
    </row>
    <row r="1589" spans="1:1" x14ac:dyDescent="0.25">
      <c r="A1589" t="s">
        <v>1653</v>
      </c>
    </row>
    <row r="1590" spans="1:1" x14ac:dyDescent="0.25">
      <c r="A1590" t="s">
        <v>1654</v>
      </c>
    </row>
    <row r="1591" spans="1:1" x14ac:dyDescent="0.25">
      <c r="A1591" t="s">
        <v>1655</v>
      </c>
    </row>
    <row r="1592" spans="1:1" x14ac:dyDescent="0.25">
      <c r="A1592" t="s">
        <v>1656</v>
      </c>
    </row>
    <row r="1593" spans="1:1" x14ac:dyDescent="0.25">
      <c r="A1593" t="s">
        <v>1657</v>
      </c>
    </row>
    <row r="1594" spans="1:1" x14ac:dyDescent="0.25">
      <c r="A1594" t="s">
        <v>1658</v>
      </c>
    </row>
    <row r="1595" spans="1:1" x14ac:dyDescent="0.25">
      <c r="A1595" t="s">
        <v>1659</v>
      </c>
    </row>
    <row r="1596" spans="1:1" x14ac:dyDescent="0.25">
      <c r="A1596" t="s">
        <v>1660</v>
      </c>
    </row>
    <row r="1597" spans="1:1" x14ac:dyDescent="0.25">
      <c r="A1597" t="s">
        <v>1661</v>
      </c>
    </row>
    <row r="1598" spans="1:1" x14ac:dyDescent="0.25">
      <c r="A1598" t="s">
        <v>1662</v>
      </c>
    </row>
    <row r="1599" spans="1:1" x14ac:dyDescent="0.25">
      <c r="A1599" t="s">
        <v>1663</v>
      </c>
    </row>
    <row r="1600" spans="1:1" x14ac:dyDescent="0.25">
      <c r="A1600" t="s">
        <v>1664</v>
      </c>
    </row>
    <row r="1601" spans="1:1" x14ac:dyDescent="0.25">
      <c r="A1601" t="s">
        <v>1665</v>
      </c>
    </row>
    <row r="1602" spans="1:1" x14ac:dyDescent="0.25">
      <c r="A1602" t="s">
        <v>1666</v>
      </c>
    </row>
    <row r="1603" spans="1:1" x14ac:dyDescent="0.25">
      <c r="A1603" t="s">
        <v>1667</v>
      </c>
    </row>
    <row r="1604" spans="1:1" x14ac:dyDescent="0.25">
      <c r="A1604" t="s">
        <v>1668</v>
      </c>
    </row>
    <row r="1605" spans="1:1" x14ac:dyDescent="0.25">
      <c r="A1605" t="s">
        <v>1669</v>
      </c>
    </row>
    <row r="1606" spans="1:1" x14ac:dyDescent="0.25">
      <c r="A1606" t="s">
        <v>1670</v>
      </c>
    </row>
    <row r="1607" spans="1:1" x14ac:dyDescent="0.25">
      <c r="A1607" t="s">
        <v>1671</v>
      </c>
    </row>
    <row r="1608" spans="1:1" x14ac:dyDescent="0.25">
      <c r="A1608" t="s">
        <v>1672</v>
      </c>
    </row>
    <row r="1609" spans="1:1" x14ac:dyDescent="0.25">
      <c r="A1609" t="s">
        <v>1673</v>
      </c>
    </row>
    <row r="1610" spans="1:1" x14ac:dyDescent="0.25">
      <c r="A1610" t="s">
        <v>1674</v>
      </c>
    </row>
    <row r="1611" spans="1:1" x14ac:dyDescent="0.25">
      <c r="A1611" t="s">
        <v>1675</v>
      </c>
    </row>
    <row r="1612" spans="1:1" x14ac:dyDescent="0.25">
      <c r="A1612" t="s">
        <v>1676</v>
      </c>
    </row>
    <row r="1613" spans="1:1" x14ac:dyDescent="0.25">
      <c r="A1613" t="s">
        <v>1677</v>
      </c>
    </row>
    <row r="1614" spans="1:1" x14ac:dyDescent="0.25">
      <c r="A1614" t="s">
        <v>1678</v>
      </c>
    </row>
    <row r="1615" spans="1:1" x14ac:dyDescent="0.25">
      <c r="A1615" t="s">
        <v>1679</v>
      </c>
    </row>
    <row r="1616" spans="1:1" x14ac:dyDescent="0.25">
      <c r="A1616" t="s">
        <v>1680</v>
      </c>
    </row>
    <row r="1617" spans="1:1" x14ac:dyDescent="0.25">
      <c r="A1617" t="s">
        <v>1681</v>
      </c>
    </row>
    <row r="1618" spans="1:1" x14ac:dyDescent="0.25">
      <c r="A1618" t="s">
        <v>1682</v>
      </c>
    </row>
    <row r="1619" spans="1:1" x14ac:dyDescent="0.25">
      <c r="A1619" t="s">
        <v>1683</v>
      </c>
    </row>
    <row r="1620" spans="1:1" x14ac:dyDescent="0.25">
      <c r="A1620" t="s">
        <v>1684</v>
      </c>
    </row>
    <row r="1621" spans="1:1" x14ac:dyDescent="0.25">
      <c r="A1621" t="s">
        <v>1685</v>
      </c>
    </row>
    <row r="1622" spans="1:1" x14ac:dyDescent="0.25">
      <c r="A1622" t="s">
        <v>1686</v>
      </c>
    </row>
    <row r="1623" spans="1:1" x14ac:dyDescent="0.25">
      <c r="A1623" t="s">
        <v>1687</v>
      </c>
    </row>
    <row r="1624" spans="1:1" x14ac:dyDescent="0.25">
      <c r="A1624" t="s">
        <v>1688</v>
      </c>
    </row>
    <row r="1625" spans="1:1" x14ac:dyDescent="0.25">
      <c r="A1625" t="s">
        <v>1689</v>
      </c>
    </row>
    <row r="1626" spans="1:1" x14ac:dyDescent="0.25">
      <c r="A1626" t="s">
        <v>1690</v>
      </c>
    </row>
    <row r="1627" spans="1:1" x14ac:dyDescent="0.25">
      <c r="A1627" t="s">
        <v>1691</v>
      </c>
    </row>
    <row r="1628" spans="1:1" x14ac:dyDescent="0.25">
      <c r="A1628" t="s">
        <v>1692</v>
      </c>
    </row>
    <row r="1629" spans="1:1" x14ac:dyDescent="0.25">
      <c r="A1629" t="s">
        <v>1693</v>
      </c>
    </row>
    <row r="1630" spans="1:1" x14ac:dyDescent="0.25">
      <c r="A1630" t="s">
        <v>1694</v>
      </c>
    </row>
    <row r="1631" spans="1:1" x14ac:dyDescent="0.25">
      <c r="A1631" t="s">
        <v>1695</v>
      </c>
    </row>
    <row r="1632" spans="1:1" x14ac:dyDescent="0.25">
      <c r="A1632" t="s">
        <v>1696</v>
      </c>
    </row>
    <row r="1633" spans="1:1" x14ac:dyDescent="0.25">
      <c r="A1633" t="s">
        <v>1697</v>
      </c>
    </row>
    <row r="1634" spans="1:1" x14ac:dyDescent="0.25">
      <c r="A1634" t="s">
        <v>1698</v>
      </c>
    </row>
    <row r="1635" spans="1:1" x14ac:dyDescent="0.25">
      <c r="A1635" t="s">
        <v>1699</v>
      </c>
    </row>
    <row r="1636" spans="1:1" x14ac:dyDescent="0.25">
      <c r="A1636" t="s">
        <v>1700</v>
      </c>
    </row>
    <row r="1637" spans="1:1" x14ac:dyDescent="0.25">
      <c r="A1637" t="s">
        <v>1701</v>
      </c>
    </row>
    <row r="1638" spans="1:1" x14ac:dyDescent="0.25">
      <c r="A1638" t="s">
        <v>1702</v>
      </c>
    </row>
    <row r="1639" spans="1:1" x14ac:dyDescent="0.25">
      <c r="A1639" t="s">
        <v>1703</v>
      </c>
    </row>
    <row r="1640" spans="1:1" x14ac:dyDescent="0.25">
      <c r="A1640" t="s">
        <v>1704</v>
      </c>
    </row>
    <row r="1641" spans="1:1" x14ac:dyDescent="0.25">
      <c r="A1641" t="s">
        <v>1705</v>
      </c>
    </row>
    <row r="1642" spans="1:1" x14ac:dyDescent="0.25">
      <c r="A1642" t="s">
        <v>1706</v>
      </c>
    </row>
    <row r="1643" spans="1:1" x14ac:dyDescent="0.25">
      <c r="A1643" t="s">
        <v>1707</v>
      </c>
    </row>
    <row r="1644" spans="1:1" x14ac:dyDescent="0.25">
      <c r="A1644" t="s">
        <v>1708</v>
      </c>
    </row>
    <row r="1645" spans="1:1" x14ac:dyDescent="0.25">
      <c r="A1645" t="s">
        <v>1709</v>
      </c>
    </row>
    <row r="1646" spans="1:1" x14ac:dyDescent="0.25">
      <c r="A1646" t="s">
        <v>1710</v>
      </c>
    </row>
    <row r="1647" spans="1:1" x14ac:dyDescent="0.25">
      <c r="A1647" t="s">
        <v>1711</v>
      </c>
    </row>
    <row r="1648" spans="1:1" x14ac:dyDescent="0.25">
      <c r="A1648" t="s">
        <v>1712</v>
      </c>
    </row>
    <row r="1649" spans="1:1" x14ac:dyDescent="0.25">
      <c r="A1649" t="s">
        <v>1713</v>
      </c>
    </row>
    <row r="1650" spans="1:1" x14ac:dyDescent="0.25">
      <c r="A1650" t="s">
        <v>1714</v>
      </c>
    </row>
    <row r="1651" spans="1:1" x14ac:dyDescent="0.25">
      <c r="A1651" t="s">
        <v>1715</v>
      </c>
    </row>
    <row r="1652" spans="1:1" x14ac:dyDescent="0.25">
      <c r="A1652" t="s">
        <v>1716</v>
      </c>
    </row>
    <row r="1653" spans="1:1" x14ac:dyDescent="0.25">
      <c r="A1653" t="s">
        <v>1717</v>
      </c>
    </row>
    <row r="1654" spans="1:1" x14ac:dyDescent="0.25">
      <c r="A1654" t="s">
        <v>1718</v>
      </c>
    </row>
    <row r="1655" spans="1:1" x14ac:dyDescent="0.25">
      <c r="A1655" t="s">
        <v>1719</v>
      </c>
    </row>
    <row r="1656" spans="1:1" x14ac:dyDescent="0.25">
      <c r="A1656" t="s">
        <v>1720</v>
      </c>
    </row>
    <row r="1657" spans="1:1" x14ac:dyDescent="0.25">
      <c r="A1657" t="s">
        <v>1721</v>
      </c>
    </row>
    <row r="1658" spans="1:1" x14ac:dyDescent="0.25">
      <c r="A1658" t="s">
        <v>1722</v>
      </c>
    </row>
    <row r="1659" spans="1:1" x14ac:dyDescent="0.25">
      <c r="A1659" t="s">
        <v>1723</v>
      </c>
    </row>
    <row r="1660" spans="1:1" x14ac:dyDescent="0.25">
      <c r="A1660" t="s">
        <v>1724</v>
      </c>
    </row>
    <row r="1661" spans="1:1" x14ac:dyDescent="0.25">
      <c r="A1661" t="s">
        <v>1725</v>
      </c>
    </row>
    <row r="1662" spans="1:1" x14ac:dyDescent="0.25">
      <c r="A1662" t="s">
        <v>1726</v>
      </c>
    </row>
    <row r="1663" spans="1:1" x14ac:dyDescent="0.25">
      <c r="A1663" t="s">
        <v>1727</v>
      </c>
    </row>
    <row r="1664" spans="1:1" x14ac:dyDescent="0.25">
      <c r="A1664" t="s">
        <v>1728</v>
      </c>
    </row>
    <row r="1665" spans="1:1" x14ac:dyDescent="0.25">
      <c r="A1665" t="s">
        <v>1729</v>
      </c>
    </row>
    <row r="1666" spans="1:1" x14ac:dyDescent="0.25">
      <c r="A1666" t="s">
        <v>1730</v>
      </c>
    </row>
    <row r="1667" spans="1:1" x14ac:dyDescent="0.25">
      <c r="A1667" t="s">
        <v>1731</v>
      </c>
    </row>
    <row r="1668" spans="1:1" x14ac:dyDescent="0.25">
      <c r="A1668" t="s">
        <v>1732</v>
      </c>
    </row>
    <row r="1669" spans="1:1" x14ac:dyDescent="0.25">
      <c r="A1669" t="s">
        <v>1733</v>
      </c>
    </row>
    <row r="1670" spans="1:1" x14ac:dyDescent="0.25">
      <c r="A1670" t="s">
        <v>1734</v>
      </c>
    </row>
    <row r="1671" spans="1:1" x14ac:dyDescent="0.25">
      <c r="A1671" t="s">
        <v>1735</v>
      </c>
    </row>
    <row r="1672" spans="1:1" x14ac:dyDescent="0.25">
      <c r="A1672" t="s">
        <v>1736</v>
      </c>
    </row>
    <row r="1673" spans="1:1" x14ac:dyDescent="0.25">
      <c r="A1673" t="s">
        <v>1737</v>
      </c>
    </row>
    <row r="1674" spans="1:1" x14ac:dyDescent="0.25">
      <c r="A1674" t="s">
        <v>1738</v>
      </c>
    </row>
    <row r="1675" spans="1:1" x14ac:dyDescent="0.25">
      <c r="A1675" t="s">
        <v>1739</v>
      </c>
    </row>
    <row r="1676" spans="1:1" x14ac:dyDescent="0.25">
      <c r="A1676" t="s">
        <v>1740</v>
      </c>
    </row>
    <row r="1677" spans="1:1" x14ac:dyDescent="0.25">
      <c r="A1677" t="s">
        <v>1741</v>
      </c>
    </row>
    <row r="1678" spans="1:1" x14ac:dyDescent="0.25">
      <c r="A1678" t="s">
        <v>1742</v>
      </c>
    </row>
    <row r="1679" spans="1:1" x14ac:dyDescent="0.25">
      <c r="A1679" t="s">
        <v>1743</v>
      </c>
    </row>
    <row r="1680" spans="1:1" x14ac:dyDescent="0.25">
      <c r="A1680" t="s">
        <v>1744</v>
      </c>
    </row>
    <row r="1681" spans="1:1" x14ac:dyDescent="0.25">
      <c r="A1681" t="s">
        <v>1745</v>
      </c>
    </row>
    <row r="1682" spans="1:1" x14ac:dyDescent="0.25">
      <c r="A1682" t="s">
        <v>1746</v>
      </c>
    </row>
    <row r="1683" spans="1:1" x14ac:dyDescent="0.25">
      <c r="A1683" t="s">
        <v>1747</v>
      </c>
    </row>
    <row r="1684" spans="1:1" x14ac:dyDescent="0.25">
      <c r="A1684" t="s">
        <v>1748</v>
      </c>
    </row>
    <row r="1685" spans="1:1" x14ac:dyDescent="0.25">
      <c r="A1685" t="s">
        <v>1749</v>
      </c>
    </row>
    <row r="1686" spans="1:1" x14ac:dyDescent="0.25">
      <c r="A1686" t="s">
        <v>1750</v>
      </c>
    </row>
    <row r="1687" spans="1:1" x14ac:dyDescent="0.25">
      <c r="A1687" t="s">
        <v>1751</v>
      </c>
    </row>
    <row r="1688" spans="1:1" x14ac:dyDescent="0.25">
      <c r="A1688" t="s">
        <v>1752</v>
      </c>
    </row>
    <row r="1689" spans="1:1" x14ac:dyDescent="0.25">
      <c r="A1689" t="s">
        <v>1753</v>
      </c>
    </row>
    <row r="1690" spans="1:1" x14ac:dyDescent="0.25">
      <c r="A1690" t="s">
        <v>1754</v>
      </c>
    </row>
    <row r="1691" spans="1:1" x14ac:dyDescent="0.25">
      <c r="A1691" t="s">
        <v>1755</v>
      </c>
    </row>
    <row r="1692" spans="1:1" x14ac:dyDescent="0.25">
      <c r="A1692" t="s">
        <v>1756</v>
      </c>
    </row>
    <row r="1693" spans="1:1" x14ac:dyDescent="0.25">
      <c r="A1693" t="s">
        <v>1757</v>
      </c>
    </row>
    <row r="1694" spans="1:1" x14ac:dyDescent="0.25">
      <c r="A1694" t="s">
        <v>1758</v>
      </c>
    </row>
    <row r="1695" spans="1:1" x14ac:dyDescent="0.25">
      <c r="A1695" t="s">
        <v>1759</v>
      </c>
    </row>
    <row r="1696" spans="1:1" x14ac:dyDescent="0.25">
      <c r="A1696" t="s">
        <v>1760</v>
      </c>
    </row>
    <row r="1697" spans="1:1" x14ac:dyDescent="0.25">
      <c r="A1697" t="s">
        <v>1761</v>
      </c>
    </row>
    <row r="1698" spans="1:1" x14ac:dyDescent="0.25">
      <c r="A1698" t="s">
        <v>1762</v>
      </c>
    </row>
    <row r="1699" spans="1:1" x14ac:dyDescent="0.25">
      <c r="A1699" t="s">
        <v>1763</v>
      </c>
    </row>
    <row r="1700" spans="1:1" x14ac:dyDescent="0.25">
      <c r="A1700" t="s">
        <v>1764</v>
      </c>
    </row>
    <row r="1701" spans="1:1" x14ac:dyDescent="0.25">
      <c r="A1701" t="s">
        <v>1765</v>
      </c>
    </row>
    <row r="1702" spans="1:1" x14ac:dyDescent="0.25">
      <c r="A1702" t="s">
        <v>1766</v>
      </c>
    </row>
    <row r="1703" spans="1:1" x14ac:dyDescent="0.25">
      <c r="A1703" t="s">
        <v>1767</v>
      </c>
    </row>
    <row r="1704" spans="1:1" x14ac:dyDescent="0.25">
      <c r="A1704" t="s">
        <v>1768</v>
      </c>
    </row>
    <row r="1705" spans="1:1" x14ac:dyDescent="0.25">
      <c r="A1705" t="s">
        <v>1769</v>
      </c>
    </row>
    <row r="1706" spans="1:1" x14ac:dyDescent="0.25">
      <c r="A1706" t="s">
        <v>1770</v>
      </c>
    </row>
    <row r="1707" spans="1:1" x14ac:dyDescent="0.25">
      <c r="A1707" t="s">
        <v>1771</v>
      </c>
    </row>
    <row r="1708" spans="1:1" x14ac:dyDescent="0.25">
      <c r="A1708" t="s">
        <v>1772</v>
      </c>
    </row>
    <row r="1709" spans="1:1" x14ac:dyDescent="0.25">
      <c r="A1709" t="s">
        <v>1773</v>
      </c>
    </row>
    <row r="1710" spans="1:1" x14ac:dyDescent="0.25">
      <c r="A1710" t="s">
        <v>1774</v>
      </c>
    </row>
    <row r="1711" spans="1:1" x14ac:dyDescent="0.25">
      <c r="A1711" t="s">
        <v>1775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870B7-D90C-4219-800C-9A1300D4BC3A}">
  <sheetPr codeName="Sheet16"/>
  <dimension ref="A2:A1711"/>
  <sheetViews>
    <sheetView workbookViewId="0"/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92</v>
      </c>
    </row>
    <row r="29" spans="1:1" x14ac:dyDescent="0.25">
      <c r="A29" t="s">
        <v>93</v>
      </c>
    </row>
    <row r="30" spans="1:1" x14ac:dyDescent="0.25">
      <c r="A30" t="s">
        <v>94</v>
      </c>
    </row>
    <row r="31" spans="1:1" x14ac:dyDescent="0.25">
      <c r="A31" t="s">
        <v>95</v>
      </c>
    </row>
    <row r="32" spans="1:1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234</v>
      </c>
    </row>
    <row r="171" spans="1:1" x14ac:dyDescent="0.25">
      <c r="A171" t="s">
        <v>235</v>
      </c>
    </row>
    <row r="172" spans="1:1" x14ac:dyDescent="0.25">
      <c r="A172" t="s">
        <v>236</v>
      </c>
    </row>
    <row r="173" spans="1:1" x14ac:dyDescent="0.25">
      <c r="A173" t="s">
        <v>237</v>
      </c>
    </row>
    <row r="174" spans="1:1" x14ac:dyDescent="0.25">
      <c r="A174" t="s">
        <v>238</v>
      </c>
    </row>
    <row r="175" spans="1:1" x14ac:dyDescent="0.25">
      <c r="A175" t="s">
        <v>239</v>
      </c>
    </row>
    <row r="176" spans="1:1" x14ac:dyDescent="0.25">
      <c r="A176" t="s">
        <v>240</v>
      </c>
    </row>
    <row r="177" spans="1:1" x14ac:dyDescent="0.25">
      <c r="A177" t="s">
        <v>241</v>
      </c>
    </row>
    <row r="178" spans="1:1" x14ac:dyDescent="0.25">
      <c r="A178" t="s">
        <v>242</v>
      </c>
    </row>
    <row r="179" spans="1:1" x14ac:dyDescent="0.25">
      <c r="A179" t="s">
        <v>243</v>
      </c>
    </row>
    <row r="180" spans="1:1" x14ac:dyDescent="0.25">
      <c r="A180" t="s">
        <v>244</v>
      </c>
    </row>
    <row r="181" spans="1:1" x14ac:dyDescent="0.25">
      <c r="A181" t="s">
        <v>245</v>
      </c>
    </row>
    <row r="182" spans="1:1" x14ac:dyDescent="0.25">
      <c r="A182" t="s">
        <v>246</v>
      </c>
    </row>
    <row r="183" spans="1:1" x14ac:dyDescent="0.25">
      <c r="A183" t="s">
        <v>247</v>
      </c>
    </row>
    <row r="184" spans="1:1" x14ac:dyDescent="0.25">
      <c r="A184" t="s">
        <v>248</v>
      </c>
    </row>
    <row r="185" spans="1:1" x14ac:dyDescent="0.25">
      <c r="A185" t="s">
        <v>249</v>
      </c>
    </row>
    <row r="186" spans="1:1" x14ac:dyDescent="0.25">
      <c r="A186" t="s">
        <v>250</v>
      </c>
    </row>
    <row r="187" spans="1:1" x14ac:dyDescent="0.25">
      <c r="A187" t="s">
        <v>251</v>
      </c>
    </row>
    <row r="188" spans="1:1" x14ac:dyDescent="0.25">
      <c r="A188" t="s">
        <v>252</v>
      </c>
    </row>
    <row r="189" spans="1:1" x14ac:dyDescent="0.25">
      <c r="A189" t="s">
        <v>253</v>
      </c>
    </row>
    <row r="190" spans="1:1" x14ac:dyDescent="0.25">
      <c r="A190" t="s">
        <v>254</v>
      </c>
    </row>
    <row r="191" spans="1:1" x14ac:dyDescent="0.25">
      <c r="A191" t="s">
        <v>255</v>
      </c>
    </row>
    <row r="192" spans="1:1" x14ac:dyDescent="0.25">
      <c r="A192" t="s">
        <v>256</v>
      </c>
    </row>
    <row r="193" spans="1:1" x14ac:dyDescent="0.25">
      <c r="A193" t="s">
        <v>257</v>
      </c>
    </row>
    <row r="194" spans="1:1" x14ac:dyDescent="0.25">
      <c r="A194" t="s">
        <v>258</v>
      </c>
    </row>
    <row r="195" spans="1:1" x14ac:dyDescent="0.25">
      <c r="A195" t="s">
        <v>259</v>
      </c>
    </row>
    <row r="196" spans="1:1" x14ac:dyDescent="0.25">
      <c r="A196" t="s">
        <v>260</v>
      </c>
    </row>
    <row r="197" spans="1:1" x14ac:dyDescent="0.25">
      <c r="A197" t="s">
        <v>261</v>
      </c>
    </row>
    <row r="198" spans="1:1" x14ac:dyDescent="0.25">
      <c r="A198" t="s">
        <v>262</v>
      </c>
    </row>
    <row r="199" spans="1:1" x14ac:dyDescent="0.25">
      <c r="A199" t="s">
        <v>263</v>
      </c>
    </row>
    <row r="200" spans="1:1" x14ac:dyDescent="0.25">
      <c r="A200" t="s">
        <v>264</v>
      </c>
    </row>
    <row r="201" spans="1:1" x14ac:dyDescent="0.25">
      <c r="A201" t="s">
        <v>265</v>
      </c>
    </row>
    <row r="202" spans="1:1" x14ac:dyDescent="0.25">
      <c r="A202" t="s">
        <v>266</v>
      </c>
    </row>
    <row r="203" spans="1:1" x14ac:dyDescent="0.25">
      <c r="A203" t="s">
        <v>267</v>
      </c>
    </row>
    <row r="204" spans="1:1" x14ac:dyDescent="0.25">
      <c r="A204" t="s">
        <v>268</v>
      </c>
    </row>
    <row r="205" spans="1:1" x14ac:dyDescent="0.25">
      <c r="A205" t="s">
        <v>269</v>
      </c>
    </row>
    <row r="206" spans="1:1" x14ac:dyDescent="0.25">
      <c r="A206" t="s">
        <v>270</v>
      </c>
    </row>
    <row r="207" spans="1:1" x14ac:dyDescent="0.25">
      <c r="A207" t="s">
        <v>271</v>
      </c>
    </row>
    <row r="208" spans="1:1" x14ac:dyDescent="0.25">
      <c r="A208" t="s">
        <v>272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277</v>
      </c>
    </row>
    <row r="214" spans="1:1" x14ac:dyDescent="0.25">
      <c r="A214" t="s">
        <v>278</v>
      </c>
    </row>
    <row r="215" spans="1:1" x14ac:dyDescent="0.25">
      <c r="A215" t="s">
        <v>279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282</v>
      </c>
    </row>
    <row r="219" spans="1:1" x14ac:dyDescent="0.25">
      <c r="A219" t="s">
        <v>283</v>
      </c>
    </row>
    <row r="220" spans="1:1" x14ac:dyDescent="0.25">
      <c r="A220" t="s">
        <v>284</v>
      </c>
    </row>
    <row r="221" spans="1:1" x14ac:dyDescent="0.25">
      <c r="A221" t="s">
        <v>285</v>
      </c>
    </row>
    <row r="222" spans="1:1" x14ac:dyDescent="0.25">
      <c r="A222" t="s">
        <v>286</v>
      </c>
    </row>
    <row r="223" spans="1:1" x14ac:dyDescent="0.25">
      <c r="A223" t="s">
        <v>287</v>
      </c>
    </row>
    <row r="224" spans="1:1" x14ac:dyDescent="0.25">
      <c r="A224" t="s">
        <v>288</v>
      </c>
    </row>
    <row r="225" spans="1:1" x14ac:dyDescent="0.25">
      <c r="A225" t="s">
        <v>289</v>
      </c>
    </row>
    <row r="226" spans="1:1" x14ac:dyDescent="0.25">
      <c r="A226" t="s">
        <v>290</v>
      </c>
    </row>
    <row r="227" spans="1:1" x14ac:dyDescent="0.25">
      <c r="A227" t="s">
        <v>291</v>
      </c>
    </row>
    <row r="228" spans="1:1" x14ac:dyDescent="0.25">
      <c r="A228" t="s">
        <v>292</v>
      </c>
    </row>
    <row r="229" spans="1:1" x14ac:dyDescent="0.25">
      <c r="A229" t="s">
        <v>293</v>
      </c>
    </row>
    <row r="230" spans="1:1" x14ac:dyDescent="0.25">
      <c r="A230" t="s">
        <v>294</v>
      </c>
    </row>
    <row r="231" spans="1:1" x14ac:dyDescent="0.25">
      <c r="A231" t="s">
        <v>295</v>
      </c>
    </row>
    <row r="232" spans="1:1" x14ac:dyDescent="0.25">
      <c r="A232" t="s">
        <v>296</v>
      </c>
    </row>
    <row r="233" spans="1:1" x14ac:dyDescent="0.25">
      <c r="A233" t="s">
        <v>297</v>
      </c>
    </row>
    <row r="234" spans="1:1" x14ac:dyDescent="0.25">
      <c r="A234" t="s">
        <v>298</v>
      </c>
    </row>
    <row r="235" spans="1:1" x14ac:dyDescent="0.25">
      <c r="A235" t="s">
        <v>299</v>
      </c>
    </row>
    <row r="236" spans="1:1" x14ac:dyDescent="0.25">
      <c r="A236" t="s">
        <v>300</v>
      </c>
    </row>
    <row r="237" spans="1:1" x14ac:dyDescent="0.25">
      <c r="A237" t="s">
        <v>301</v>
      </c>
    </row>
    <row r="238" spans="1:1" x14ac:dyDescent="0.25">
      <c r="A238" t="s">
        <v>302</v>
      </c>
    </row>
    <row r="239" spans="1:1" x14ac:dyDescent="0.25">
      <c r="A239" t="s">
        <v>303</v>
      </c>
    </row>
    <row r="240" spans="1:1" x14ac:dyDescent="0.25">
      <c r="A240" t="s">
        <v>304</v>
      </c>
    </row>
    <row r="241" spans="1:1" x14ac:dyDescent="0.25">
      <c r="A241" t="s">
        <v>305</v>
      </c>
    </row>
    <row r="242" spans="1:1" x14ac:dyDescent="0.25">
      <c r="A242" t="s">
        <v>306</v>
      </c>
    </row>
    <row r="243" spans="1:1" x14ac:dyDescent="0.25">
      <c r="A243" t="s">
        <v>307</v>
      </c>
    </row>
    <row r="244" spans="1:1" x14ac:dyDescent="0.25">
      <c r="A244" t="s">
        <v>308</v>
      </c>
    </row>
    <row r="245" spans="1:1" x14ac:dyDescent="0.25">
      <c r="A245" t="s">
        <v>309</v>
      </c>
    </row>
    <row r="246" spans="1:1" x14ac:dyDescent="0.25">
      <c r="A246" t="s">
        <v>310</v>
      </c>
    </row>
    <row r="247" spans="1:1" x14ac:dyDescent="0.25">
      <c r="A247" t="s">
        <v>311</v>
      </c>
    </row>
    <row r="248" spans="1:1" x14ac:dyDescent="0.25">
      <c r="A248" t="s">
        <v>312</v>
      </c>
    </row>
    <row r="249" spans="1:1" x14ac:dyDescent="0.25">
      <c r="A249" t="s">
        <v>313</v>
      </c>
    </row>
    <row r="250" spans="1:1" x14ac:dyDescent="0.25">
      <c r="A250" t="s">
        <v>314</v>
      </c>
    </row>
    <row r="251" spans="1:1" x14ac:dyDescent="0.25">
      <c r="A251" t="s">
        <v>315</v>
      </c>
    </row>
    <row r="252" spans="1:1" x14ac:dyDescent="0.25">
      <c r="A252" t="s">
        <v>316</v>
      </c>
    </row>
    <row r="253" spans="1:1" x14ac:dyDescent="0.25">
      <c r="A253" t="s">
        <v>317</v>
      </c>
    </row>
    <row r="254" spans="1:1" x14ac:dyDescent="0.25">
      <c r="A254" t="s">
        <v>318</v>
      </c>
    </row>
    <row r="255" spans="1:1" x14ac:dyDescent="0.25">
      <c r="A255" t="s">
        <v>319</v>
      </c>
    </row>
    <row r="256" spans="1:1" x14ac:dyDescent="0.25">
      <c r="A256" t="s">
        <v>320</v>
      </c>
    </row>
    <row r="257" spans="1:1" x14ac:dyDescent="0.25">
      <c r="A257" t="s">
        <v>321</v>
      </c>
    </row>
    <row r="258" spans="1:1" x14ac:dyDescent="0.25">
      <c r="A258" t="s">
        <v>322</v>
      </c>
    </row>
    <row r="259" spans="1:1" x14ac:dyDescent="0.25">
      <c r="A259" t="s">
        <v>323</v>
      </c>
    </row>
    <row r="260" spans="1:1" x14ac:dyDescent="0.25">
      <c r="A260" t="s">
        <v>324</v>
      </c>
    </row>
    <row r="261" spans="1:1" x14ac:dyDescent="0.25">
      <c r="A261" t="s">
        <v>325</v>
      </c>
    </row>
    <row r="262" spans="1:1" x14ac:dyDescent="0.25">
      <c r="A262" t="s">
        <v>326</v>
      </c>
    </row>
    <row r="263" spans="1:1" x14ac:dyDescent="0.25">
      <c r="A263" t="s">
        <v>327</v>
      </c>
    </row>
    <row r="264" spans="1:1" x14ac:dyDescent="0.25">
      <c r="A264" t="s">
        <v>328</v>
      </c>
    </row>
    <row r="265" spans="1:1" x14ac:dyDescent="0.25">
      <c r="A265" t="s">
        <v>329</v>
      </c>
    </row>
    <row r="266" spans="1:1" x14ac:dyDescent="0.25">
      <c r="A266" t="s">
        <v>330</v>
      </c>
    </row>
    <row r="267" spans="1:1" x14ac:dyDescent="0.25">
      <c r="A267" t="s">
        <v>331</v>
      </c>
    </row>
    <row r="268" spans="1:1" x14ac:dyDescent="0.25">
      <c r="A268" t="s">
        <v>332</v>
      </c>
    </row>
    <row r="269" spans="1:1" x14ac:dyDescent="0.25">
      <c r="A269" t="s">
        <v>333</v>
      </c>
    </row>
    <row r="270" spans="1:1" x14ac:dyDescent="0.25">
      <c r="A270" t="s">
        <v>334</v>
      </c>
    </row>
    <row r="271" spans="1:1" x14ac:dyDescent="0.25">
      <c r="A271" t="s">
        <v>335</v>
      </c>
    </row>
    <row r="272" spans="1:1" x14ac:dyDescent="0.25">
      <c r="A272" t="s">
        <v>336</v>
      </c>
    </row>
    <row r="273" spans="1:1" x14ac:dyDescent="0.25">
      <c r="A273" t="s">
        <v>337</v>
      </c>
    </row>
    <row r="274" spans="1:1" x14ac:dyDescent="0.25">
      <c r="A274" t="s">
        <v>338</v>
      </c>
    </row>
    <row r="275" spans="1:1" x14ac:dyDescent="0.25">
      <c r="A275" t="s">
        <v>339</v>
      </c>
    </row>
    <row r="276" spans="1:1" x14ac:dyDescent="0.25">
      <c r="A276" t="s">
        <v>340</v>
      </c>
    </row>
    <row r="277" spans="1:1" x14ac:dyDescent="0.25">
      <c r="A277" t="s">
        <v>341</v>
      </c>
    </row>
    <row r="278" spans="1:1" x14ac:dyDescent="0.25">
      <c r="A278" t="s">
        <v>342</v>
      </c>
    </row>
    <row r="279" spans="1:1" x14ac:dyDescent="0.25">
      <c r="A279" t="s">
        <v>343</v>
      </c>
    </row>
    <row r="280" spans="1:1" x14ac:dyDescent="0.25">
      <c r="A280" t="s">
        <v>344</v>
      </c>
    </row>
    <row r="281" spans="1:1" x14ac:dyDescent="0.25">
      <c r="A281" t="s">
        <v>345</v>
      </c>
    </row>
    <row r="282" spans="1:1" x14ac:dyDescent="0.25">
      <c r="A282" t="s">
        <v>346</v>
      </c>
    </row>
    <row r="283" spans="1:1" x14ac:dyDescent="0.25">
      <c r="A283" t="s">
        <v>347</v>
      </c>
    </row>
    <row r="284" spans="1:1" x14ac:dyDescent="0.25">
      <c r="A284" t="s">
        <v>348</v>
      </c>
    </row>
    <row r="285" spans="1:1" x14ac:dyDescent="0.25">
      <c r="A285" t="s">
        <v>349</v>
      </c>
    </row>
    <row r="286" spans="1:1" x14ac:dyDescent="0.25">
      <c r="A286" t="s">
        <v>350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353</v>
      </c>
    </row>
    <row r="290" spans="1:1" x14ac:dyDescent="0.25">
      <c r="A290" t="s">
        <v>354</v>
      </c>
    </row>
    <row r="291" spans="1:1" x14ac:dyDescent="0.25">
      <c r="A291" t="s">
        <v>355</v>
      </c>
    </row>
    <row r="292" spans="1:1" x14ac:dyDescent="0.25">
      <c r="A292" t="s">
        <v>356</v>
      </c>
    </row>
    <row r="293" spans="1:1" x14ac:dyDescent="0.25">
      <c r="A293" t="s">
        <v>357</v>
      </c>
    </row>
    <row r="294" spans="1:1" x14ac:dyDescent="0.25">
      <c r="A294" t="s">
        <v>358</v>
      </c>
    </row>
    <row r="295" spans="1:1" x14ac:dyDescent="0.25">
      <c r="A295" t="s">
        <v>359</v>
      </c>
    </row>
    <row r="296" spans="1:1" x14ac:dyDescent="0.25">
      <c r="A296" t="s">
        <v>360</v>
      </c>
    </row>
    <row r="297" spans="1:1" x14ac:dyDescent="0.25">
      <c r="A297" t="s">
        <v>361</v>
      </c>
    </row>
    <row r="298" spans="1:1" x14ac:dyDescent="0.25">
      <c r="A298" t="s">
        <v>362</v>
      </c>
    </row>
    <row r="299" spans="1:1" x14ac:dyDescent="0.25">
      <c r="A299" t="s">
        <v>363</v>
      </c>
    </row>
    <row r="300" spans="1:1" x14ac:dyDescent="0.25">
      <c r="A300" t="s">
        <v>364</v>
      </c>
    </row>
    <row r="301" spans="1:1" x14ac:dyDescent="0.25">
      <c r="A301" t="s">
        <v>365</v>
      </c>
    </row>
    <row r="302" spans="1:1" x14ac:dyDescent="0.25">
      <c r="A302" t="s">
        <v>366</v>
      </c>
    </row>
    <row r="303" spans="1:1" x14ac:dyDescent="0.25">
      <c r="A303" t="s">
        <v>367</v>
      </c>
    </row>
    <row r="304" spans="1:1" x14ac:dyDescent="0.25">
      <c r="A304" t="s">
        <v>368</v>
      </c>
    </row>
    <row r="305" spans="1:1" x14ac:dyDescent="0.25">
      <c r="A305" t="s">
        <v>369</v>
      </c>
    </row>
    <row r="306" spans="1:1" x14ac:dyDescent="0.25">
      <c r="A306" t="s">
        <v>370</v>
      </c>
    </row>
    <row r="307" spans="1:1" x14ac:dyDescent="0.25">
      <c r="A307" t="s">
        <v>371</v>
      </c>
    </row>
    <row r="308" spans="1:1" x14ac:dyDescent="0.25">
      <c r="A308" t="s">
        <v>372</v>
      </c>
    </row>
    <row r="309" spans="1:1" x14ac:dyDescent="0.25">
      <c r="A309" t="s">
        <v>373</v>
      </c>
    </row>
    <row r="310" spans="1:1" x14ac:dyDescent="0.25">
      <c r="A310" t="s">
        <v>374</v>
      </c>
    </row>
    <row r="311" spans="1:1" x14ac:dyDescent="0.25">
      <c r="A311" t="s">
        <v>375</v>
      </c>
    </row>
    <row r="312" spans="1:1" x14ac:dyDescent="0.25">
      <c r="A312" t="s">
        <v>376</v>
      </c>
    </row>
    <row r="313" spans="1:1" x14ac:dyDescent="0.25">
      <c r="A313" t="s">
        <v>377</v>
      </c>
    </row>
    <row r="314" spans="1:1" x14ac:dyDescent="0.25">
      <c r="A314" t="s">
        <v>378</v>
      </c>
    </row>
    <row r="315" spans="1:1" x14ac:dyDescent="0.25">
      <c r="A315" t="s">
        <v>379</v>
      </c>
    </row>
    <row r="316" spans="1:1" x14ac:dyDescent="0.25">
      <c r="A316" t="s">
        <v>380</v>
      </c>
    </row>
    <row r="317" spans="1:1" x14ac:dyDescent="0.25">
      <c r="A317" t="s">
        <v>381</v>
      </c>
    </row>
    <row r="318" spans="1:1" x14ac:dyDescent="0.25">
      <c r="A318" t="s">
        <v>382</v>
      </c>
    </row>
    <row r="319" spans="1:1" x14ac:dyDescent="0.25">
      <c r="A319" t="s">
        <v>383</v>
      </c>
    </row>
    <row r="320" spans="1:1" x14ac:dyDescent="0.25">
      <c r="A320" t="s">
        <v>384</v>
      </c>
    </row>
    <row r="321" spans="1:1" x14ac:dyDescent="0.25">
      <c r="A321" t="s">
        <v>385</v>
      </c>
    </row>
    <row r="322" spans="1:1" x14ac:dyDescent="0.25">
      <c r="A322" t="s">
        <v>386</v>
      </c>
    </row>
    <row r="323" spans="1:1" x14ac:dyDescent="0.25">
      <c r="A323" t="s">
        <v>387</v>
      </c>
    </row>
    <row r="324" spans="1:1" x14ac:dyDescent="0.25">
      <c r="A324" t="s">
        <v>388</v>
      </c>
    </row>
    <row r="325" spans="1:1" x14ac:dyDescent="0.25">
      <c r="A325" t="s">
        <v>389</v>
      </c>
    </row>
    <row r="326" spans="1:1" x14ac:dyDescent="0.25">
      <c r="A326" t="s">
        <v>390</v>
      </c>
    </row>
    <row r="327" spans="1:1" x14ac:dyDescent="0.25">
      <c r="A327" t="s">
        <v>391</v>
      </c>
    </row>
    <row r="328" spans="1:1" x14ac:dyDescent="0.25">
      <c r="A328" t="s">
        <v>392</v>
      </c>
    </row>
    <row r="329" spans="1:1" x14ac:dyDescent="0.25">
      <c r="A329" t="s">
        <v>393</v>
      </c>
    </row>
    <row r="330" spans="1:1" x14ac:dyDescent="0.25">
      <c r="A330" t="s">
        <v>394</v>
      </c>
    </row>
    <row r="331" spans="1:1" x14ac:dyDescent="0.25">
      <c r="A331" t="s">
        <v>395</v>
      </c>
    </row>
    <row r="332" spans="1:1" x14ac:dyDescent="0.25">
      <c r="A332" t="s">
        <v>396</v>
      </c>
    </row>
    <row r="333" spans="1:1" x14ac:dyDescent="0.25">
      <c r="A333" t="s">
        <v>397</v>
      </c>
    </row>
    <row r="334" spans="1:1" x14ac:dyDescent="0.25">
      <c r="A334" t="s">
        <v>398</v>
      </c>
    </row>
    <row r="335" spans="1:1" x14ac:dyDescent="0.25">
      <c r="A335" t="s">
        <v>399</v>
      </c>
    </row>
    <row r="336" spans="1:1" x14ac:dyDescent="0.25">
      <c r="A336" t="s">
        <v>400</v>
      </c>
    </row>
    <row r="337" spans="1:1" x14ac:dyDescent="0.25">
      <c r="A337" t="s">
        <v>401</v>
      </c>
    </row>
    <row r="338" spans="1:1" x14ac:dyDescent="0.25">
      <c r="A338" t="s">
        <v>402</v>
      </c>
    </row>
    <row r="339" spans="1:1" x14ac:dyDescent="0.25">
      <c r="A339" t="s">
        <v>403</v>
      </c>
    </row>
    <row r="340" spans="1:1" x14ac:dyDescent="0.25">
      <c r="A340" t="s">
        <v>404</v>
      </c>
    </row>
    <row r="341" spans="1:1" x14ac:dyDescent="0.25">
      <c r="A341" t="s">
        <v>405</v>
      </c>
    </row>
    <row r="342" spans="1:1" x14ac:dyDescent="0.25">
      <c r="A342" t="s">
        <v>406</v>
      </c>
    </row>
    <row r="343" spans="1:1" x14ac:dyDescent="0.25">
      <c r="A343" t="s">
        <v>407</v>
      </c>
    </row>
    <row r="344" spans="1:1" x14ac:dyDescent="0.25">
      <c r="A344" t="s">
        <v>408</v>
      </c>
    </row>
    <row r="345" spans="1:1" x14ac:dyDescent="0.25">
      <c r="A345" t="s">
        <v>409</v>
      </c>
    </row>
    <row r="346" spans="1:1" x14ac:dyDescent="0.25">
      <c r="A346" t="s">
        <v>410</v>
      </c>
    </row>
    <row r="347" spans="1:1" x14ac:dyDescent="0.25">
      <c r="A347" t="s">
        <v>411</v>
      </c>
    </row>
    <row r="348" spans="1:1" x14ac:dyDescent="0.25">
      <c r="A348" t="s">
        <v>412</v>
      </c>
    </row>
    <row r="349" spans="1:1" x14ac:dyDescent="0.25">
      <c r="A349" t="s">
        <v>413</v>
      </c>
    </row>
    <row r="350" spans="1:1" x14ac:dyDescent="0.25">
      <c r="A350" t="s">
        <v>414</v>
      </c>
    </row>
    <row r="351" spans="1:1" x14ac:dyDescent="0.25">
      <c r="A351" t="s">
        <v>415</v>
      </c>
    </row>
    <row r="352" spans="1:1" x14ac:dyDescent="0.25">
      <c r="A352" t="s">
        <v>416</v>
      </c>
    </row>
    <row r="353" spans="1:1" x14ac:dyDescent="0.25">
      <c r="A353" t="s">
        <v>417</v>
      </c>
    </row>
    <row r="354" spans="1:1" x14ac:dyDescent="0.25">
      <c r="A354" t="s">
        <v>418</v>
      </c>
    </row>
    <row r="355" spans="1:1" x14ac:dyDescent="0.25">
      <c r="A355" t="s">
        <v>419</v>
      </c>
    </row>
    <row r="356" spans="1:1" x14ac:dyDescent="0.25">
      <c r="A356" t="s">
        <v>420</v>
      </c>
    </row>
    <row r="357" spans="1:1" x14ac:dyDescent="0.25">
      <c r="A357" t="s">
        <v>421</v>
      </c>
    </row>
    <row r="358" spans="1:1" x14ac:dyDescent="0.25">
      <c r="A358" t="s">
        <v>422</v>
      </c>
    </row>
    <row r="359" spans="1:1" x14ac:dyDescent="0.25">
      <c r="A359" t="s">
        <v>423</v>
      </c>
    </row>
    <row r="360" spans="1:1" x14ac:dyDescent="0.25">
      <c r="A360" t="s">
        <v>424</v>
      </c>
    </row>
    <row r="361" spans="1:1" x14ac:dyDescent="0.25">
      <c r="A361" t="s">
        <v>425</v>
      </c>
    </row>
    <row r="362" spans="1:1" x14ac:dyDescent="0.25">
      <c r="A362" t="s">
        <v>426</v>
      </c>
    </row>
    <row r="363" spans="1:1" x14ac:dyDescent="0.25">
      <c r="A363" t="s">
        <v>427</v>
      </c>
    </row>
    <row r="364" spans="1:1" x14ac:dyDescent="0.25">
      <c r="A364" t="s">
        <v>428</v>
      </c>
    </row>
    <row r="365" spans="1:1" x14ac:dyDescent="0.25">
      <c r="A365" t="s">
        <v>429</v>
      </c>
    </row>
    <row r="366" spans="1:1" x14ac:dyDescent="0.25">
      <c r="A366" t="s">
        <v>430</v>
      </c>
    </row>
    <row r="367" spans="1:1" x14ac:dyDescent="0.25">
      <c r="A367" t="s">
        <v>431</v>
      </c>
    </row>
    <row r="368" spans="1:1" x14ac:dyDescent="0.25">
      <c r="A368" t="s">
        <v>432</v>
      </c>
    </row>
    <row r="369" spans="1:1" x14ac:dyDescent="0.25">
      <c r="A369" t="s">
        <v>433</v>
      </c>
    </row>
    <row r="370" spans="1:1" x14ac:dyDescent="0.25">
      <c r="A370" t="s">
        <v>434</v>
      </c>
    </row>
    <row r="371" spans="1:1" x14ac:dyDescent="0.25">
      <c r="A371" t="s">
        <v>435</v>
      </c>
    </row>
    <row r="372" spans="1:1" x14ac:dyDescent="0.25">
      <c r="A372" t="s">
        <v>436</v>
      </c>
    </row>
    <row r="373" spans="1:1" x14ac:dyDescent="0.25">
      <c r="A373" t="s">
        <v>437</v>
      </c>
    </row>
    <row r="374" spans="1:1" x14ac:dyDescent="0.25">
      <c r="A374" t="s">
        <v>438</v>
      </c>
    </row>
    <row r="375" spans="1:1" x14ac:dyDescent="0.25">
      <c r="A375" t="s">
        <v>439</v>
      </c>
    </row>
    <row r="376" spans="1:1" x14ac:dyDescent="0.25">
      <c r="A376" t="s">
        <v>440</v>
      </c>
    </row>
    <row r="377" spans="1:1" x14ac:dyDescent="0.25">
      <c r="A377" t="s">
        <v>441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450</v>
      </c>
    </row>
    <row r="387" spans="1:1" x14ac:dyDescent="0.25">
      <c r="A387" t="s">
        <v>451</v>
      </c>
    </row>
    <row r="388" spans="1:1" x14ac:dyDescent="0.25">
      <c r="A388" t="s">
        <v>452</v>
      </c>
    </row>
    <row r="389" spans="1:1" x14ac:dyDescent="0.25">
      <c r="A389" t="s">
        <v>453</v>
      </c>
    </row>
    <row r="390" spans="1:1" x14ac:dyDescent="0.25">
      <c r="A390" t="s">
        <v>454</v>
      </c>
    </row>
    <row r="391" spans="1:1" x14ac:dyDescent="0.25">
      <c r="A391" t="s">
        <v>455</v>
      </c>
    </row>
    <row r="392" spans="1:1" x14ac:dyDescent="0.25">
      <c r="A392" t="s">
        <v>456</v>
      </c>
    </row>
    <row r="393" spans="1:1" x14ac:dyDescent="0.25">
      <c r="A393" t="s">
        <v>457</v>
      </c>
    </row>
    <row r="394" spans="1:1" x14ac:dyDescent="0.25">
      <c r="A394" t="s">
        <v>458</v>
      </c>
    </row>
    <row r="395" spans="1:1" x14ac:dyDescent="0.25">
      <c r="A395" t="s">
        <v>459</v>
      </c>
    </row>
    <row r="396" spans="1:1" x14ac:dyDescent="0.25">
      <c r="A396" t="s">
        <v>460</v>
      </c>
    </row>
    <row r="397" spans="1:1" x14ac:dyDescent="0.25">
      <c r="A397" t="s">
        <v>461</v>
      </c>
    </row>
    <row r="398" spans="1:1" x14ac:dyDescent="0.25">
      <c r="A398" t="s">
        <v>462</v>
      </c>
    </row>
    <row r="399" spans="1:1" x14ac:dyDescent="0.25">
      <c r="A399" t="s">
        <v>463</v>
      </c>
    </row>
    <row r="400" spans="1:1" x14ac:dyDescent="0.25">
      <c r="A400" t="s">
        <v>464</v>
      </c>
    </row>
    <row r="401" spans="1:1" x14ac:dyDescent="0.25">
      <c r="A401" t="s">
        <v>465</v>
      </c>
    </row>
    <row r="402" spans="1:1" x14ac:dyDescent="0.25">
      <c r="A402" t="s">
        <v>466</v>
      </c>
    </row>
    <row r="403" spans="1:1" x14ac:dyDescent="0.25">
      <c r="A403" t="s">
        <v>467</v>
      </c>
    </row>
    <row r="404" spans="1:1" x14ac:dyDescent="0.25">
      <c r="A404" t="s">
        <v>468</v>
      </c>
    </row>
    <row r="405" spans="1:1" x14ac:dyDescent="0.25">
      <c r="A405" t="s">
        <v>469</v>
      </c>
    </row>
    <row r="406" spans="1:1" x14ac:dyDescent="0.25">
      <c r="A406" t="s">
        <v>470</v>
      </c>
    </row>
    <row r="407" spans="1:1" x14ac:dyDescent="0.25">
      <c r="A407" t="s">
        <v>471</v>
      </c>
    </row>
    <row r="408" spans="1:1" x14ac:dyDescent="0.25">
      <c r="A408" t="s">
        <v>472</v>
      </c>
    </row>
    <row r="409" spans="1:1" x14ac:dyDescent="0.25">
      <c r="A409" t="s">
        <v>473</v>
      </c>
    </row>
    <row r="410" spans="1:1" x14ac:dyDescent="0.25">
      <c r="A410" t="s">
        <v>474</v>
      </c>
    </row>
    <row r="411" spans="1:1" x14ac:dyDescent="0.25">
      <c r="A411" t="s">
        <v>475</v>
      </c>
    </row>
    <row r="412" spans="1:1" x14ac:dyDescent="0.25">
      <c r="A412" t="s">
        <v>476</v>
      </c>
    </row>
    <row r="413" spans="1:1" x14ac:dyDescent="0.25">
      <c r="A413" t="s">
        <v>477</v>
      </c>
    </row>
    <row r="414" spans="1:1" x14ac:dyDescent="0.25">
      <c r="A414" t="s">
        <v>478</v>
      </c>
    </row>
    <row r="415" spans="1:1" x14ac:dyDescent="0.25">
      <c r="A415" t="s">
        <v>479</v>
      </c>
    </row>
    <row r="416" spans="1:1" x14ac:dyDescent="0.25">
      <c r="A416" t="s">
        <v>480</v>
      </c>
    </row>
    <row r="417" spans="1:1" x14ac:dyDescent="0.25">
      <c r="A417" t="s">
        <v>481</v>
      </c>
    </row>
    <row r="418" spans="1:1" x14ac:dyDescent="0.25">
      <c r="A418" t="s">
        <v>482</v>
      </c>
    </row>
    <row r="419" spans="1:1" x14ac:dyDescent="0.25">
      <c r="A419" t="s">
        <v>483</v>
      </c>
    </row>
    <row r="420" spans="1:1" x14ac:dyDescent="0.25">
      <c r="A420" t="s">
        <v>484</v>
      </c>
    </row>
    <row r="421" spans="1:1" x14ac:dyDescent="0.25">
      <c r="A421" t="s">
        <v>485</v>
      </c>
    </row>
    <row r="422" spans="1:1" x14ac:dyDescent="0.25">
      <c r="A422" t="s">
        <v>486</v>
      </c>
    </row>
    <row r="423" spans="1:1" x14ac:dyDescent="0.25">
      <c r="A423" t="s">
        <v>487</v>
      </c>
    </row>
    <row r="424" spans="1:1" x14ac:dyDescent="0.25">
      <c r="A424" t="s">
        <v>488</v>
      </c>
    </row>
    <row r="425" spans="1:1" x14ac:dyDescent="0.25">
      <c r="A425" t="s">
        <v>489</v>
      </c>
    </row>
    <row r="426" spans="1:1" x14ac:dyDescent="0.25">
      <c r="A426" t="s">
        <v>490</v>
      </c>
    </row>
    <row r="427" spans="1:1" x14ac:dyDescent="0.25">
      <c r="A427" t="s">
        <v>491</v>
      </c>
    </row>
    <row r="428" spans="1:1" x14ac:dyDescent="0.25">
      <c r="A428" t="s">
        <v>492</v>
      </c>
    </row>
    <row r="429" spans="1:1" x14ac:dyDescent="0.25">
      <c r="A429" t="s">
        <v>493</v>
      </c>
    </row>
    <row r="430" spans="1:1" x14ac:dyDescent="0.25">
      <c r="A430" t="s">
        <v>494</v>
      </c>
    </row>
    <row r="431" spans="1:1" x14ac:dyDescent="0.25">
      <c r="A431" t="s">
        <v>495</v>
      </c>
    </row>
    <row r="432" spans="1:1" x14ac:dyDescent="0.25">
      <c r="A432" t="s">
        <v>496</v>
      </c>
    </row>
    <row r="433" spans="1:1" x14ac:dyDescent="0.25">
      <c r="A433" t="s">
        <v>497</v>
      </c>
    </row>
    <row r="434" spans="1:1" x14ac:dyDescent="0.25">
      <c r="A434" t="s">
        <v>498</v>
      </c>
    </row>
    <row r="435" spans="1:1" x14ac:dyDescent="0.25">
      <c r="A435" t="s">
        <v>499</v>
      </c>
    </row>
    <row r="436" spans="1:1" x14ac:dyDescent="0.25">
      <c r="A436" t="s">
        <v>500</v>
      </c>
    </row>
    <row r="437" spans="1:1" x14ac:dyDescent="0.25">
      <c r="A437" t="s">
        <v>501</v>
      </c>
    </row>
    <row r="438" spans="1:1" x14ac:dyDescent="0.25">
      <c r="A438" t="s">
        <v>502</v>
      </c>
    </row>
    <row r="439" spans="1:1" x14ac:dyDescent="0.25">
      <c r="A439" t="s">
        <v>503</v>
      </c>
    </row>
    <row r="440" spans="1:1" x14ac:dyDescent="0.25">
      <c r="A440" t="s">
        <v>504</v>
      </c>
    </row>
    <row r="441" spans="1:1" x14ac:dyDescent="0.25">
      <c r="A441" t="s">
        <v>505</v>
      </c>
    </row>
    <row r="442" spans="1:1" x14ac:dyDescent="0.25">
      <c r="A442" t="s">
        <v>506</v>
      </c>
    </row>
    <row r="443" spans="1:1" x14ac:dyDescent="0.25">
      <c r="A443" t="s">
        <v>507</v>
      </c>
    </row>
    <row r="444" spans="1:1" x14ac:dyDescent="0.25">
      <c r="A444" t="s">
        <v>508</v>
      </c>
    </row>
    <row r="445" spans="1:1" x14ac:dyDescent="0.25">
      <c r="A445" t="s">
        <v>509</v>
      </c>
    </row>
    <row r="446" spans="1:1" x14ac:dyDescent="0.25">
      <c r="A446" t="s">
        <v>510</v>
      </c>
    </row>
    <row r="447" spans="1:1" x14ac:dyDescent="0.25">
      <c r="A447" t="s">
        <v>511</v>
      </c>
    </row>
    <row r="448" spans="1:1" x14ac:dyDescent="0.25">
      <c r="A448" t="s">
        <v>512</v>
      </c>
    </row>
    <row r="449" spans="1:1" x14ac:dyDescent="0.25">
      <c r="A449" t="s">
        <v>513</v>
      </c>
    </row>
    <row r="450" spans="1:1" x14ac:dyDescent="0.25">
      <c r="A450" t="s">
        <v>514</v>
      </c>
    </row>
    <row r="451" spans="1:1" x14ac:dyDescent="0.25">
      <c r="A451" t="s">
        <v>515</v>
      </c>
    </row>
    <row r="452" spans="1:1" x14ac:dyDescent="0.25">
      <c r="A452" t="s">
        <v>516</v>
      </c>
    </row>
    <row r="453" spans="1:1" x14ac:dyDescent="0.25">
      <c r="A453" t="s">
        <v>517</v>
      </c>
    </row>
    <row r="454" spans="1:1" x14ac:dyDescent="0.25">
      <c r="A454" t="s">
        <v>518</v>
      </c>
    </row>
    <row r="455" spans="1:1" x14ac:dyDescent="0.25">
      <c r="A455" t="s">
        <v>519</v>
      </c>
    </row>
    <row r="456" spans="1:1" x14ac:dyDescent="0.25">
      <c r="A456" t="s">
        <v>520</v>
      </c>
    </row>
    <row r="457" spans="1:1" x14ac:dyDescent="0.25">
      <c r="A457" t="s">
        <v>521</v>
      </c>
    </row>
    <row r="458" spans="1:1" x14ac:dyDescent="0.25">
      <c r="A458" t="s">
        <v>522</v>
      </c>
    </row>
    <row r="459" spans="1:1" x14ac:dyDescent="0.25">
      <c r="A459" t="s">
        <v>523</v>
      </c>
    </row>
    <row r="460" spans="1:1" x14ac:dyDescent="0.25">
      <c r="A460" t="s">
        <v>524</v>
      </c>
    </row>
    <row r="461" spans="1:1" x14ac:dyDescent="0.25">
      <c r="A461" t="s">
        <v>525</v>
      </c>
    </row>
    <row r="462" spans="1:1" x14ac:dyDescent="0.25">
      <c r="A462" t="s">
        <v>526</v>
      </c>
    </row>
    <row r="463" spans="1:1" x14ac:dyDescent="0.25">
      <c r="A463" t="s">
        <v>527</v>
      </c>
    </row>
    <row r="464" spans="1:1" x14ac:dyDescent="0.25">
      <c r="A464" t="s">
        <v>528</v>
      </c>
    </row>
    <row r="465" spans="1:1" x14ac:dyDescent="0.25">
      <c r="A465" t="s">
        <v>529</v>
      </c>
    </row>
    <row r="466" spans="1:1" x14ac:dyDescent="0.25">
      <c r="A466" t="s">
        <v>530</v>
      </c>
    </row>
    <row r="467" spans="1:1" x14ac:dyDescent="0.25">
      <c r="A467" t="s">
        <v>531</v>
      </c>
    </row>
    <row r="468" spans="1:1" x14ac:dyDescent="0.25">
      <c r="A468" t="s">
        <v>532</v>
      </c>
    </row>
    <row r="469" spans="1:1" x14ac:dyDescent="0.25">
      <c r="A469" t="s">
        <v>533</v>
      </c>
    </row>
    <row r="470" spans="1:1" x14ac:dyDescent="0.25">
      <c r="A470" t="s">
        <v>534</v>
      </c>
    </row>
    <row r="471" spans="1:1" x14ac:dyDescent="0.25">
      <c r="A471" t="s">
        <v>535</v>
      </c>
    </row>
    <row r="472" spans="1:1" x14ac:dyDescent="0.25">
      <c r="A472" t="s">
        <v>536</v>
      </c>
    </row>
    <row r="473" spans="1:1" x14ac:dyDescent="0.25">
      <c r="A473" t="s">
        <v>537</v>
      </c>
    </row>
    <row r="474" spans="1:1" x14ac:dyDescent="0.25">
      <c r="A474" t="s">
        <v>538</v>
      </c>
    </row>
    <row r="475" spans="1:1" x14ac:dyDescent="0.25">
      <c r="A475" t="s">
        <v>539</v>
      </c>
    </row>
    <row r="476" spans="1:1" x14ac:dyDescent="0.25">
      <c r="A476" t="s">
        <v>540</v>
      </c>
    </row>
    <row r="477" spans="1:1" x14ac:dyDescent="0.25">
      <c r="A477" t="s">
        <v>541</v>
      </c>
    </row>
    <row r="478" spans="1:1" x14ac:dyDescent="0.25">
      <c r="A478" t="s">
        <v>542</v>
      </c>
    </row>
    <row r="479" spans="1:1" x14ac:dyDescent="0.25">
      <c r="A479" t="s">
        <v>543</v>
      </c>
    </row>
    <row r="480" spans="1:1" x14ac:dyDescent="0.25">
      <c r="A480" t="s">
        <v>544</v>
      </c>
    </row>
    <row r="481" spans="1:1" x14ac:dyDescent="0.25">
      <c r="A481" t="s">
        <v>545</v>
      </c>
    </row>
    <row r="482" spans="1:1" x14ac:dyDescent="0.25">
      <c r="A482" t="s">
        <v>546</v>
      </c>
    </row>
    <row r="483" spans="1:1" x14ac:dyDescent="0.25">
      <c r="A483" t="s">
        <v>547</v>
      </c>
    </row>
    <row r="484" spans="1:1" x14ac:dyDescent="0.25">
      <c r="A484" t="s">
        <v>548</v>
      </c>
    </row>
    <row r="485" spans="1:1" x14ac:dyDescent="0.25">
      <c r="A485" t="s">
        <v>549</v>
      </c>
    </row>
    <row r="486" spans="1:1" x14ac:dyDescent="0.25">
      <c r="A486" t="s">
        <v>550</v>
      </c>
    </row>
    <row r="487" spans="1:1" x14ac:dyDescent="0.25">
      <c r="A487" t="s">
        <v>551</v>
      </c>
    </row>
    <row r="488" spans="1:1" x14ac:dyDescent="0.25">
      <c r="A488" t="s">
        <v>552</v>
      </c>
    </row>
    <row r="489" spans="1:1" x14ac:dyDescent="0.25">
      <c r="A489" t="s">
        <v>553</v>
      </c>
    </row>
    <row r="490" spans="1:1" x14ac:dyDescent="0.25">
      <c r="A490" t="s">
        <v>554</v>
      </c>
    </row>
    <row r="491" spans="1:1" x14ac:dyDescent="0.25">
      <c r="A491" t="s">
        <v>555</v>
      </c>
    </row>
    <row r="492" spans="1:1" x14ac:dyDescent="0.25">
      <c r="A492" t="s">
        <v>556</v>
      </c>
    </row>
    <row r="493" spans="1:1" x14ac:dyDescent="0.25">
      <c r="A493" t="s">
        <v>557</v>
      </c>
    </row>
    <row r="494" spans="1:1" x14ac:dyDescent="0.25">
      <c r="A494" t="s">
        <v>558</v>
      </c>
    </row>
    <row r="495" spans="1:1" x14ac:dyDescent="0.25">
      <c r="A495" t="s">
        <v>559</v>
      </c>
    </row>
    <row r="496" spans="1:1" x14ac:dyDescent="0.25">
      <c r="A496" t="s">
        <v>560</v>
      </c>
    </row>
    <row r="497" spans="1:1" x14ac:dyDescent="0.25">
      <c r="A497" t="s">
        <v>561</v>
      </c>
    </row>
    <row r="498" spans="1:1" x14ac:dyDescent="0.25">
      <c r="A498" t="s">
        <v>562</v>
      </c>
    </row>
    <row r="499" spans="1:1" x14ac:dyDescent="0.25">
      <c r="A499" t="s">
        <v>563</v>
      </c>
    </row>
    <row r="500" spans="1:1" x14ac:dyDescent="0.25">
      <c r="A500" t="s">
        <v>564</v>
      </c>
    </row>
    <row r="501" spans="1:1" x14ac:dyDescent="0.25">
      <c r="A501" t="s">
        <v>565</v>
      </c>
    </row>
    <row r="502" spans="1:1" x14ac:dyDescent="0.25">
      <c r="A502" t="s">
        <v>566</v>
      </c>
    </row>
    <row r="503" spans="1:1" x14ac:dyDescent="0.25">
      <c r="A503" t="s">
        <v>567</v>
      </c>
    </row>
    <row r="504" spans="1:1" x14ac:dyDescent="0.25">
      <c r="A504" t="s">
        <v>568</v>
      </c>
    </row>
    <row r="505" spans="1:1" x14ac:dyDescent="0.25">
      <c r="A505" t="s">
        <v>569</v>
      </c>
    </row>
    <row r="506" spans="1:1" x14ac:dyDescent="0.25">
      <c r="A506" t="s">
        <v>570</v>
      </c>
    </row>
    <row r="507" spans="1:1" x14ac:dyDescent="0.25">
      <c r="A507" t="s">
        <v>571</v>
      </c>
    </row>
    <row r="508" spans="1:1" x14ac:dyDescent="0.25">
      <c r="A508" t="s">
        <v>572</v>
      </c>
    </row>
    <row r="509" spans="1:1" x14ac:dyDescent="0.25">
      <c r="A509" t="s">
        <v>573</v>
      </c>
    </row>
    <row r="510" spans="1:1" x14ac:dyDescent="0.25">
      <c r="A510" t="s">
        <v>574</v>
      </c>
    </row>
    <row r="511" spans="1:1" x14ac:dyDescent="0.25">
      <c r="A511" t="s">
        <v>575</v>
      </c>
    </row>
    <row r="512" spans="1:1" x14ac:dyDescent="0.25">
      <c r="A512" t="s">
        <v>576</v>
      </c>
    </row>
    <row r="513" spans="1:1" x14ac:dyDescent="0.25">
      <c r="A513" t="s">
        <v>577</v>
      </c>
    </row>
    <row r="514" spans="1:1" x14ac:dyDescent="0.25">
      <c r="A514" t="s">
        <v>578</v>
      </c>
    </row>
    <row r="515" spans="1:1" x14ac:dyDescent="0.25">
      <c r="A515" t="s">
        <v>579</v>
      </c>
    </row>
    <row r="516" spans="1:1" x14ac:dyDescent="0.25">
      <c r="A516" t="s">
        <v>580</v>
      </c>
    </row>
    <row r="517" spans="1:1" x14ac:dyDescent="0.25">
      <c r="A517" t="s">
        <v>581</v>
      </c>
    </row>
    <row r="518" spans="1:1" x14ac:dyDescent="0.25">
      <c r="A518" t="s">
        <v>582</v>
      </c>
    </row>
    <row r="519" spans="1:1" x14ac:dyDescent="0.25">
      <c r="A519" t="s">
        <v>583</v>
      </c>
    </row>
    <row r="520" spans="1:1" x14ac:dyDescent="0.25">
      <c r="A520" t="s">
        <v>584</v>
      </c>
    </row>
    <row r="521" spans="1:1" x14ac:dyDescent="0.25">
      <c r="A521" t="s">
        <v>585</v>
      </c>
    </row>
    <row r="522" spans="1:1" x14ac:dyDescent="0.25">
      <c r="A522" t="s">
        <v>586</v>
      </c>
    </row>
    <row r="523" spans="1:1" x14ac:dyDescent="0.25">
      <c r="A523" t="s">
        <v>587</v>
      </c>
    </row>
    <row r="524" spans="1:1" x14ac:dyDescent="0.25">
      <c r="A524" t="s">
        <v>588</v>
      </c>
    </row>
    <row r="525" spans="1:1" x14ac:dyDescent="0.25">
      <c r="A525" t="s">
        <v>589</v>
      </c>
    </row>
    <row r="526" spans="1:1" x14ac:dyDescent="0.25">
      <c r="A526" t="s">
        <v>590</v>
      </c>
    </row>
    <row r="527" spans="1:1" x14ac:dyDescent="0.25">
      <c r="A527" t="s">
        <v>591</v>
      </c>
    </row>
    <row r="528" spans="1:1" x14ac:dyDescent="0.25">
      <c r="A528" t="s">
        <v>592</v>
      </c>
    </row>
    <row r="529" spans="1:1" x14ac:dyDescent="0.25">
      <c r="A529" t="s">
        <v>593</v>
      </c>
    </row>
    <row r="530" spans="1:1" x14ac:dyDescent="0.25">
      <c r="A530" t="s">
        <v>594</v>
      </c>
    </row>
    <row r="531" spans="1:1" x14ac:dyDescent="0.25">
      <c r="A531" t="s">
        <v>595</v>
      </c>
    </row>
    <row r="532" spans="1:1" x14ac:dyDescent="0.25">
      <c r="A532" t="s">
        <v>596</v>
      </c>
    </row>
    <row r="533" spans="1:1" x14ac:dyDescent="0.25">
      <c r="A533" t="s">
        <v>597</v>
      </c>
    </row>
    <row r="534" spans="1:1" x14ac:dyDescent="0.25">
      <c r="A534" t="s">
        <v>598</v>
      </c>
    </row>
    <row r="535" spans="1:1" x14ac:dyDescent="0.25">
      <c r="A535" t="s">
        <v>599</v>
      </c>
    </row>
    <row r="536" spans="1:1" x14ac:dyDescent="0.25">
      <c r="A536" t="s">
        <v>600</v>
      </c>
    </row>
    <row r="537" spans="1:1" x14ac:dyDescent="0.25">
      <c r="A537" t="s">
        <v>601</v>
      </c>
    </row>
    <row r="538" spans="1:1" x14ac:dyDescent="0.25">
      <c r="A538" t="s">
        <v>602</v>
      </c>
    </row>
    <row r="539" spans="1:1" x14ac:dyDescent="0.25">
      <c r="A539" t="s">
        <v>603</v>
      </c>
    </row>
    <row r="540" spans="1:1" x14ac:dyDescent="0.25">
      <c r="A540" t="s">
        <v>604</v>
      </c>
    </row>
    <row r="541" spans="1:1" x14ac:dyDescent="0.25">
      <c r="A541" t="s">
        <v>605</v>
      </c>
    </row>
    <row r="542" spans="1:1" x14ac:dyDescent="0.25">
      <c r="A542" t="s">
        <v>606</v>
      </c>
    </row>
    <row r="543" spans="1:1" x14ac:dyDescent="0.25">
      <c r="A543" t="s">
        <v>607</v>
      </c>
    </row>
    <row r="544" spans="1:1" x14ac:dyDescent="0.25">
      <c r="A544" t="s">
        <v>608</v>
      </c>
    </row>
    <row r="545" spans="1:1" x14ac:dyDescent="0.25">
      <c r="A545" t="s">
        <v>609</v>
      </c>
    </row>
    <row r="546" spans="1:1" x14ac:dyDescent="0.25">
      <c r="A546" t="s">
        <v>610</v>
      </c>
    </row>
    <row r="547" spans="1:1" x14ac:dyDescent="0.25">
      <c r="A547" t="s">
        <v>611</v>
      </c>
    </row>
    <row r="548" spans="1:1" x14ac:dyDescent="0.25">
      <c r="A548" t="s">
        <v>612</v>
      </c>
    </row>
    <row r="549" spans="1:1" x14ac:dyDescent="0.25">
      <c r="A549" t="s">
        <v>613</v>
      </c>
    </row>
    <row r="550" spans="1:1" x14ac:dyDescent="0.25">
      <c r="A550" t="s">
        <v>614</v>
      </c>
    </row>
    <row r="551" spans="1:1" x14ac:dyDescent="0.25">
      <c r="A551" t="s">
        <v>615</v>
      </c>
    </row>
    <row r="552" spans="1:1" x14ac:dyDescent="0.25">
      <c r="A552" t="s">
        <v>616</v>
      </c>
    </row>
    <row r="553" spans="1:1" x14ac:dyDescent="0.25">
      <c r="A553" t="s">
        <v>617</v>
      </c>
    </row>
    <row r="554" spans="1:1" x14ac:dyDescent="0.25">
      <c r="A554" t="s">
        <v>618</v>
      </c>
    </row>
    <row r="555" spans="1:1" x14ac:dyDescent="0.25">
      <c r="A555" t="s">
        <v>619</v>
      </c>
    </row>
    <row r="556" spans="1:1" x14ac:dyDescent="0.25">
      <c r="A556" t="s">
        <v>620</v>
      </c>
    </row>
    <row r="557" spans="1:1" x14ac:dyDescent="0.25">
      <c r="A557" t="s">
        <v>621</v>
      </c>
    </row>
    <row r="558" spans="1:1" x14ac:dyDescent="0.25">
      <c r="A558" t="s">
        <v>622</v>
      </c>
    </row>
    <row r="559" spans="1:1" x14ac:dyDescent="0.25">
      <c r="A559" t="s">
        <v>623</v>
      </c>
    </row>
    <row r="560" spans="1:1" x14ac:dyDescent="0.25">
      <c r="A560" t="s">
        <v>624</v>
      </c>
    </row>
    <row r="561" spans="1:1" x14ac:dyDescent="0.25">
      <c r="A561" t="s">
        <v>625</v>
      </c>
    </row>
    <row r="562" spans="1:1" x14ac:dyDescent="0.25">
      <c r="A562" t="s">
        <v>626</v>
      </c>
    </row>
    <row r="563" spans="1:1" x14ac:dyDescent="0.25">
      <c r="A563" t="s">
        <v>627</v>
      </c>
    </row>
    <row r="564" spans="1:1" x14ac:dyDescent="0.25">
      <c r="A564" t="s">
        <v>628</v>
      </c>
    </row>
    <row r="565" spans="1:1" x14ac:dyDescent="0.25">
      <c r="A565" t="s">
        <v>629</v>
      </c>
    </row>
    <row r="566" spans="1:1" x14ac:dyDescent="0.25">
      <c r="A566" t="s">
        <v>630</v>
      </c>
    </row>
    <row r="567" spans="1:1" x14ac:dyDescent="0.25">
      <c r="A567" t="s">
        <v>631</v>
      </c>
    </row>
    <row r="568" spans="1:1" x14ac:dyDescent="0.25">
      <c r="A568" t="s">
        <v>632</v>
      </c>
    </row>
    <row r="569" spans="1:1" x14ac:dyDescent="0.25">
      <c r="A569" t="s">
        <v>633</v>
      </c>
    </row>
    <row r="570" spans="1:1" x14ac:dyDescent="0.25">
      <c r="A570" t="s">
        <v>634</v>
      </c>
    </row>
    <row r="571" spans="1:1" x14ac:dyDescent="0.25">
      <c r="A571" t="s">
        <v>635</v>
      </c>
    </row>
    <row r="572" spans="1:1" x14ac:dyDescent="0.25">
      <c r="A572" t="s">
        <v>636</v>
      </c>
    </row>
    <row r="573" spans="1:1" x14ac:dyDescent="0.25">
      <c r="A573" t="s">
        <v>637</v>
      </c>
    </row>
    <row r="574" spans="1:1" x14ac:dyDescent="0.25">
      <c r="A574" t="s">
        <v>638</v>
      </c>
    </row>
    <row r="575" spans="1:1" x14ac:dyDescent="0.25">
      <c r="A575" t="s">
        <v>639</v>
      </c>
    </row>
    <row r="576" spans="1:1" x14ac:dyDescent="0.25">
      <c r="A576" t="s">
        <v>640</v>
      </c>
    </row>
    <row r="577" spans="1:1" x14ac:dyDescent="0.25">
      <c r="A577" t="s">
        <v>641</v>
      </c>
    </row>
    <row r="578" spans="1:1" x14ac:dyDescent="0.25">
      <c r="A578" t="s">
        <v>642</v>
      </c>
    </row>
    <row r="579" spans="1:1" x14ac:dyDescent="0.25">
      <c r="A579" t="s">
        <v>643</v>
      </c>
    </row>
    <row r="580" spans="1:1" x14ac:dyDescent="0.25">
      <c r="A580" t="s">
        <v>644</v>
      </c>
    </row>
    <row r="581" spans="1:1" x14ac:dyDescent="0.25">
      <c r="A581" t="s">
        <v>645</v>
      </c>
    </row>
    <row r="582" spans="1:1" x14ac:dyDescent="0.25">
      <c r="A582" t="s">
        <v>646</v>
      </c>
    </row>
    <row r="583" spans="1:1" x14ac:dyDescent="0.25">
      <c r="A583" t="s">
        <v>647</v>
      </c>
    </row>
    <row r="584" spans="1:1" x14ac:dyDescent="0.25">
      <c r="A584" t="s">
        <v>648</v>
      </c>
    </row>
    <row r="585" spans="1:1" x14ac:dyDescent="0.25">
      <c r="A585" t="s">
        <v>649</v>
      </c>
    </row>
    <row r="586" spans="1:1" x14ac:dyDescent="0.25">
      <c r="A586" t="s">
        <v>650</v>
      </c>
    </row>
    <row r="587" spans="1:1" x14ac:dyDescent="0.25">
      <c r="A587" t="s">
        <v>651</v>
      </c>
    </row>
    <row r="588" spans="1:1" x14ac:dyDescent="0.25">
      <c r="A588" t="s">
        <v>652</v>
      </c>
    </row>
    <row r="589" spans="1:1" x14ac:dyDescent="0.25">
      <c r="A589" t="s">
        <v>653</v>
      </c>
    </row>
    <row r="590" spans="1:1" x14ac:dyDescent="0.25">
      <c r="A590" t="s">
        <v>654</v>
      </c>
    </row>
    <row r="591" spans="1:1" x14ac:dyDescent="0.25">
      <c r="A591" t="s">
        <v>655</v>
      </c>
    </row>
    <row r="592" spans="1:1" x14ac:dyDescent="0.25">
      <c r="A592" t="s">
        <v>656</v>
      </c>
    </row>
    <row r="593" spans="1:1" x14ac:dyDescent="0.25">
      <c r="A593" t="s">
        <v>657</v>
      </c>
    </row>
    <row r="594" spans="1:1" x14ac:dyDescent="0.25">
      <c r="A594" t="s">
        <v>658</v>
      </c>
    </row>
    <row r="595" spans="1:1" x14ac:dyDescent="0.25">
      <c r="A595" t="s">
        <v>659</v>
      </c>
    </row>
    <row r="596" spans="1:1" x14ac:dyDescent="0.25">
      <c r="A596" t="s">
        <v>660</v>
      </c>
    </row>
    <row r="597" spans="1:1" x14ac:dyDescent="0.25">
      <c r="A597" t="s">
        <v>661</v>
      </c>
    </row>
    <row r="598" spans="1:1" x14ac:dyDescent="0.25">
      <c r="A598" t="s">
        <v>662</v>
      </c>
    </row>
    <row r="599" spans="1:1" x14ac:dyDescent="0.25">
      <c r="A599" t="s">
        <v>663</v>
      </c>
    </row>
    <row r="600" spans="1:1" x14ac:dyDescent="0.25">
      <c r="A600" t="s">
        <v>664</v>
      </c>
    </row>
    <row r="601" spans="1:1" x14ac:dyDescent="0.25">
      <c r="A601" t="s">
        <v>665</v>
      </c>
    </row>
    <row r="602" spans="1:1" x14ac:dyDescent="0.25">
      <c r="A602" t="s">
        <v>666</v>
      </c>
    </row>
    <row r="603" spans="1:1" x14ac:dyDescent="0.25">
      <c r="A603" t="s">
        <v>667</v>
      </c>
    </row>
    <row r="604" spans="1:1" x14ac:dyDescent="0.25">
      <c r="A604" t="s">
        <v>668</v>
      </c>
    </row>
    <row r="605" spans="1:1" x14ac:dyDescent="0.25">
      <c r="A605" t="s">
        <v>669</v>
      </c>
    </row>
    <row r="606" spans="1:1" x14ac:dyDescent="0.25">
      <c r="A606" t="s">
        <v>670</v>
      </c>
    </row>
    <row r="607" spans="1:1" x14ac:dyDescent="0.25">
      <c r="A607" t="s">
        <v>671</v>
      </c>
    </row>
    <row r="608" spans="1:1" x14ac:dyDescent="0.25">
      <c r="A608" t="s">
        <v>672</v>
      </c>
    </row>
    <row r="609" spans="1:1" x14ac:dyDescent="0.25">
      <c r="A609" t="s">
        <v>673</v>
      </c>
    </row>
    <row r="610" spans="1:1" x14ac:dyDescent="0.25">
      <c r="A610" t="s">
        <v>674</v>
      </c>
    </row>
    <row r="611" spans="1:1" x14ac:dyDescent="0.25">
      <c r="A611" t="s">
        <v>675</v>
      </c>
    </row>
    <row r="612" spans="1:1" x14ac:dyDescent="0.25">
      <c r="A612" t="s">
        <v>676</v>
      </c>
    </row>
    <row r="613" spans="1:1" x14ac:dyDescent="0.25">
      <c r="A613" t="s">
        <v>677</v>
      </c>
    </row>
    <row r="614" spans="1:1" x14ac:dyDescent="0.25">
      <c r="A614" t="s">
        <v>678</v>
      </c>
    </row>
    <row r="615" spans="1:1" x14ac:dyDescent="0.25">
      <c r="A615" t="s">
        <v>679</v>
      </c>
    </row>
    <row r="616" spans="1:1" x14ac:dyDescent="0.25">
      <c r="A616" t="s">
        <v>680</v>
      </c>
    </row>
    <row r="617" spans="1:1" x14ac:dyDescent="0.25">
      <c r="A617" t="s">
        <v>681</v>
      </c>
    </row>
    <row r="618" spans="1:1" x14ac:dyDescent="0.25">
      <c r="A618" t="s">
        <v>682</v>
      </c>
    </row>
    <row r="619" spans="1:1" x14ac:dyDescent="0.25">
      <c r="A619" t="s">
        <v>683</v>
      </c>
    </row>
    <row r="620" spans="1:1" x14ac:dyDescent="0.25">
      <c r="A620" t="s">
        <v>684</v>
      </c>
    </row>
    <row r="621" spans="1:1" x14ac:dyDescent="0.25">
      <c r="A621" t="s">
        <v>685</v>
      </c>
    </row>
    <row r="622" spans="1:1" x14ac:dyDescent="0.25">
      <c r="A622" t="s">
        <v>686</v>
      </c>
    </row>
    <row r="623" spans="1:1" x14ac:dyDescent="0.25">
      <c r="A623" t="s">
        <v>687</v>
      </c>
    </row>
    <row r="624" spans="1:1" x14ac:dyDescent="0.25">
      <c r="A624" t="s">
        <v>688</v>
      </c>
    </row>
    <row r="625" spans="1:1" x14ac:dyDescent="0.25">
      <c r="A625" t="s">
        <v>689</v>
      </c>
    </row>
    <row r="626" spans="1:1" x14ac:dyDescent="0.25">
      <c r="A626" t="s">
        <v>690</v>
      </c>
    </row>
    <row r="627" spans="1:1" x14ac:dyDescent="0.25">
      <c r="A627" t="s">
        <v>691</v>
      </c>
    </row>
    <row r="628" spans="1:1" x14ac:dyDescent="0.25">
      <c r="A628" t="s">
        <v>692</v>
      </c>
    </row>
    <row r="629" spans="1:1" x14ac:dyDescent="0.25">
      <c r="A629" t="s">
        <v>693</v>
      </c>
    </row>
    <row r="630" spans="1:1" x14ac:dyDescent="0.25">
      <c r="A630" t="s">
        <v>694</v>
      </c>
    </row>
    <row r="631" spans="1:1" x14ac:dyDescent="0.25">
      <c r="A631" t="s">
        <v>695</v>
      </c>
    </row>
    <row r="632" spans="1:1" x14ac:dyDescent="0.25">
      <c r="A632" t="s">
        <v>696</v>
      </c>
    </row>
    <row r="633" spans="1:1" x14ac:dyDescent="0.25">
      <c r="A633" t="s">
        <v>697</v>
      </c>
    </row>
    <row r="634" spans="1:1" x14ac:dyDescent="0.25">
      <c r="A634" t="s">
        <v>698</v>
      </c>
    </row>
    <row r="635" spans="1:1" x14ac:dyDescent="0.25">
      <c r="A635" t="s">
        <v>699</v>
      </c>
    </row>
    <row r="636" spans="1:1" x14ac:dyDescent="0.25">
      <c r="A636" t="s">
        <v>700</v>
      </c>
    </row>
    <row r="637" spans="1:1" x14ac:dyDescent="0.25">
      <c r="A637" t="s">
        <v>701</v>
      </c>
    </row>
    <row r="638" spans="1:1" x14ac:dyDescent="0.25">
      <c r="A638" t="s">
        <v>702</v>
      </c>
    </row>
    <row r="639" spans="1:1" x14ac:dyDescent="0.25">
      <c r="A639" t="s">
        <v>703</v>
      </c>
    </row>
    <row r="640" spans="1:1" x14ac:dyDescent="0.25">
      <c r="A640" t="s">
        <v>704</v>
      </c>
    </row>
    <row r="641" spans="1:1" x14ac:dyDescent="0.25">
      <c r="A641" t="s">
        <v>705</v>
      </c>
    </row>
    <row r="642" spans="1:1" x14ac:dyDescent="0.25">
      <c r="A642" t="s">
        <v>706</v>
      </c>
    </row>
    <row r="643" spans="1:1" x14ac:dyDescent="0.25">
      <c r="A643" t="s">
        <v>707</v>
      </c>
    </row>
    <row r="644" spans="1:1" x14ac:dyDescent="0.25">
      <c r="A644" t="s">
        <v>708</v>
      </c>
    </row>
    <row r="645" spans="1:1" x14ac:dyDescent="0.25">
      <c r="A645" t="s">
        <v>709</v>
      </c>
    </row>
    <row r="646" spans="1:1" x14ac:dyDescent="0.25">
      <c r="A646" t="s">
        <v>710</v>
      </c>
    </row>
    <row r="647" spans="1:1" x14ac:dyDescent="0.25">
      <c r="A647" t="s">
        <v>711</v>
      </c>
    </row>
    <row r="648" spans="1:1" x14ac:dyDescent="0.25">
      <c r="A648" t="s">
        <v>712</v>
      </c>
    </row>
    <row r="649" spans="1:1" x14ac:dyDescent="0.25">
      <c r="A649" t="s">
        <v>713</v>
      </c>
    </row>
    <row r="650" spans="1:1" x14ac:dyDescent="0.25">
      <c r="A650" t="s">
        <v>714</v>
      </c>
    </row>
    <row r="651" spans="1:1" x14ac:dyDescent="0.25">
      <c r="A651" t="s">
        <v>715</v>
      </c>
    </row>
    <row r="652" spans="1:1" x14ac:dyDescent="0.25">
      <c r="A652" t="s">
        <v>716</v>
      </c>
    </row>
    <row r="653" spans="1:1" x14ac:dyDescent="0.25">
      <c r="A653" t="s">
        <v>717</v>
      </c>
    </row>
    <row r="654" spans="1:1" x14ac:dyDescent="0.25">
      <c r="A654" t="s">
        <v>718</v>
      </c>
    </row>
    <row r="655" spans="1:1" x14ac:dyDescent="0.25">
      <c r="A655" t="s">
        <v>719</v>
      </c>
    </row>
    <row r="656" spans="1:1" x14ac:dyDescent="0.25">
      <c r="A656" t="s">
        <v>720</v>
      </c>
    </row>
    <row r="657" spans="1:1" x14ac:dyDescent="0.25">
      <c r="A657" t="s">
        <v>721</v>
      </c>
    </row>
    <row r="658" spans="1:1" x14ac:dyDescent="0.25">
      <c r="A658" t="s">
        <v>722</v>
      </c>
    </row>
    <row r="659" spans="1:1" x14ac:dyDescent="0.25">
      <c r="A659" t="s">
        <v>723</v>
      </c>
    </row>
    <row r="660" spans="1:1" x14ac:dyDescent="0.25">
      <c r="A660" t="s">
        <v>724</v>
      </c>
    </row>
    <row r="661" spans="1:1" x14ac:dyDescent="0.25">
      <c r="A661" t="s">
        <v>725</v>
      </c>
    </row>
    <row r="662" spans="1:1" x14ac:dyDescent="0.25">
      <c r="A662" t="s">
        <v>726</v>
      </c>
    </row>
    <row r="663" spans="1:1" x14ac:dyDescent="0.25">
      <c r="A663" t="s">
        <v>727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733</v>
      </c>
    </row>
    <row r="670" spans="1:1" x14ac:dyDescent="0.25">
      <c r="A670" t="s">
        <v>734</v>
      </c>
    </row>
    <row r="671" spans="1:1" x14ac:dyDescent="0.25">
      <c r="A671" t="s">
        <v>735</v>
      </c>
    </row>
    <row r="672" spans="1:1" x14ac:dyDescent="0.25">
      <c r="A672" t="s">
        <v>736</v>
      </c>
    </row>
    <row r="673" spans="1:1" x14ac:dyDescent="0.25">
      <c r="A673" t="s">
        <v>737</v>
      </c>
    </row>
    <row r="674" spans="1:1" x14ac:dyDescent="0.25">
      <c r="A674" t="s">
        <v>738</v>
      </c>
    </row>
    <row r="675" spans="1:1" x14ac:dyDescent="0.25">
      <c r="A675" t="s">
        <v>739</v>
      </c>
    </row>
    <row r="676" spans="1:1" x14ac:dyDescent="0.25">
      <c r="A676" t="s">
        <v>740</v>
      </c>
    </row>
    <row r="677" spans="1:1" x14ac:dyDescent="0.25">
      <c r="A677" t="s">
        <v>741</v>
      </c>
    </row>
    <row r="678" spans="1:1" x14ac:dyDescent="0.25">
      <c r="A678" t="s">
        <v>742</v>
      </c>
    </row>
    <row r="679" spans="1:1" x14ac:dyDescent="0.25">
      <c r="A679" t="s">
        <v>743</v>
      </c>
    </row>
    <row r="680" spans="1:1" x14ac:dyDescent="0.25">
      <c r="A680" t="s">
        <v>744</v>
      </c>
    </row>
    <row r="681" spans="1:1" x14ac:dyDescent="0.25">
      <c r="A681" t="s">
        <v>745</v>
      </c>
    </row>
    <row r="682" spans="1:1" x14ac:dyDescent="0.25">
      <c r="A682" t="s">
        <v>746</v>
      </c>
    </row>
    <row r="683" spans="1:1" x14ac:dyDescent="0.25">
      <c r="A683" t="s">
        <v>747</v>
      </c>
    </row>
    <row r="684" spans="1:1" x14ac:dyDescent="0.25">
      <c r="A684" t="s">
        <v>748</v>
      </c>
    </row>
    <row r="685" spans="1:1" x14ac:dyDescent="0.25">
      <c r="A685" t="s">
        <v>749</v>
      </c>
    </row>
    <row r="686" spans="1:1" x14ac:dyDescent="0.25">
      <c r="A686" t="s">
        <v>750</v>
      </c>
    </row>
    <row r="687" spans="1:1" x14ac:dyDescent="0.25">
      <c r="A687" t="s">
        <v>751</v>
      </c>
    </row>
    <row r="688" spans="1:1" x14ac:dyDescent="0.25">
      <c r="A688" t="s">
        <v>752</v>
      </c>
    </row>
    <row r="689" spans="1:1" x14ac:dyDescent="0.25">
      <c r="A689" t="s">
        <v>753</v>
      </c>
    </row>
    <row r="690" spans="1:1" x14ac:dyDescent="0.25">
      <c r="A690" t="s">
        <v>754</v>
      </c>
    </row>
    <row r="691" spans="1:1" x14ac:dyDescent="0.25">
      <c r="A691" t="s">
        <v>755</v>
      </c>
    </row>
    <row r="692" spans="1:1" x14ac:dyDescent="0.25">
      <c r="A692" t="s">
        <v>756</v>
      </c>
    </row>
    <row r="693" spans="1:1" x14ac:dyDescent="0.25">
      <c r="A693" t="s">
        <v>757</v>
      </c>
    </row>
    <row r="694" spans="1:1" x14ac:dyDescent="0.25">
      <c r="A694" t="s">
        <v>758</v>
      </c>
    </row>
    <row r="695" spans="1:1" x14ac:dyDescent="0.25">
      <c r="A695" t="s">
        <v>759</v>
      </c>
    </row>
    <row r="696" spans="1:1" x14ac:dyDescent="0.25">
      <c r="A696" t="s">
        <v>760</v>
      </c>
    </row>
    <row r="697" spans="1:1" x14ac:dyDescent="0.25">
      <c r="A697" t="s">
        <v>761</v>
      </c>
    </row>
    <row r="698" spans="1:1" x14ac:dyDescent="0.25">
      <c r="A698" t="s">
        <v>762</v>
      </c>
    </row>
    <row r="699" spans="1:1" x14ac:dyDescent="0.25">
      <c r="A699" t="s">
        <v>763</v>
      </c>
    </row>
    <row r="700" spans="1:1" x14ac:dyDescent="0.25">
      <c r="A700" t="s">
        <v>764</v>
      </c>
    </row>
    <row r="701" spans="1:1" x14ac:dyDescent="0.25">
      <c r="A701" t="s">
        <v>765</v>
      </c>
    </row>
    <row r="702" spans="1:1" x14ac:dyDescent="0.25">
      <c r="A702" t="s">
        <v>766</v>
      </c>
    </row>
    <row r="703" spans="1:1" x14ac:dyDescent="0.25">
      <c r="A703" t="s">
        <v>767</v>
      </c>
    </row>
    <row r="704" spans="1:1" x14ac:dyDescent="0.25">
      <c r="A704" t="s">
        <v>768</v>
      </c>
    </row>
    <row r="705" spans="1:1" x14ac:dyDescent="0.25">
      <c r="A705" t="s">
        <v>769</v>
      </c>
    </row>
    <row r="706" spans="1:1" x14ac:dyDescent="0.25">
      <c r="A706" t="s">
        <v>770</v>
      </c>
    </row>
    <row r="707" spans="1:1" x14ac:dyDescent="0.25">
      <c r="A707" t="s">
        <v>771</v>
      </c>
    </row>
    <row r="708" spans="1:1" x14ac:dyDescent="0.25">
      <c r="A708" t="s">
        <v>772</v>
      </c>
    </row>
    <row r="709" spans="1:1" x14ac:dyDescent="0.25">
      <c r="A709" t="s">
        <v>773</v>
      </c>
    </row>
    <row r="710" spans="1:1" x14ac:dyDescent="0.25">
      <c r="A710" t="s">
        <v>774</v>
      </c>
    </row>
    <row r="711" spans="1:1" x14ac:dyDescent="0.25">
      <c r="A711" t="s">
        <v>775</v>
      </c>
    </row>
    <row r="712" spans="1:1" x14ac:dyDescent="0.25">
      <c r="A712" t="s">
        <v>776</v>
      </c>
    </row>
    <row r="713" spans="1:1" x14ac:dyDescent="0.25">
      <c r="A713" t="s">
        <v>777</v>
      </c>
    </row>
    <row r="714" spans="1:1" x14ac:dyDescent="0.25">
      <c r="A714" t="s">
        <v>778</v>
      </c>
    </row>
    <row r="715" spans="1:1" x14ac:dyDescent="0.25">
      <c r="A715" t="s">
        <v>779</v>
      </c>
    </row>
    <row r="716" spans="1:1" x14ac:dyDescent="0.25">
      <c r="A716" t="s">
        <v>780</v>
      </c>
    </row>
    <row r="717" spans="1:1" x14ac:dyDescent="0.25">
      <c r="A717" t="s">
        <v>781</v>
      </c>
    </row>
    <row r="718" spans="1:1" x14ac:dyDescent="0.25">
      <c r="A718" t="s">
        <v>782</v>
      </c>
    </row>
    <row r="719" spans="1:1" x14ac:dyDescent="0.25">
      <c r="A719" t="s">
        <v>783</v>
      </c>
    </row>
    <row r="720" spans="1:1" x14ac:dyDescent="0.25">
      <c r="A720" t="s">
        <v>784</v>
      </c>
    </row>
    <row r="721" spans="1:1" x14ac:dyDescent="0.25">
      <c r="A721" t="s">
        <v>785</v>
      </c>
    </row>
    <row r="722" spans="1:1" x14ac:dyDescent="0.25">
      <c r="A722" t="s">
        <v>786</v>
      </c>
    </row>
    <row r="723" spans="1:1" x14ac:dyDescent="0.25">
      <c r="A723" t="s">
        <v>787</v>
      </c>
    </row>
    <row r="724" spans="1:1" x14ac:dyDescent="0.25">
      <c r="A724" t="s">
        <v>788</v>
      </c>
    </row>
    <row r="725" spans="1:1" x14ac:dyDescent="0.25">
      <c r="A725" t="s">
        <v>789</v>
      </c>
    </row>
    <row r="726" spans="1:1" x14ac:dyDescent="0.25">
      <c r="A726" t="s">
        <v>790</v>
      </c>
    </row>
    <row r="727" spans="1:1" x14ac:dyDescent="0.25">
      <c r="A727" t="s">
        <v>791</v>
      </c>
    </row>
    <row r="728" spans="1:1" x14ac:dyDescent="0.25">
      <c r="A728" t="s">
        <v>792</v>
      </c>
    </row>
    <row r="729" spans="1:1" x14ac:dyDescent="0.25">
      <c r="A729" t="s">
        <v>793</v>
      </c>
    </row>
    <row r="730" spans="1:1" x14ac:dyDescent="0.25">
      <c r="A730" t="s">
        <v>794</v>
      </c>
    </row>
    <row r="731" spans="1:1" x14ac:dyDescent="0.25">
      <c r="A731" t="s">
        <v>795</v>
      </c>
    </row>
    <row r="732" spans="1:1" x14ac:dyDescent="0.25">
      <c r="A732" t="s">
        <v>796</v>
      </c>
    </row>
    <row r="733" spans="1:1" x14ac:dyDescent="0.25">
      <c r="A733" t="s">
        <v>797</v>
      </c>
    </row>
    <row r="734" spans="1:1" x14ac:dyDescent="0.25">
      <c r="A734" t="s">
        <v>798</v>
      </c>
    </row>
    <row r="735" spans="1:1" x14ac:dyDescent="0.25">
      <c r="A735" t="s">
        <v>799</v>
      </c>
    </row>
    <row r="736" spans="1:1" x14ac:dyDescent="0.25">
      <c r="A736" t="s">
        <v>800</v>
      </c>
    </row>
    <row r="737" spans="1:1" x14ac:dyDescent="0.25">
      <c r="A737" t="s">
        <v>801</v>
      </c>
    </row>
    <row r="738" spans="1:1" x14ac:dyDescent="0.25">
      <c r="A738" t="s">
        <v>802</v>
      </c>
    </row>
    <row r="739" spans="1:1" x14ac:dyDescent="0.25">
      <c r="A739" t="s">
        <v>803</v>
      </c>
    </row>
    <row r="740" spans="1:1" x14ac:dyDescent="0.25">
      <c r="A740" t="s">
        <v>804</v>
      </c>
    </row>
    <row r="741" spans="1:1" x14ac:dyDescent="0.25">
      <c r="A741" t="s">
        <v>805</v>
      </c>
    </row>
    <row r="742" spans="1:1" x14ac:dyDescent="0.25">
      <c r="A742" t="s">
        <v>806</v>
      </c>
    </row>
    <row r="743" spans="1:1" x14ac:dyDescent="0.25">
      <c r="A743" t="s">
        <v>807</v>
      </c>
    </row>
    <row r="744" spans="1:1" x14ac:dyDescent="0.25">
      <c r="A744" t="s">
        <v>808</v>
      </c>
    </row>
    <row r="745" spans="1:1" x14ac:dyDescent="0.25">
      <c r="A745" t="s">
        <v>809</v>
      </c>
    </row>
    <row r="746" spans="1:1" x14ac:dyDescent="0.25">
      <c r="A746" t="s">
        <v>810</v>
      </c>
    </row>
    <row r="747" spans="1:1" x14ac:dyDescent="0.25">
      <c r="A747" t="s">
        <v>811</v>
      </c>
    </row>
    <row r="748" spans="1:1" x14ac:dyDescent="0.25">
      <c r="A748" t="s">
        <v>812</v>
      </c>
    </row>
    <row r="749" spans="1:1" x14ac:dyDescent="0.25">
      <c r="A749" t="s">
        <v>813</v>
      </c>
    </row>
    <row r="750" spans="1:1" x14ac:dyDescent="0.25">
      <c r="A750" t="s">
        <v>814</v>
      </c>
    </row>
    <row r="751" spans="1:1" x14ac:dyDescent="0.25">
      <c r="A751" t="s">
        <v>815</v>
      </c>
    </row>
    <row r="752" spans="1:1" x14ac:dyDescent="0.25">
      <c r="A752" t="s">
        <v>816</v>
      </c>
    </row>
    <row r="753" spans="1:1" x14ac:dyDescent="0.25">
      <c r="A753" t="s">
        <v>817</v>
      </c>
    </row>
    <row r="754" spans="1:1" x14ac:dyDescent="0.25">
      <c r="A754" t="s">
        <v>818</v>
      </c>
    </row>
    <row r="755" spans="1:1" x14ac:dyDescent="0.25">
      <c r="A755" t="s">
        <v>819</v>
      </c>
    </row>
    <row r="756" spans="1:1" x14ac:dyDescent="0.25">
      <c r="A756" t="s">
        <v>820</v>
      </c>
    </row>
    <row r="757" spans="1:1" x14ac:dyDescent="0.25">
      <c r="A757" t="s">
        <v>821</v>
      </c>
    </row>
    <row r="758" spans="1:1" x14ac:dyDescent="0.25">
      <c r="A758" t="s">
        <v>822</v>
      </c>
    </row>
    <row r="759" spans="1:1" x14ac:dyDescent="0.25">
      <c r="A759" t="s">
        <v>823</v>
      </c>
    </row>
    <row r="760" spans="1:1" x14ac:dyDescent="0.25">
      <c r="A760" t="s">
        <v>824</v>
      </c>
    </row>
    <row r="761" spans="1:1" x14ac:dyDescent="0.25">
      <c r="A761" t="s">
        <v>825</v>
      </c>
    </row>
    <row r="762" spans="1:1" x14ac:dyDescent="0.25">
      <c r="A762" t="s">
        <v>826</v>
      </c>
    </row>
    <row r="763" spans="1:1" x14ac:dyDescent="0.25">
      <c r="A763" t="s">
        <v>827</v>
      </c>
    </row>
    <row r="764" spans="1:1" x14ac:dyDescent="0.25">
      <c r="A764" t="s">
        <v>828</v>
      </c>
    </row>
    <row r="765" spans="1:1" x14ac:dyDescent="0.25">
      <c r="A765" t="s">
        <v>829</v>
      </c>
    </row>
    <row r="766" spans="1:1" x14ac:dyDescent="0.25">
      <c r="A766" t="s">
        <v>830</v>
      </c>
    </row>
    <row r="767" spans="1:1" x14ac:dyDescent="0.25">
      <c r="A767" t="s">
        <v>831</v>
      </c>
    </row>
    <row r="768" spans="1:1" x14ac:dyDescent="0.25">
      <c r="A768" t="s">
        <v>832</v>
      </c>
    </row>
    <row r="769" spans="1:1" x14ac:dyDescent="0.25">
      <c r="A769" t="s">
        <v>833</v>
      </c>
    </row>
    <row r="770" spans="1:1" x14ac:dyDescent="0.25">
      <c r="A770" t="s">
        <v>834</v>
      </c>
    </row>
    <row r="771" spans="1:1" x14ac:dyDescent="0.25">
      <c r="A771" t="s">
        <v>835</v>
      </c>
    </row>
    <row r="772" spans="1:1" x14ac:dyDescent="0.25">
      <c r="A772" t="s">
        <v>836</v>
      </c>
    </row>
    <row r="773" spans="1:1" x14ac:dyDescent="0.25">
      <c r="A773" t="s">
        <v>837</v>
      </c>
    </row>
    <row r="774" spans="1:1" x14ac:dyDescent="0.25">
      <c r="A774" t="s">
        <v>838</v>
      </c>
    </row>
    <row r="775" spans="1:1" x14ac:dyDescent="0.25">
      <c r="A775" t="s">
        <v>839</v>
      </c>
    </row>
    <row r="776" spans="1:1" x14ac:dyDescent="0.25">
      <c r="A776" t="s">
        <v>840</v>
      </c>
    </row>
    <row r="777" spans="1:1" x14ac:dyDescent="0.25">
      <c r="A777" t="s">
        <v>841</v>
      </c>
    </row>
    <row r="778" spans="1:1" x14ac:dyDescent="0.25">
      <c r="A778" t="s">
        <v>842</v>
      </c>
    </row>
    <row r="779" spans="1:1" x14ac:dyDescent="0.25">
      <c r="A779" t="s">
        <v>843</v>
      </c>
    </row>
    <row r="780" spans="1:1" x14ac:dyDescent="0.25">
      <c r="A780" t="s">
        <v>844</v>
      </c>
    </row>
    <row r="781" spans="1:1" x14ac:dyDescent="0.25">
      <c r="A781" t="s">
        <v>845</v>
      </c>
    </row>
    <row r="782" spans="1:1" x14ac:dyDescent="0.25">
      <c r="A782" t="s">
        <v>846</v>
      </c>
    </row>
    <row r="783" spans="1:1" x14ac:dyDescent="0.25">
      <c r="A783" t="s">
        <v>847</v>
      </c>
    </row>
    <row r="784" spans="1:1" x14ac:dyDescent="0.25">
      <c r="A784" t="s">
        <v>848</v>
      </c>
    </row>
    <row r="785" spans="1:1" x14ac:dyDescent="0.25">
      <c r="A785" t="s">
        <v>849</v>
      </c>
    </row>
    <row r="786" spans="1:1" x14ac:dyDescent="0.25">
      <c r="A786" t="s">
        <v>850</v>
      </c>
    </row>
    <row r="787" spans="1:1" x14ac:dyDescent="0.25">
      <c r="A787" t="s">
        <v>851</v>
      </c>
    </row>
    <row r="788" spans="1:1" x14ac:dyDescent="0.25">
      <c r="A788" t="s">
        <v>852</v>
      </c>
    </row>
    <row r="789" spans="1:1" x14ac:dyDescent="0.25">
      <c r="A789" t="s">
        <v>853</v>
      </c>
    </row>
    <row r="790" spans="1:1" x14ac:dyDescent="0.25">
      <c r="A790" t="s">
        <v>854</v>
      </c>
    </row>
    <row r="791" spans="1:1" x14ac:dyDescent="0.25">
      <c r="A791" t="s">
        <v>855</v>
      </c>
    </row>
    <row r="792" spans="1:1" x14ac:dyDescent="0.25">
      <c r="A792" t="s">
        <v>856</v>
      </c>
    </row>
    <row r="793" spans="1:1" x14ac:dyDescent="0.25">
      <c r="A793" t="s">
        <v>857</v>
      </c>
    </row>
    <row r="794" spans="1:1" x14ac:dyDescent="0.25">
      <c r="A794" t="s">
        <v>858</v>
      </c>
    </row>
    <row r="795" spans="1:1" x14ac:dyDescent="0.25">
      <c r="A795" t="s">
        <v>859</v>
      </c>
    </row>
    <row r="796" spans="1:1" x14ac:dyDescent="0.25">
      <c r="A796" t="s">
        <v>860</v>
      </c>
    </row>
    <row r="797" spans="1:1" x14ac:dyDescent="0.25">
      <c r="A797" t="s">
        <v>861</v>
      </c>
    </row>
    <row r="798" spans="1:1" x14ac:dyDescent="0.25">
      <c r="A798" t="s">
        <v>862</v>
      </c>
    </row>
    <row r="799" spans="1:1" x14ac:dyDescent="0.25">
      <c r="A799" t="s">
        <v>863</v>
      </c>
    </row>
    <row r="800" spans="1:1" x14ac:dyDescent="0.25">
      <c r="A800" t="s">
        <v>864</v>
      </c>
    </row>
    <row r="801" spans="1:1" x14ac:dyDescent="0.25">
      <c r="A801" t="s">
        <v>865</v>
      </c>
    </row>
    <row r="802" spans="1:1" x14ac:dyDescent="0.25">
      <c r="A802" t="s">
        <v>866</v>
      </c>
    </row>
    <row r="803" spans="1:1" x14ac:dyDescent="0.25">
      <c r="A803" t="s">
        <v>867</v>
      </c>
    </row>
    <row r="804" spans="1:1" x14ac:dyDescent="0.25">
      <c r="A804" t="s">
        <v>868</v>
      </c>
    </row>
    <row r="805" spans="1:1" x14ac:dyDescent="0.25">
      <c r="A805" t="s">
        <v>869</v>
      </c>
    </row>
    <row r="806" spans="1:1" x14ac:dyDescent="0.25">
      <c r="A806" t="s">
        <v>870</v>
      </c>
    </row>
    <row r="807" spans="1:1" x14ac:dyDescent="0.25">
      <c r="A807" t="s">
        <v>871</v>
      </c>
    </row>
    <row r="808" spans="1:1" x14ac:dyDescent="0.25">
      <c r="A808" t="s">
        <v>872</v>
      </c>
    </row>
    <row r="809" spans="1:1" x14ac:dyDescent="0.25">
      <c r="A809" t="s">
        <v>873</v>
      </c>
    </row>
    <row r="810" spans="1:1" x14ac:dyDescent="0.25">
      <c r="A810" t="s">
        <v>874</v>
      </c>
    </row>
    <row r="811" spans="1:1" x14ac:dyDescent="0.25">
      <c r="A811" t="s">
        <v>875</v>
      </c>
    </row>
    <row r="812" spans="1:1" x14ac:dyDescent="0.25">
      <c r="A812" t="s">
        <v>876</v>
      </c>
    </row>
    <row r="813" spans="1:1" x14ac:dyDescent="0.25">
      <c r="A813" t="s">
        <v>877</v>
      </c>
    </row>
    <row r="814" spans="1:1" x14ac:dyDescent="0.25">
      <c r="A814" t="s">
        <v>878</v>
      </c>
    </row>
    <row r="815" spans="1:1" x14ac:dyDescent="0.25">
      <c r="A815" t="s">
        <v>879</v>
      </c>
    </row>
    <row r="816" spans="1:1" x14ac:dyDescent="0.25">
      <c r="A816" t="s">
        <v>880</v>
      </c>
    </row>
    <row r="817" spans="1:1" x14ac:dyDescent="0.25">
      <c r="A817" t="s">
        <v>881</v>
      </c>
    </row>
    <row r="818" spans="1:1" x14ac:dyDescent="0.25">
      <c r="A818" t="s">
        <v>882</v>
      </c>
    </row>
    <row r="819" spans="1:1" x14ac:dyDescent="0.25">
      <c r="A819" t="s">
        <v>883</v>
      </c>
    </row>
    <row r="820" spans="1:1" x14ac:dyDescent="0.25">
      <c r="A820" t="s">
        <v>884</v>
      </c>
    </row>
    <row r="821" spans="1:1" x14ac:dyDescent="0.25">
      <c r="A821" t="s">
        <v>885</v>
      </c>
    </row>
    <row r="822" spans="1:1" x14ac:dyDescent="0.25">
      <c r="A822" t="s">
        <v>886</v>
      </c>
    </row>
    <row r="823" spans="1:1" x14ac:dyDescent="0.25">
      <c r="A823" t="s">
        <v>887</v>
      </c>
    </row>
    <row r="824" spans="1:1" x14ac:dyDescent="0.25">
      <c r="A824" t="s">
        <v>888</v>
      </c>
    </row>
    <row r="825" spans="1:1" x14ac:dyDescent="0.25">
      <c r="A825" t="s">
        <v>889</v>
      </c>
    </row>
    <row r="826" spans="1:1" x14ac:dyDescent="0.25">
      <c r="A826" t="s">
        <v>890</v>
      </c>
    </row>
    <row r="827" spans="1:1" x14ac:dyDescent="0.25">
      <c r="A827" t="s">
        <v>891</v>
      </c>
    </row>
    <row r="828" spans="1:1" x14ac:dyDescent="0.25">
      <c r="A828" t="s">
        <v>892</v>
      </c>
    </row>
    <row r="829" spans="1:1" x14ac:dyDescent="0.25">
      <c r="A829" t="s">
        <v>893</v>
      </c>
    </row>
    <row r="830" spans="1:1" x14ac:dyDescent="0.25">
      <c r="A830" t="s">
        <v>894</v>
      </c>
    </row>
    <row r="831" spans="1:1" x14ac:dyDescent="0.25">
      <c r="A831" t="s">
        <v>895</v>
      </c>
    </row>
    <row r="832" spans="1:1" x14ac:dyDescent="0.25">
      <c r="A832" t="s">
        <v>896</v>
      </c>
    </row>
    <row r="833" spans="1:1" x14ac:dyDescent="0.25">
      <c r="A833" t="s">
        <v>897</v>
      </c>
    </row>
    <row r="834" spans="1:1" x14ac:dyDescent="0.25">
      <c r="A834" t="s">
        <v>898</v>
      </c>
    </row>
    <row r="835" spans="1:1" x14ac:dyDescent="0.25">
      <c r="A835" t="s">
        <v>899</v>
      </c>
    </row>
    <row r="836" spans="1:1" x14ac:dyDescent="0.25">
      <c r="A836" t="s">
        <v>900</v>
      </c>
    </row>
    <row r="837" spans="1:1" x14ac:dyDescent="0.25">
      <c r="A837" t="s">
        <v>901</v>
      </c>
    </row>
    <row r="838" spans="1:1" x14ac:dyDescent="0.25">
      <c r="A838" t="s">
        <v>902</v>
      </c>
    </row>
    <row r="839" spans="1:1" x14ac:dyDescent="0.25">
      <c r="A839" t="s">
        <v>903</v>
      </c>
    </row>
    <row r="840" spans="1:1" x14ac:dyDescent="0.25">
      <c r="A840" t="s">
        <v>904</v>
      </c>
    </row>
    <row r="841" spans="1:1" x14ac:dyDescent="0.25">
      <c r="A841" t="s">
        <v>905</v>
      </c>
    </row>
    <row r="842" spans="1:1" x14ac:dyDescent="0.25">
      <c r="A842" t="s">
        <v>906</v>
      </c>
    </row>
    <row r="843" spans="1:1" x14ac:dyDescent="0.25">
      <c r="A843" t="s">
        <v>907</v>
      </c>
    </row>
    <row r="844" spans="1:1" x14ac:dyDescent="0.25">
      <c r="A844" t="s">
        <v>908</v>
      </c>
    </row>
    <row r="845" spans="1:1" x14ac:dyDescent="0.25">
      <c r="A845" t="s">
        <v>909</v>
      </c>
    </row>
    <row r="846" spans="1:1" x14ac:dyDescent="0.25">
      <c r="A846" t="s">
        <v>910</v>
      </c>
    </row>
    <row r="847" spans="1:1" x14ac:dyDescent="0.25">
      <c r="A847" t="s">
        <v>911</v>
      </c>
    </row>
    <row r="848" spans="1:1" x14ac:dyDescent="0.25">
      <c r="A848" t="s">
        <v>912</v>
      </c>
    </row>
    <row r="849" spans="1:1" x14ac:dyDescent="0.25">
      <c r="A849" t="s">
        <v>913</v>
      </c>
    </row>
    <row r="850" spans="1:1" x14ac:dyDescent="0.25">
      <c r="A850" t="s">
        <v>914</v>
      </c>
    </row>
    <row r="851" spans="1:1" x14ac:dyDescent="0.25">
      <c r="A851" t="s">
        <v>915</v>
      </c>
    </row>
    <row r="852" spans="1:1" x14ac:dyDescent="0.25">
      <c r="A852" t="s">
        <v>916</v>
      </c>
    </row>
    <row r="853" spans="1:1" x14ac:dyDescent="0.25">
      <c r="A853" t="s">
        <v>917</v>
      </c>
    </row>
    <row r="854" spans="1:1" x14ac:dyDescent="0.25">
      <c r="A854" t="s">
        <v>918</v>
      </c>
    </row>
    <row r="855" spans="1:1" x14ac:dyDescent="0.25">
      <c r="A855" t="s">
        <v>919</v>
      </c>
    </row>
    <row r="856" spans="1:1" x14ac:dyDescent="0.25">
      <c r="A856" t="s">
        <v>920</v>
      </c>
    </row>
    <row r="857" spans="1:1" x14ac:dyDescent="0.25">
      <c r="A857" t="s">
        <v>921</v>
      </c>
    </row>
    <row r="858" spans="1:1" x14ac:dyDescent="0.25">
      <c r="A858" t="s">
        <v>922</v>
      </c>
    </row>
    <row r="859" spans="1:1" x14ac:dyDescent="0.25">
      <c r="A859" t="s">
        <v>923</v>
      </c>
    </row>
    <row r="860" spans="1:1" x14ac:dyDescent="0.25">
      <c r="A860" t="s">
        <v>924</v>
      </c>
    </row>
    <row r="861" spans="1:1" x14ac:dyDescent="0.25">
      <c r="A861" t="s">
        <v>925</v>
      </c>
    </row>
    <row r="862" spans="1:1" x14ac:dyDescent="0.25">
      <c r="A862" t="s">
        <v>926</v>
      </c>
    </row>
    <row r="863" spans="1:1" x14ac:dyDescent="0.25">
      <c r="A863" t="s">
        <v>927</v>
      </c>
    </row>
    <row r="864" spans="1:1" x14ac:dyDescent="0.25">
      <c r="A864" t="s">
        <v>928</v>
      </c>
    </row>
    <row r="865" spans="1:1" x14ac:dyDescent="0.25">
      <c r="A865" t="s">
        <v>929</v>
      </c>
    </row>
    <row r="866" spans="1:1" x14ac:dyDescent="0.25">
      <c r="A866" t="s">
        <v>930</v>
      </c>
    </row>
    <row r="867" spans="1:1" x14ac:dyDescent="0.25">
      <c r="A867" t="s">
        <v>931</v>
      </c>
    </row>
    <row r="868" spans="1:1" x14ac:dyDescent="0.25">
      <c r="A868" t="s">
        <v>932</v>
      </c>
    </row>
    <row r="869" spans="1:1" x14ac:dyDescent="0.25">
      <c r="A869" t="s">
        <v>933</v>
      </c>
    </row>
    <row r="870" spans="1:1" x14ac:dyDescent="0.25">
      <c r="A870" t="s">
        <v>934</v>
      </c>
    </row>
    <row r="871" spans="1:1" x14ac:dyDescent="0.25">
      <c r="A871" t="s">
        <v>935</v>
      </c>
    </row>
    <row r="872" spans="1:1" x14ac:dyDescent="0.25">
      <c r="A872" t="s">
        <v>936</v>
      </c>
    </row>
    <row r="873" spans="1:1" x14ac:dyDescent="0.25">
      <c r="A873" t="s">
        <v>937</v>
      </c>
    </row>
    <row r="874" spans="1:1" x14ac:dyDescent="0.25">
      <c r="A874" t="s">
        <v>938</v>
      </c>
    </row>
    <row r="875" spans="1:1" x14ac:dyDescent="0.25">
      <c r="A875" t="s">
        <v>939</v>
      </c>
    </row>
    <row r="876" spans="1:1" x14ac:dyDescent="0.25">
      <c r="A876" t="s">
        <v>940</v>
      </c>
    </row>
    <row r="877" spans="1:1" x14ac:dyDescent="0.25">
      <c r="A877" t="s">
        <v>941</v>
      </c>
    </row>
    <row r="878" spans="1:1" x14ac:dyDescent="0.25">
      <c r="A878" t="s">
        <v>942</v>
      </c>
    </row>
    <row r="879" spans="1:1" x14ac:dyDescent="0.25">
      <c r="A879" t="s">
        <v>943</v>
      </c>
    </row>
    <row r="880" spans="1:1" x14ac:dyDescent="0.25">
      <c r="A880" t="s">
        <v>944</v>
      </c>
    </row>
    <row r="881" spans="1:1" x14ac:dyDescent="0.25">
      <c r="A881" t="s">
        <v>945</v>
      </c>
    </row>
    <row r="882" spans="1:1" x14ac:dyDescent="0.25">
      <c r="A882" t="s">
        <v>946</v>
      </c>
    </row>
    <row r="883" spans="1:1" x14ac:dyDescent="0.25">
      <c r="A883" t="s">
        <v>947</v>
      </c>
    </row>
    <row r="884" spans="1:1" x14ac:dyDescent="0.25">
      <c r="A884" t="s">
        <v>948</v>
      </c>
    </row>
    <row r="885" spans="1:1" x14ac:dyDescent="0.25">
      <c r="A885" t="s">
        <v>949</v>
      </c>
    </row>
    <row r="886" spans="1:1" x14ac:dyDescent="0.25">
      <c r="A886" t="s">
        <v>950</v>
      </c>
    </row>
    <row r="887" spans="1:1" x14ac:dyDescent="0.25">
      <c r="A887" t="s">
        <v>951</v>
      </c>
    </row>
    <row r="888" spans="1:1" x14ac:dyDescent="0.25">
      <c r="A888" t="s">
        <v>952</v>
      </c>
    </row>
    <row r="889" spans="1:1" x14ac:dyDescent="0.25">
      <c r="A889" t="s">
        <v>953</v>
      </c>
    </row>
    <row r="890" spans="1:1" x14ac:dyDescent="0.25">
      <c r="A890" t="s">
        <v>954</v>
      </c>
    </row>
    <row r="891" spans="1:1" x14ac:dyDescent="0.25">
      <c r="A891" t="s">
        <v>955</v>
      </c>
    </row>
    <row r="892" spans="1:1" x14ac:dyDescent="0.25">
      <c r="A892" t="s">
        <v>956</v>
      </c>
    </row>
    <row r="893" spans="1:1" x14ac:dyDescent="0.25">
      <c r="A893" t="s">
        <v>957</v>
      </c>
    </row>
    <row r="894" spans="1:1" x14ac:dyDescent="0.25">
      <c r="A894" t="s">
        <v>958</v>
      </c>
    </row>
    <row r="895" spans="1:1" x14ac:dyDescent="0.25">
      <c r="A895" t="s">
        <v>959</v>
      </c>
    </row>
    <row r="896" spans="1:1" x14ac:dyDescent="0.25">
      <c r="A896" t="s">
        <v>960</v>
      </c>
    </row>
    <row r="897" spans="1:1" x14ac:dyDescent="0.25">
      <c r="A897" t="s">
        <v>961</v>
      </c>
    </row>
    <row r="898" spans="1:1" x14ac:dyDescent="0.25">
      <c r="A898" t="s">
        <v>962</v>
      </c>
    </row>
    <row r="899" spans="1:1" x14ac:dyDescent="0.25">
      <c r="A899" t="s">
        <v>963</v>
      </c>
    </row>
    <row r="900" spans="1:1" x14ac:dyDescent="0.25">
      <c r="A900" t="s">
        <v>964</v>
      </c>
    </row>
    <row r="901" spans="1:1" x14ac:dyDescent="0.25">
      <c r="A901" t="s">
        <v>965</v>
      </c>
    </row>
    <row r="902" spans="1:1" x14ac:dyDescent="0.25">
      <c r="A902" t="s">
        <v>966</v>
      </c>
    </row>
    <row r="903" spans="1:1" x14ac:dyDescent="0.25">
      <c r="A903" t="s">
        <v>967</v>
      </c>
    </row>
    <row r="904" spans="1:1" x14ac:dyDescent="0.25">
      <c r="A904" t="s">
        <v>968</v>
      </c>
    </row>
    <row r="905" spans="1:1" x14ac:dyDescent="0.25">
      <c r="A905" t="s">
        <v>969</v>
      </c>
    </row>
    <row r="906" spans="1:1" x14ac:dyDescent="0.25">
      <c r="A906" t="s">
        <v>970</v>
      </c>
    </row>
    <row r="907" spans="1:1" x14ac:dyDescent="0.25">
      <c r="A907" t="s">
        <v>971</v>
      </c>
    </row>
    <row r="908" spans="1:1" x14ac:dyDescent="0.25">
      <c r="A908" t="s">
        <v>972</v>
      </c>
    </row>
    <row r="909" spans="1:1" x14ac:dyDescent="0.25">
      <c r="A909" t="s">
        <v>973</v>
      </c>
    </row>
    <row r="910" spans="1:1" x14ac:dyDescent="0.25">
      <c r="A910" t="s">
        <v>974</v>
      </c>
    </row>
    <row r="911" spans="1:1" x14ac:dyDescent="0.25">
      <c r="A911" t="s">
        <v>975</v>
      </c>
    </row>
    <row r="912" spans="1:1" x14ac:dyDescent="0.25">
      <c r="A912" t="s">
        <v>976</v>
      </c>
    </row>
    <row r="913" spans="1:1" x14ac:dyDescent="0.25">
      <c r="A913" t="s">
        <v>977</v>
      </c>
    </row>
    <row r="914" spans="1:1" x14ac:dyDescent="0.25">
      <c r="A914" t="s">
        <v>978</v>
      </c>
    </row>
    <row r="915" spans="1:1" x14ac:dyDescent="0.25">
      <c r="A915" t="s">
        <v>979</v>
      </c>
    </row>
    <row r="916" spans="1:1" x14ac:dyDescent="0.25">
      <c r="A916" t="s">
        <v>980</v>
      </c>
    </row>
    <row r="917" spans="1:1" x14ac:dyDescent="0.25">
      <c r="A917" t="s">
        <v>981</v>
      </c>
    </row>
    <row r="918" spans="1:1" x14ac:dyDescent="0.25">
      <c r="A918" t="s">
        <v>982</v>
      </c>
    </row>
    <row r="919" spans="1:1" x14ac:dyDescent="0.25">
      <c r="A919" t="s">
        <v>983</v>
      </c>
    </row>
    <row r="920" spans="1:1" x14ac:dyDescent="0.25">
      <c r="A920" t="s">
        <v>984</v>
      </c>
    </row>
    <row r="921" spans="1:1" x14ac:dyDescent="0.25">
      <c r="A921" t="s">
        <v>985</v>
      </c>
    </row>
    <row r="922" spans="1:1" x14ac:dyDescent="0.25">
      <c r="A922" t="s">
        <v>986</v>
      </c>
    </row>
    <row r="923" spans="1:1" x14ac:dyDescent="0.25">
      <c r="A923" t="s">
        <v>987</v>
      </c>
    </row>
    <row r="924" spans="1:1" x14ac:dyDescent="0.25">
      <c r="A924" t="s">
        <v>988</v>
      </c>
    </row>
    <row r="925" spans="1:1" x14ac:dyDescent="0.25">
      <c r="A925" t="s">
        <v>989</v>
      </c>
    </row>
    <row r="926" spans="1:1" x14ac:dyDescent="0.25">
      <c r="A926" t="s">
        <v>990</v>
      </c>
    </row>
    <row r="927" spans="1:1" x14ac:dyDescent="0.25">
      <c r="A927" t="s">
        <v>991</v>
      </c>
    </row>
    <row r="928" spans="1:1" x14ac:dyDescent="0.25">
      <c r="A928" t="s">
        <v>992</v>
      </c>
    </row>
    <row r="929" spans="1:1" x14ac:dyDescent="0.25">
      <c r="A929" t="s">
        <v>993</v>
      </c>
    </row>
    <row r="930" spans="1:1" x14ac:dyDescent="0.25">
      <c r="A930" t="s">
        <v>994</v>
      </c>
    </row>
    <row r="931" spans="1:1" x14ac:dyDescent="0.25">
      <c r="A931" t="s">
        <v>995</v>
      </c>
    </row>
    <row r="932" spans="1:1" x14ac:dyDescent="0.25">
      <c r="A932" t="s">
        <v>996</v>
      </c>
    </row>
    <row r="933" spans="1:1" x14ac:dyDescent="0.25">
      <c r="A933" t="s">
        <v>997</v>
      </c>
    </row>
    <row r="934" spans="1:1" x14ac:dyDescent="0.25">
      <c r="A934" t="s">
        <v>998</v>
      </c>
    </row>
    <row r="935" spans="1:1" x14ac:dyDescent="0.25">
      <c r="A935" t="s">
        <v>999</v>
      </c>
    </row>
    <row r="936" spans="1:1" x14ac:dyDescent="0.25">
      <c r="A936" t="s">
        <v>1000</v>
      </c>
    </row>
    <row r="937" spans="1:1" x14ac:dyDescent="0.25">
      <c r="A937" t="s">
        <v>1001</v>
      </c>
    </row>
    <row r="938" spans="1:1" x14ac:dyDescent="0.25">
      <c r="A938" t="s">
        <v>1002</v>
      </c>
    </row>
    <row r="939" spans="1:1" x14ac:dyDescent="0.25">
      <c r="A939" t="s">
        <v>1003</v>
      </c>
    </row>
    <row r="940" spans="1:1" x14ac:dyDescent="0.25">
      <c r="A940" t="s">
        <v>1004</v>
      </c>
    </row>
    <row r="941" spans="1:1" x14ac:dyDescent="0.25">
      <c r="A941" t="s">
        <v>1005</v>
      </c>
    </row>
    <row r="942" spans="1:1" x14ac:dyDescent="0.25">
      <c r="A942" t="s">
        <v>1006</v>
      </c>
    </row>
    <row r="943" spans="1:1" x14ac:dyDescent="0.25">
      <c r="A943" t="s">
        <v>1007</v>
      </c>
    </row>
    <row r="944" spans="1:1" x14ac:dyDescent="0.25">
      <c r="A944" t="s">
        <v>1008</v>
      </c>
    </row>
    <row r="945" spans="1:1" x14ac:dyDescent="0.25">
      <c r="A945" t="s">
        <v>1009</v>
      </c>
    </row>
    <row r="946" spans="1:1" x14ac:dyDescent="0.25">
      <c r="A946" t="s">
        <v>1010</v>
      </c>
    </row>
    <row r="947" spans="1:1" x14ac:dyDescent="0.25">
      <c r="A947" t="s">
        <v>1011</v>
      </c>
    </row>
    <row r="948" spans="1:1" x14ac:dyDescent="0.25">
      <c r="A948" t="s">
        <v>1012</v>
      </c>
    </row>
    <row r="949" spans="1:1" x14ac:dyDescent="0.25">
      <c r="A949" t="s">
        <v>1013</v>
      </c>
    </row>
    <row r="950" spans="1:1" x14ac:dyDescent="0.25">
      <c r="A950" t="s">
        <v>1014</v>
      </c>
    </row>
    <row r="951" spans="1:1" x14ac:dyDescent="0.25">
      <c r="A951" t="s">
        <v>1015</v>
      </c>
    </row>
    <row r="952" spans="1:1" x14ac:dyDescent="0.25">
      <c r="A952" t="s">
        <v>1016</v>
      </c>
    </row>
    <row r="953" spans="1:1" x14ac:dyDescent="0.25">
      <c r="A953" t="s">
        <v>1017</v>
      </c>
    </row>
    <row r="954" spans="1:1" x14ac:dyDescent="0.25">
      <c r="A954" t="s">
        <v>1018</v>
      </c>
    </row>
    <row r="955" spans="1:1" x14ac:dyDescent="0.25">
      <c r="A955" t="s">
        <v>1019</v>
      </c>
    </row>
    <row r="956" spans="1:1" x14ac:dyDescent="0.25">
      <c r="A956" t="s">
        <v>1020</v>
      </c>
    </row>
    <row r="957" spans="1:1" x14ac:dyDescent="0.25">
      <c r="A957" t="s">
        <v>1021</v>
      </c>
    </row>
    <row r="958" spans="1:1" x14ac:dyDescent="0.25">
      <c r="A958" t="s">
        <v>1022</v>
      </c>
    </row>
    <row r="959" spans="1:1" x14ac:dyDescent="0.25">
      <c r="A959" t="s">
        <v>1023</v>
      </c>
    </row>
    <row r="960" spans="1:1" x14ac:dyDescent="0.25">
      <c r="A960" t="s">
        <v>1024</v>
      </c>
    </row>
    <row r="961" spans="1:1" x14ac:dyDescent="0.25">
      <c r="A961" t="s">
        <v>1025</v>
      </c>
    </row>
    <row r="962" spans="1:1" x14ac:dyDescent="0.25">
      <c r="A962" t="s">
        <v>1026</v>
      </c>
    </row>
    <row r="963" spans="1:1" x14ac:dyDescent="0.25">
      <c r="A963" t="s">
        <v>1027</v>
      </c>
    </row>
    <row r="964" spans="1:1" x14ac:dyDescent="0.25">
      <c r="A964" t="s">
        <v>1028</v>
      </c>
    </row>
    <row r="965" spans="1:1" x14ac:dyDescent="0.25">
      <c r="A965" t="s">
        <v>1029</v>
      </c>
    </row>
    <row r="966" spans="1:1" x14ac:dyDescent="0.25">
      <c r="A966" t="s">
        <v>1030</v>
      </c>
    </row>
    <row r="967" spans="1:1" x14ac:dyDescent="0.25">
      <c r="A967" t="s">
        <v>1031</v>
      </c>
    </row>
    <row r="968" spans="1:1" x14ac:dyDescent="0.25">
      <c r="A968" t="s">
        <v>1032</v>
      </c>
    </row>
    <row r="969" spans="1:1" x14ac:dyDescent="0.25">
      <c r="A969" t="s">
        <v>1033</v>
      </c>
    </row>
    <row r="970" spans="1:1" x14ac:dyDescent="0.25">
      <c r="A970" t="s">
        <v>1034</v>
      </c>
    </row>
    <row r="971" spans="1:1" x14ac:dyDescent="0.25">
      <c r="A971" t="s">
        <v>1035</v>
      </c>
    </row>
    <row r="972" spans="1:1" x14ac:dyDescent="0.25">
      <c r="A972" t="s">
        <v>1036</v>
      </c>
    </row>
    <row r="973" spans="1:1" x14ac:dyDescent="0.25">
      <c r="A973" t="s">
        <v>1037</v>
      </c>
    </row>
    <row r="974" spans="1:1" x14ac:dyDescent="0.25">
      <c r="A974" t="s">
        <v>1038</v>
      </c>
    </row>
    <row r="975" spans="1:1" x14ac:dyDescent="0.25">
      <c r="A975" t="s">
        <v>1039</v>
      </c>
    </row>
    <row r="976" spans="1:1" x14ac:dyDescent="0.25">
      <c r="A976" t="s">
        <v>1040</v>
      </c>
    </row>
    <row r="977" spans="1:1" x14ac:dyDescent="0.25">
      <c r="A977" t="s">
        <v>1041</v>
      </c>
    </row>
    <row r="978" spans="1:1" x14ac:dyDescent="0.25">
      <c r="A978" t="s">
        <v>1042</v>
      </c>
    </row>
    <row r="979" spans="1:1" x14ac:dyDescent="0.25">
      <c r="A979" t="s">
        <v>1043</v>
      </c>
    </row>
    <row r="980" spans="1:1" x14ac:dyDescent="0.25">
      <c r="A980" t="s">
        <v>1044</v>
      </c>
    </row>
    <row r="981" spans="1:1" x14ac:dyDescent="0.25">
      <c r="A981" t="s">
        <v>1045</v>
      </c>
    </row>
    <row r="982" spans="1:1" x14ac:dyDescent="0.25">
      <c r="A982" t="s">
        <v>1046</v>
      </c>
    </row>
    <row r="983" spans="1:1" x14ac:dyDescent="0.25">
      <c r="A983" t="s">
        <v>1047</v>
      </c>
    </row>
    <row r="984" spans="1:1" x14ac:dyDescent="0.25">
      <c r="A984" t="s">
        <v>1048</v>
      </c>
    </row>
    <row r="985" spans="1:1" x14ac:dyDescent="0.25">
      <c r="A985" t="s">
        <v>1049</v>
      </c>
    </row>
    <row r="986" spans="1:1" x14ac:dyDescent="0.25">
      <c r="A986" t="s">
        <v>1050</v>
      </c>
    </row>
    <row r="987" spans="1:1" x14ac:dyDescent="0.25">
      <c r="A987" t="s">
        <v>1051</v>
      </c>
    </row>
    <row r="988" spans="1:1" x14ac:dyDescent="0.25">
      <c r="A988" t="s">
        <v>1052</v>
      </c>
    </row>
    <row r="989" spans="1:1" x14ac:dyDescent="0.25">
      <c r="A989" t="s">
        <v>1053</v>
      </c>
    </row>
    <row r="990" spans="1:1" x14ac:dyDescent="0.25">
      <c r="A990" t="s">
        <v>1054</v>
      </c>
    </row>
    <row r="991" spans="1:1" x14ac:dyDescent="0.25">
      <c r="A991" t="s">
        <v>1055</v>
      </c>
    </row>
    <row r="992" spans="1:1" x14ac:dyDescent="0.25">
      <c r="A992" t="s">
        <v>1056</v>
      </c>
    </row>
    <row r="993" spans="1:1" x14ac:dyDescent="0.25">
      <c r="A993" t="s">
        <v>1057</v>
      </c>
    </row>
    <row r="994" spans="1:1" x14ac:dyDescent="0.25">
      <c r="A994" t="s">
        <v>1058</v>
      </c>
    </row>
    <row r="995" spans="1:1" x14ac:dyDescent="0.25">
      <c r="A995" t="s">
        <v>1059</v>
      </c>
    </row>
    <row r="996" spans="1:1" x14ac:dyDescent="0.25">
      <c r="A996" t="s">
        <v>1060</v>
      </c>
    </row>
    <row r="997" spans="1:1" x14ac:dyDescent="0.25">
      <c r="A997" t="s">
        <v>1061</v>
      </c>
    </row>
    <row r="998" spans="1:1" x14ac:dyDescent="0.25">
      <c r="A998" t="s">
        <v>1062</v>
      </c>
    </row>
    <row r="999" spans="1:1" x14ac:dyDescent="0.25">
      <c r="A999" t="s">
        <v>1063</v>
      </c>
    </row>
    <row r="1000" spans="1:1" x14ac:dyDescent="0.25">
      <c r="A1000" t="s">
        <v>1064</v>
      </c>
    </row>
    <row r="1001" spans="1:1" x14ac:dyDescent="0.25">
      <c r="A1001" t="s">
        <v>1065</v>
      </c>
    </row>
    <row r="1002" spans="1:1" x14ac:dyDescent="0.25">
      <c r="A1002" t="s">
        <v>1066</v>
      </c>
    </row>
    <row r="1003" spans="1:1" x14ac:dyDescent="0.25">
      <c r="A1003" t="s">
        <v>1067</v>
      </c>
    </row>
    <row r="1004" spans="1:1" x14ac:dyDescent="0.25">
      <c r="A1004" t="s">
        <v>1068</v>
      </c>
    </row>
    <row r="1005" spans="1:1" x14ac:dyDescent="0.25">
      <c r="A1005" t="s">
        <v>1069</v>
      </c>
    </row>
    <row r="1006" spans="1:1" x14ac:dyDescent="0.25">
      <c r="A1006" t="s">
        <v>1070</v>
      </c>
    </row>
    <row r="1007" spans="1:1" x14ac:dyDescent="0.25">
      <c r="A1007" t="s">
        <v>1071</v>
      </c>
    </row>
    <row r="1008" spans="1:1" x14ac:dyDescent="0.25">
      <c r="A1008" t="s">
        <v>1072</v>
      </c>
    </row>
    <row r="1009" spans="1:1" x14ac:dyDescent="0.25">
      <c r="A1009" t="s">
        <v>1073</v>
      </c>
    </row>
    <row r="1010" spans="1:1" x14ac:dyDescent="0.25">
      <c r="A1010" t="s">
        <v>1074</v>
      </c>
    </row>
    <row r="1011" spans="1:1" x14ac:dyDescent="0.25">
      <c r="A1011" t="s">
        <v>1075</v>
      </c>
    </row>
    <row r="1012" spans="1:1" x14ac:dyDescent="0.25">
      <c r="A1012" t="s">
        <v>1076</v>
      </c>
    </row>
    <row r="1013" spans="1:1" x14ac:dyDescent="0.25">
      <c r="A1013" t="s">
        <v>1077</v>
      </c>
    </row>
    <row r="1014" spans="1:1" x14ac:dyDescent="0.25">
      <c r="A1014" t="s">
        <v>1078</v>
      </c>
    </row>
    <row r="1015" spans="1:1" x14ac:dyDescent="0.25">
      <c r="A1015" t="s">
        <v>1079</v>
      </c>
    </row>
    <row r="1016" spans="1:1" x14ac:dyDescent="0.25">
      <c r="A1016" t="s">
        <v>1080</v>
      </c>
    </row>
    <row r="1017" spans="1:1" x14ac:dyDescent="0.25">
      <c r="A1017" t="s">
        <v>1081</v>
      </c>
    </row>
    <row r="1018" spans="1:1" x14ac:dyDescent="0.25">
      <c r="A1018" t="s">
        <v>1082</v>
      </c>
    </row>
    <row r="1019" spans="1:1" x14ac:dyDescent="0.25">
      <c r="A1019" t="s">
        <v>1083</v>
      </c>
    </row>
    <row r="1020" spans="1:1" x14ac:dyDescent="0.25">
      <c r="A1020" t="s">
        <v>1084</v>
      </c>
    </row>
    <row r="1021" spans="1:1" x14ac:dyDescent="0.25">
      <c r="A1021" t="s">
        <v>1085</v>
      </c>
    </row>
    <row r="1022" spans="1:1" x14ac:dyDescent="0.25">
      <c r="A1022" t="s">
        <v>1086</v>
      </c>
    </row>
    <row r="1023" spans="1:1" x14ac:dyDescent="0.25">
      <c r="A1023" t="s">
        <v>1087</v>
      </c>
    </row>
    <row r="1024" spans="1:1" x14ac:dyDescent="0.25">
      <c r="A1024" t="s">
        <v>1088</v>
      </c>
    </row>
    <row r="1025" spans="1:1" x14ac:dyDescent="0.25">
      <c r="A1025" t="s">
        <v>1089</v>
      </c>
    </row>
    <row r="1026" spans="1:1" x14ac:dyDescent="0.25">
      <c r="A1026" t="s">
        <v>1090</v>
      </c>
    </row>
    <row r="1027" spans="1:1" x14ac:dyDescent="0.25">
      <c r="A1027" t="s">
        <v>1091</v>
      </c>
    </row>
    <row r="1028" spans="1:1" x14ac:dyDescent="0.25">
      <c r="A1028" t="s">
        <v>1092</v>
      </c>
    </row>
    <row r="1029" spans="1:1" x14ac:dyDescent="0.25">
      <c r="A1029" t="s">
        <v>1093</v>
      </c>
    </row>
    <row r="1030" spans="1:1" x14ac:dyDescent="0.25">
      <c r="A1030" t="s">
        <v>1094</v>
      </c>
    </row>
    <row r="1031" spans="1:1" x14ac:dyDescent="0.25">
      <c r="A1031" t="s">
        <v>1095</v>
      </c>
    </row>
    <row r="1032" spans="1:1" x14ac:dyDescent="0.25">
      <c r="A1032" t="s">
        <v>1096</v>
      </c>
    </row>
    <row r="1033" spans="1:1" x14ac:dyDescent="0.25">
      <c r="A1033" t="s">
        <v>1097</v>
      </c>
    </row>
    <row r="1034" spans="1:1" x14ac:dyDescent="0.25">
      <c r="A1034" t="s">
        <v>1098</v>
      </c>
    </row>
    <row r="1035" spans="1:1" x14ac:dyDescent="0.25">
      <c r="A1035" t="s">
        <v>1099</v>
      </c>
    </row>
    <row r="1036" spans="1:1" x14ac:dyDescent="0.25">
      <c r="A1036" t="s">
        <v>1100</v>
      </c>
    </row>
    <row r="1037" spans="1:1" x14ac:dyDescent="0.25">
      <c r="A1037" t="s">
        <v>1101</v>
      </c>
    </row>
    <row r="1038" spans="1:1" x14ac:dyDescent="0.25">
      <c r="A1038" t="s">
        <v>1102</v>
      </c>
    </row>
    <row r="1039" spans="1:1" x14ac:dyDescent="0.25">
      <c r="A1039" t="s">
        <v>1103</v>
      </c>
    </row>
    <row r="1040" spans="1:1" x14ac:dyDescent="0.25">
      <c r="A1040" t="s">
        <v>1104</v>
      </c>
    </row>
    <row r="1041" spans="1:1" x14ac:dyDescent="0.25">
      <c r="A1041" t="s">
        <v>1105</v>
      </c>
    </row>
    <row r="1042" spans="1:1" x14ac:dyDescent="0.25">
      <c r="A1042" t="s">
        <v>1106</v>
      </c>
    </row>
    <row r="1043" spans="1:1" x14ac:dyDescent="0.25">
      <c r="A1043" t="s">
        <v>1107</v>
      </c>
    </row>
    <row r="1044" spans="1:1" x14ac:dyDescent="0.25">
      <c r="A1044" t="s">
        <v>1108</v>
      </c>
    </row>
    <row r="1045" spans="1:1" x14ac:dyDescent="0.25">
      <c r="A1045" t="s">
        <v>1109</v>
      </c>
    </row>
    <row r="1046" spans="1:1" x14ac:dyDescent="0.25">
      <c r="A1046" t="s">
        <v>1110</v>
      </c>
    </row>
    <row r="1047" spans="1:1" x14ac:dyDescent="0.25">
      <c r="A1047" t="s">
        <v>1111</v>
      </c>
    </row>
    <row r="1048" spans="1:1" x14ac:dyDescent="0.25">
      <c r="A1048" t="s">
        <v>1112</v>
      </c>
    </row>
    <row r="1049" spans="1:1" x14ac:dyDescent="0.25">
      <c r="A1049" t="s">
        <v>1113</v>
      </c>
    </row>
    <row r="1050" spans="1:1" x14ac:dyDescent="0.25">
      <c r="A1050" t="s">
        <v>1114</v>
      </c>
    </row>
    <row r="1051" spans="1:1" x14ac:dyDescent="0.25">
      <c r="A1051" t="s">
        <v>1115</v>
      </c>
    </row>
    <row r="1052" spans="1:1" x14ac:dyDescent="0.25">
      <c r="A1052" t="s">
        <v>1116</v>
      </c>
    </row>
    <row r="1053" spans="1:1" x14ac:dyDescent="0.25">
      <c r="A1053" t="s">
        <v>1117</v>
      </c>
    </row>
    <row r="1054" spans="1:1" x14ac:dyDescent="0.25">
      <c r="A1054" t="s">
        <v>1118</v>
      </c>
    </row>
    <row r="1055" spans="1:1" x14ac:dyDescent="0.25">
      <c r="A1055" t="s">
        <v>1119</v>
      </c>
    </row>
    <row r="1056" spans="1:1" x14ac:dyDescent="0.25">
      <c r="A1056" t="s">
        <v>1120</v>
      </c>
    </row>
    <row r="1057" spans="1:1" x14ac:dyDescent="0.25">
      <c r="A1057" t="s">
        <v>1121</v>
      </c>
    </row>
    <row r="1058" spans="1:1" x14ac:dyDescent="0.25">
      <c r="A1058" t="s">
        <v>1122</v>
      </c>
    </row>
    <row r="1059" spans="1:1" x14ac:dyDescent="0.25">
      <c r="A1059" t="s">
        <v>1123</v>
      </c>
    </row>
    <row r="1060" spans="1:1" x14ac:dyDescent="0.25">
      <c r="A1060" t="s">
        <v>1124</v>
      </c>
    </row>
    <row r="1061" spans="1:1" x14ac:dyDescent="0.25">
      <c r="A1061" t="s">
        <v>1125</v>
      </c>
    </row>
    <row r="1062" spans="1:1" x14ac:dyDescent="0.25">
      <c r="A1062" t="s">
        <v>1126</v>
      </c>
    </row>
    <row r="1063" spans="1:1" x14ac:dyDescent="0.25">
      <c r="A1063" t="s">
        <v>1127</v>
      </c>
    </row>
    <row r="1064" spans="1:1" x14ac:dyDescent="0.25">
      <c r="A1064" t="s">
        <v>1128</v>
      </c>
    </row>
    <row r="1065" spans="1:1" x14ac:dyDescent="0.25">
      <c r="A1065" t="s">
        <v>1129</v>
      </c>
    </row>
    <row r="1066" spans="1:1" x14ac:dyDescent="0.25">
      <c r="A1066" t="s">
        <v>1130</v>
      </c>
    </row>
    <row r="1067" spans="1:1" x14ac:dyDescent="0.25">
      <c r="A1067" t="s">
        <v>1131</v>
      </c>
    </row>
    <row r="1068" spans="1:1" x14ac:dyDescent="0.25">
      <c r="A1068" t="s">
        <v>1132</v>
      </c>
    </row>
    <row r="1069" spans="1:1" x14ac:dyDescent="0.25">
      <c r="A1069" t="s">
        <v>1133</v>
      </c>
    </row>
    <row r="1070" spans="1:1" x14ac:dyDescent="0.25">
      <c r="A1070" t="s">
        <v>1134</v>
      </c>
    </row>
    <row r="1071" spans="1:1" x14ac:dyDescent="0.25">
      <c r="A1071" t="s">
        <v>1135</v>
      </c>
    </row>
    <row r="1072" spans="1:1" x14ac:dyDescent="0.25">
      <c r="A1072" t="s">
        <v>1136</v>
      </c>
    </row>
    <row r="1073" spans="1:1" x14ac:dyDescent="0.25">
      <c r="A1073" t="s">
        <v>1137</v>
      </c>
    </row>
    <row r="1074" spans="1:1" x14ac:dyDescent="0.25">
      <c r="A1074" t="s">
        <v>1138</v>
      </c>
    </row>
    <row r="1075" spans="1:1" x14ac:dyDescent="0.25">
      <c r="A1075" t="s">
        <v>1139</v>
      </c>
    </row>
    <row r="1076" spans="1:1" x14ac:dyDescent="0.25">
      <c r="A1076" t="s">
        <v>1140</v>
      </c>
    </row>
    <row r="1077" spans="1:1" x14ac:dyDescent="0.25">
      <c r="A1077" t="s">
        <v>1141</v>
      </c>
    </row>
    <row r="1078" spans="1:1" x14ac:dyDescent="0.25">
      <c r="A1078" t="s">
        <v>1142</v>
      </c>
    </row>
    <row r="1079" spans="1:1" x14ac:dyDescent="0.25">
      <c r="A1079" t="s">
        <v>1143</v>
      </c>
    </row>
    <row r="1080" spans="1:1" x14ac:dyDescent="0.25">
      <c r="A1080" t="s">
        <v>1144</v>
      </c>
    </row>
    <row r="1081" spans="1:1" x14ac:dyDescent="0.25">
      <c r="A1081" t="s">
        <v>1145</v>
      </c>
    </row>
    <row r="1082" spans="1:1" x14ac:dyDescent="0.25">
      <c r="A1082" t="s">
        <v>1146</v>
      </c>
    </row>
    <row r="1083" spans="1:1" x14ac:dyDescent="0.25">
      <c r="A1083" t="s">
        <v>1147</v>
      </c>
    </row>
    <row r="1084" spans="1:1" x14ac:dyDescent="0.25">
      <c r="A1084" t="s">
        <v>1148</v>
      </c>
    </row>
    <row r="1085" spans="1:1" x14ac:dyDescent="0.25">
      <c r="A1085" t="s">
        <v>1149</v>
      </c>
    </row>
    <row r="1086" spans="1:1" x14ac:dyDescent="0.25">
      <c r="A1086" t="s">
        <v>1150</v>
      </c>
    </row>
    <row r="1087" spans="1:1" x14ac:dyDescent="0.25">
      <c r="A1087" t="s">
        <v>1151</v>
      </c>
    </row>
    <row r="1088" spans="1:1" x14ac:dyDescent="0.25">
      <c r="A1088" t="s">
        <v>1152</v>
      </c>
    </row>
    <row r="1089" spans="1:1" x14ac:dyDescent="0.25">
      <c r="A1089" t="s">
        <v>1153</v>
      </c>
    </row>
    <row r="1090" spans="1:1" x14ac:dyDescent="0.25">
      <c r="A1090" t="s">
        <v>1154</v>
      </c>
    </row>
    <row r="1091" spans="1:1" x14ac:dyDescent="0.25">
      <c r="A1091" t="s">
        <v>1155</v>
      </c>
    </row>
    <row r="1092" spans="1:1" x14ac:dyDescent="0.25">
      <c r="A1092" t="s">
        <v>1156</v>
      </c>
    </row>
    <row r="1093" spans="1:1" x14ac:dyDescent="0.25">
      <c r="A1093" t="s">
        <v>1157</v>
      </c>
    </row>
    <row r="1094" spans="1:1" x14ac:dyDescent="0.25">
      <c r="A1094" t="s">
        <v>1158</v>
      </c>
    </row>
    <row r="1095" spans="1:1" x14ac:dyDescent="0.25">
      <c r="A1095" t="s">
        <v>1159</v>
      </c>
    </row>
    <row r="1096" spans="1:1" x14ac:dyDescent="0.25">
      <c r="A1096" t="s">
        <v>1160</v>
      </c>
    </row>
    <row r="1097" spans="1:1" x14ac:dyDescent="0.25">
      <c r="A1097" t="s">
        <v>1161</v>
      </c>
    </row>
    <row r="1098" spans="1:1" x14ac:dyDescent="0.25">
      <c r="A1098" t="s">
        <v>1162</v>
      </c>
    </row>
    <row r="1099" spans="1:1" x14ac:dyDescent="0.25">
      <c r="A1099" t="s">
        <v>1163</v>
      </c>
    </row>
    <row r="1100" spans="1:1" x14ac:dyDescent="0.25">
      <c r="A1100" t="s">
        <v>1164</v>
      </c>
    </row>
    <row r="1101" spans="1:1" x14ac:dyDescent="0.25">
      <c r="A1101" t="s">
        <v>1165</v>
      </c>
    </row>
    <row r="1102" spans="1:1" x14ac:dyDescent="0.25">
      <c r="A1102" t="s">
        <v>1166</v>
      </c>
    </row>
    <row r="1103" spans="1:1" x14ac:dyDescent="0.25">
      <c r="A1103" t="s">
        <v>1167</v>
      </c>
    </row>
    <row r="1104" spans="1:1" x14ac:dyDescent="0.25">
      <c r="A1104" t="s">
        <v>1168</v>
      </c>
    </row>
    <row r="1105" spans="1:1" x14ac:dyDescent="0.25">
      <c r="A1105" t="s">
        <v>1169</v>
      </c>
    </row>
    <row r="1106" spans="1:1" x14ac:dyDescent="0.25">
      <c r="A1106" t="s">
        <v>1170</v>
      </c>
    </row>
    <row r="1107" spans="1:1" x14ac:dyDescent="0.25">
      <c r="A1107" t="s">
        <v>1171</v>
      </c>
    </row>
    <row r="1108" spans="1:1" x14ac:dyDescent="0.25">
      <c r="A1108" t="s">
        <v>1172</v>
      </c>
    </row>
    <row r="1109" spans="1:1" x14ac:dyDescent="0.25">
      <c r="A1109" t="s">
        <v>1173</v>
      </c>
    </row>
    <row r="1110" spans="1:1" x14ac:dyDescent="0.25">
      <c r="A1110" t="s">
        <v>1174</v>
      </c>
    </row>
    <row r="1111" spans="1:1" x14ac:dyDescent="0.25">
      <c r="A1111" t="s">
        <v>1175</v>
      </c>
    </row>
    <row r="1112" spans="1:1" x14ac:dyDescent="0.25">
      <c r="A1112" t="s">
        <v>1176</v>
      </c>
    </row>
    <row r="1113" spans="1:1" x14ac:dyDescent="0.25">
      <c r="A1113" t="s">
        <v>1177</v>
      </c>
    </row>
    <row r="1114" spans="1:1" x14ac:dyDescent="0.25">
      <c r="A1114" t="s">
        <v>1178</v>
      </c>
    </row>
    <row r="1115" spans="1:1" x14ac:dyDescent="0.25">
      <c r="A1115" t="s">
        <v>1179</v>
      </c>
    </row>
    <row r="1116" spans="1:1" x14ac:dyDescent="0.25">
      <c r="A1116" t="s">
        <v>1180</v>
      </c>
    </row>
    <row r="1117" spans="1:1" x14ac:dyDescent="0.25">
      <c r="A1117" t="s">
        <v>1181</v>
      </c>
    </row>
    <row r="1118" spans="1:1" x14ac:dyDescent="0.25">
      <c r="A1118" t="s">
        <v>1182</v>
      </c>
    </row>
    <row r="1119" spans="1:1" x14ac:dyDescent="0.25">
      <c r="A1119" t="s">
        <v>1183</v>
      </c>
    </row>
    <row r="1120" spans="1:1" x14ac:dyDescent="0.25">
      <c r="A1120" t="s">
        <v>1184</v>
      </c>
    </row>
    <row r="1121" spans="1:1" x14ac:dyDescent="0.25">
      <c r="A1121" t="s">
        <v>1185</v>
      </c>
    </row>
    <row r="1122" spans="1:1" x14ac:dyDescent="0.25">
      <c r="A1122" t="s">
        <v>1186</v>
      </c>
    </row>
    <row r="1123" spans="1:1" x14ac:dyDescent="0.25">
      <c r="A1123" t="s">
        <v>1187</v>
      </c>
    </row>
    <row r="1124" spans="1:1" x14ac:dyDescent="0.25">
      <c r="A1124" t="s">
        <v>1188</v>
      </c>
    </row>
    <row r="1125" spans="1:1" x14ac:dyDescent="0.25">
      <c r="A1125" t="s">
        <v>1189</v>
      </c>
    </row>
    <row r="1126" spans="1:1" x14ac:dyDescent="0.25">
      <c r="A1126" t="s">
        <v>1190</v>
      </c>
    </row>
    <row r="1127" spans="1:1" x14ac:dyDescent="0.25">
      <c r="A1127" t="s">
        <v>1191</v>
      </c>
    </row>
    <row r="1128" spans="1:1" x14ac:dyDescent="0.25">
      <c r="A1128" t="s">
        <v>1192</v>
      </c>
    </row>
    <row r="1129" spans="1:1" x14ac:dyDescent="0.25">
      <c r="A1129" t="s">
        <v>1193</v>
      </c>
    </row>
    <row r="1130" spans="1:1" x14ac:dyDescent="0.25">
      <c r="A1130" t="s">
        <v>1194</v>
      </c>
    </row>
    <row r="1131" spans="1:1" x14ac:dyDescent="0.25">
      <c r="A1131" t="s">
        <v>1195</v>
      </c>
    </row>
    <row r="1132" spans="1:1" x14ac:dyDescent="0.25">
      <c r="A1132" t="s">
        <v>1196</v>
      </c>
    </row>
    <row r="1133" spans="1:1" x14ac:dyDescent="0.25">
      <c r="A1133" t="s">
        <v>1197</v>
      </c>
    </row>
    <row r="1134" spans="1:1" x14ac:dyDescent="0.25">
      <c r="A1134" t="s">
        <v>1198</v>
      </c>
    </row>
    <row r="1135" spans="1:1" x14ac:dyDescent="0.25">
      <c r="A1135" t="s">
        <v>1199</v>
      </c>
    </row>
    <row r="1136" spans="1:1" x14ac:dyDescent="0.25">
      <c r="A1136" t="s">
        <v>1200</v>
      </c>
    </row>
    <row r="1137" spans="1:1" x14ac:dyDescent="0.25">
      <c r="A1137" t="s">
        <v>1201</v>
      </c>
    </row>
    <row r="1138" spans="1:1" x14ac:dyDescent="0.25">
      <c r="A1138" t="s">
        <v>1202</v>
      </c>
    </row>
    <row r="1139" spans="1:1" x14ac:dyDescent="0.25">
      <c r="A1139" t="s">
        <v>1203</v>
      </c>
    </row>
    <row r="1140" spans="1:1" x14ac:dyDescent="0.25">
      <c r="A1140" t="s">
        <v>1204</v>
      </c>
    </row>
    <row r="1141" spans="1:1" x14ac:dyDescent="0.25">
      <c r="A1141" t="s">
        <v>1205</v>
      </c>
    </row>
    <row r="1142" spans="1:1" x14ac:dyDescent="0.25">
      <c r="A1142" t="s">
        <v>1206</v>
      </c>
    </row>
    <row r="1143" spans="1:1" x14ac:dyDescent="0.25">
      <c r="A1143" t="s">
        <v>1207</v>
      </c>
    </row>
    <row r="1144" spans="1:1" x14ac:dyDescent="0.25">
      <c r="A1144" t="s">
        <v>1208</v>
      </c>
    </row>
    <row r="1145" spans="1:1" x14ac:dyDescent="0.25">
      <c r="A1145" t="s">
        <v>1209</v>
      </c>
    </row>
    <row r="1146" spans="1:1" x14ac:dyDescent="0.25">
      <c r="A1146" t="s">
        <v>1210</v>
      </c>
    </row>
    <row r="1147" spans="1:1" x14ac:dyDescent="0.25">
      <c r="A1147" t="s">
        <v>1211</v>
      </c>
    </row>
    <row r="1148" spans="1:1" x14ac:dyDescent="0.25">
      <c r="A1148" t="s">
        <v>1212</v>
      </c>
    </row>
    <row r="1149" spans="1:1" x14ac:dyDescent="0.25">
      <c r="A1149" t="s">
        <v>1213</v>
      </c>
    </row>
    <row r="1150" spans="1:1" x14ac:dyDescent="0.25">
      <c r="A1150" t="s">
        <v>1214</v>
      </c>
    </row>
    <row r="1151" spans="1:1" x14ac:dyDescent="0.25">
      <c r="A1151" t="s">
        <v>1215</v>
      </c>
    </row>
    <row r="1152" spans="1:1" x14ac:dyDescent="0.25">
      <c r="A1152" t="s">
        <v>1216</v>
      </c>
    </row>
    <row r="1153" spans="1:1" x14ac:dyDescent="0.25">
      <c r="A1153" t="s">
        <v>1217</v>
      </c>
    </row>
    <row r="1154" spans="1:1" x14ac:dyDescent="0.25">
      <c r="A1154" t="s">
        <v>1218</v>
      </c>
    </row>
    <row r="1155" spans="1:1" x14ac:dyDescent="0.25">
      <c r="A1155" t="s">
        <v>1219</v>
      </c>
    </row>
    <row r="1156" spans="1:1" x14ac:dyDescent="0.25">
      <c r="A1156" t="s">
        <v>1220</v>
      </c>
    </row>
    <row r="1157" spans="1:1" x14ac:dyDescent="0.25">
      <c r="A1157" t="s">
        <v>1221</v>
      </c>
    </row>
    <row r="1158" spans="1:1" x14ac:dyDescent="0.25">
      <c r="A1158" t="s">
        <v>1222</v>
      </c>
    </row>
    <row r="1159" spans="1:1" x14ac:dyDescent="0.25">
      <c r="A1159" t="s">
        <v>1223</v>
      </c>
    </row>
    <row r="1160" spans="1:1" x14ac:dyDescent="0.25">
      <c r="A1160" t="s">
        <v>1224</v>
      </c>
    </row>
    <row r="1161" spans="1:1" x14ac:dyDescent="0.25">
      <c r="A1161" t="s">
        <v>1225</v>
      </c>
    </row>
    <row r="1162" spans="1:1" x14ac:dyDescent="0.25">
      <c r="A1162" t="s">
        <v>1226</v>
      </c>
    </row>
    <row r="1163" spans="1:1" x14ac:dyDescent="0.25">
      <c r="A1163" t="s">
        <v>1227</v>
      </c>
    </row>
    <row r="1164" spans="1:1" x14ac:dyDescent="0.25">
      <c r="A1164" t="s">
        <v>1228</v>
      </c>
    </row>
    <row r="1165" spans="1:1" x14ac:dyDescent="0.25">
      <c r="A1165" t="s">
        <v>1229</v>
      </c>
    </row>
    <row r="1166" spans="1:1" x14ac:dyDescent="0.25">
      <c r="A1166" t="s">
        <v>1230</v>
      </c>
    </row>
    <row r="1167" spans="1:1" x14ac:dyDescent="0.25">
      <c r="A1167" t="s">
        <v>1231</v>
      </c>
    </row>
    <row r="1168" spans="1:1" x14ac:dyDescent="0.25">
      <c r="A1168" t="s">
        <v>1232</v>
      </c>
    </row>
    <row r="1169" spans="1:1" x14ac:dyDescent="0.25">
      <c r="A1169" t="s">
        <v>1233</v>
      </c>
    </row>
    <row r="1170" spans="1:1" x14ac:dyDescent="0.25">
      <c r="A1170" t="s">
        <v>1234</v>
      </c>
    </row>
    <row r="1171" spans="1:1" x14ac:dyDescent="0.25">
      <c r="A1171" t="s">
        <v>1235</v>
      </c>
    </row>
    <row r="1172" spans="1:1" x14ac:dyDescent="0.25">
      <c r="A1172" t="s">
        <v>1236</v>
      </c>
    </row>
    <row r="1173" spans="1:1" x14ac:dyDescent="0.25">
      <c r="A1173" t="s">
        <v>1237</v>
      </c>
    </row>
    <row r="1174" spans="1:1" x14ac:dyDescent="0.25">
      <c r="A1174" t="s">
        <v>1238</v>
      </c>
    </row>
    <row r="1175" spans="1:1" x14ac:dyDescent="0.25">
      <c r="A1175" t="s">
        <v>1239</v>
      </c>
    </row>
    <row r="1176" spans="1:1" x14ac:dyDescent="0.25">
      <c r="A1176" t="s">
        <v>1240</v>
      </c>
    </row>
    <row r="1177" spans="1:1" x14ac:dyDescent="0.25">
      <c r="A1177" t="s">
        <v>1241</v>
      </c>
    </row>
    <row r="1178" spans="1:1" x14ac:dyDescent="0.25">
      <c r="A1178" t="s">
        <v>1242</v>
      </c>
    </row>
    <row r="1179" spans="1:1" x14ac:dyDescent="0.25">
      <c r="A1179" t="s">
        <v>1243</v>
      </c>
    </row>
    <row r="1180" spans="1:1" x14ac:dyDescent="0.25">
      <c r="A1180" t="s">
        <v>1244</v>
      </c>
    </row>
    <row r="1181" spans="1:1" x14ac:dyDescent="0.25">
      <c r="A1181" t="s">
        <v>1245</v>
      </c>
    </row>
    <row r="1182" spans="1:1" x14ac:dyDescent="0.25">
      <c r="A1182" t="s">
        <v>1246</v>
      </c>
    </row>
    <row r="1183" spans="1:1" x14ac:dyDescent="0.25">
      <c r="A1183" t="s">
        <v>1247</v>
      </c>
    </row>
    <row r="1184" spans="1:1" x14ac:dyDescent="0.25">
      <c r="A1184" t="s">
        <v>1248</v>
      </c>
    </row>
    <row r="1185" spans="1:1" x14ac:dyDescent="0.25">
      <c r="A1185" t="s">
        <v>1249</v>
      </c>
    </row>
    <row r="1186" spans="1:1" x14ac:dyDescent="0.25">
      <c r="A1186" t="s">
        <v>1250</v>
      </c>
    </row>
    <row r="1187" spans="1:1" x14ac:dyDescent="0.25">
      <c r="A1187" t="s">
        <v>1251</v>
      </c>
    </row>
    <row r="1188" spans="1:1" x14ac:dyDescent="0.25">
      <c r="A1188" t="s">
        <v>1252</v>
      </c>
    </row>
    <row r="1189" spans="1:1" x14ac:dyDescent="0.25">
      <c r="A1189" t="s">
        <v>1253</v>
      </c>
    </row>
    <row r="1190" spans="1:1" x14ac:dyDescent="0.25">
      <c r="A1190" t="s">
        <v>1254</v>
      </c>
    </row>
    <row r="1191" spans="1:1" x14ac:dyDescent="0.25">
      <c r="A1191" t="s">
        <v>1255</v>
      </c>
    </row>
    <row r="1192" spans="1:1" x14ac:dyDescent="0.25">
      <c r="A1192" t="s">
        <v>1256</v>
      </c>
    </row>
    <row r="1193" spans="1:1" x14ac:dyDescent="0.25">
      <c r="A1193" t="s">
        <v>1257</v>
      </c>
    </row>
    <row r="1194" spans="1:1" x14ac:dyDescent="0.25">
      <c r="A1194" t="s">
        <v>1258</v>
      </c>
    </row>
    <row r="1195" spans="1:1" x14ac:dyDescent="0.25">
      <c r="A1195" t="s">
        <v>1259</v>
      </c>
    </row>
    <row r="1196" spans="1:1" x14ac:dyDescent="0.25">
      <c r="A1196" t="s">
        <v>1260</v>
      </c>
    </row>
    <row r="1197" spans="1:1" x14ac:dyDescent="0.25">
      <c r="A1197" t="s">
        <v>1261</v>
      </c>
    </row>
    <row r="1198" spans="1:1" x14ac:dyDescent="0.25">
      <c r="A1198" t="s">
        <v>1262</v>
      </c>
    </row>
    <row r="1199" spans="1:1" x14ac:dyDescent="0.25">
      <c r="A1199" t="s">
        <v>1263</v>
      </c>
    </row>
    <row r="1200" spans="1:1" x14ac:dyDescent="0.25">
      <c r="A1200" t="s">
        <v>1264</v>
      </c>
    </row>
    <row r="1201" spans="1:1" x14ac:dyDescent="0.25">
      <c r="A1201" t="s">
        <v>1265</v>
      </c>
    </row>
    <row r="1202" spans="1:1" x14ac:dyDescent="0.25">
      <c r="A1202" t="s">
        <v>1266</v>
      </c>
    </row>
    <row r="1203" spans="1:1" x14ac:dyDescent="0.25">
      <c r="A1203" t="s">
        <v>1267</v>
      </c>
    </row>
    <row r="1204" spans="1:1" x14ac:dyDescent="0.25">
      <c r="A1204" t="s">
        <v>1268</v>
      </c>
    </row>
    <row r="1205" spans="1:1" x14ac:dyDescent="0.25">
      <c r="A1205" t="s">
        <v>1269</v>
      </c>
    </row>
    <row r="1206" spans="1:1" x14ac:dyDescent="0.25">
      <c r="A1206" t="s">
        <v>1270</v>
      </c>
    </row>
    <row r="1207" spans="1:1" x14ac:dyDescent="0.25">
      <c r="A1207" t="s">
        <v>1271</v>
      </c>
    </row>
    <row r="1208" spans="1:1" x14ac:dyDescent="0.25">
      <c r="A1208" t="s">
        <v>1272</v>
      </c>
    </row>
    <row r="1209" spans="1:1" x14ac:dyDescent="0.25">
      <c r="A1209" t="s">
        <v>1273</v>
      </c>
    </row>
    <row r="1210" spans="1:1" x14ac:dyDescent="0.25">
      <c r="A1210" t="s">
        <v>1274</v>
      </c>
    </row>
    <row r="1211" spans="1:1" x14ac:dyDescent="0.25">
      <c r="A1211" t="s">
        <v>1275</v>
      </c>
    </row>
    <row r="1212" spans="1:1" x14ac:dyDescent="0.25">
      <c r="A1212" t="s">
        <v>1276</v>
      </c>
    </row>
    <row r="1213" spans="1:1" x14ac:dyDescent="0.25">
      <c r="A1213" t="s">
        <v>1277</v>
      </c>
    </row>
    <row r="1214" spans="1:1" x14ac:dyDescent="0.25">
      <c r="A1214" t="s">
        <v>1278</v>
      </c>
    </row>
    <row r="1215" spans="1:1" x14ac:dyDescent="0.25">
      <c r="A1215" t="s">
        <v>1279</v>
      </c>
    </row>
    <row r="1216" spans="1:1" x14ac:dyDescent="0.25">
      <c r="A1216" t="s">
        <v>1280</v>
      </c>
    </row>
    <row r="1217" spans="1:1" x14ac:dyDescent="0.25">
      <c r="A1217" t="s">
        <v>1281</v>
      </c>
    </row>
    <row r="1218" spans="1:1" x14ac:dyDescent="0.25">
      <c r="A1218" t="s">
        <v>1282</v>
      </c>
    </row>
    <row r="1219" spans="1:1" x14ac:dyDescent="0.25">
      <c r="A1219" t="s">
        <v>1283</v>
      </c>
    </row>
    <row r="1220" spans="1:1" x14ac:dyDescent="0.25">
      <c r="A1220" t="s">
        <v>1284</v>
      </c>
    </row>
    <row r="1221" spans="1:1" x14ac:dyDescent="0.25">
      <c r="A1221" t="s">
        <v>1285</v>
      </c>
    </row>
    <row r="1222" spans="1:1" x14ac:dyDescent="0.25">
      <c r="A1222" t="s">
        <v>1286</v>
      </c>
    </row>
    <row r="1223" spans="1:1" x14ac:dyDescent="0.25">
      <c r="A1223" t="s">
        <v>1287</v>
      </c>
    </row>
    <row r="1224" spans="1:1" x14ac:dyDescent="0.25">
      <c r="A1224" t="s">
        <v>1288</v>
      </c>
    </row>
    <row r="1225" spans="1:1" x14ac:dyDescent="0.25">
      <c r="A1225" t="s">
        <v>1289</v>
      </c>
    </row>
    <row r="1226" spans="1:1" x14ac:dyDescent="0.25">
      <c r="A1226" t="s">
        <v>1290</v>
      </c>
    </row>
    <row r="1227" spans="1:1" x14ac:dyDescent="0.25">
      <c r="A1227" t="s">
        <v>1291</v>
      </c>
    </row>
    <row r="1228" spans="1:1" x14ac:dyDescent="0.25">
      <c r="A1228" t="s">
        <v>1292</v>
      </c>
    </row>
    <row r="1229" spans="1:1" x14ac:dyDescent="0.25">
      <c r="A1229" t="s">
        <v>1293</v>
      </c>
    </row>
    <row r="1230" spans="1:1" x14ac:dyDescent="0.25">
      <c r="A1230" t="s">
        <v>1294</v>
      </c>
    </row>
    <row r="1231" spans="1:1" x14ac:dyDescent="0.25">
      <c r="A1231" t="s">
        <v>1295</v>
      </c>
    </row>
    <row r="1232" spans="1:1" x14ac:dyDescent="0.25">
      <c r="A1232" t="s">
        <v>1296</v>
      </c>
    </row>
    <row r="1233" spans="1:1" x14ac:dyDescent="0.25">
      <c r="A1233" t="s">
        <v>1297</v>
      </c>
    </row>
    <row r="1234" spans="1:1" x14ac:dyDescent="0.25">
      <c r="A1234" t="s">
        <v>1298</v>
      </c>
    </row>
    <row r="1235" spans="1:1" x14ac:dyDescent="0.25">
      <c r="A1235" t="s">
        <v>1299</v>
      </c>
    </row>
    <row r="1236" spans="1:1" x14ac:dyDescent="0.25">
      <c r="A1236" t="s">
        <v>1300</v>
      </c>
    </row>
    <row r="1237" spans="1:1" x14ac:dyDescent="0.25">
      <c r="A1237" t="s">
        <v>1301</v>
      </c>
    </row>
    <row r="1238" spans="1:1" x14ac:dyDescent="0.25">
      <c r="A1238" t="s">
        <v>1302</v>
      </c>
    </row>
    <row r="1239" spans="1:1" x14ac:dyDescent="0.25">
      <c r="A1239" t="s">
        <v>1303</v>
      </c>
    </row>
    <row r="1240" spans="1:1" x14ac:dyDescent="0.25">
      <c r="A1240" t="s">
        <v>1304</v>
      </c>
    </row>
    <row r="1241" spans="1:1" x14ac:dyDescent="0.25">
      <c r="A1241" t="s">
        <v>1305</v>
      </c>
    </row>
    <row r="1242" spans="1:1" x14ac:dyDescent="0.25">
      <c r="A1242" t="s">
        <v>1306</v>
      </c>
    </row>
    <row r="1243" spans="1:1" x14ac:dyDescent="0.25">
      <c r="A1243" t="s">
        <v>1307</v>
      </c>
    </row>
    <row r="1244" spans="1:1" x14ac:dyDescent="0.25">
      <c r="A1244" t="s">
        <v>1308</v>
      </c>
    </row>
    <row r="1245" spans="1:1" x14ac:dyDescent="0.25">
      <c r="A1245" t="s">
        <v>1309</v>
      </c>
    </row>
    <row r="1246" spans="1:1" x14ac:dyDescent="0.25">
      <c r="A1246" t="s">
        <v>1310</v>
      </c>
    </row>
    <row r="1247" spans="1:1" x14ac:dyDescent="0.25">
      <c r="A1247" t="s">
        <v>1311</v>
      </c>
    </row>
    <row r="1248" spans="1:1" x14ac:dyDescent="0.25">
      <c r="A1248" t="s">
        <v>1312</v>
      </c>
    </row>
    <row r="1249" spans="1:1" x14ac:dyDescent="0.25">
      <c r="A1249" t="s">
        <v>1313</v>
      </c>
    </row>
    <row r="1250" spans="1:1" x14ac:dyDescent="0.25">
      <c r="A1250" t="s">
        <v>1314</v>
      </c>
    </row>
    <row r="1251" spans="1:1" x14ac:dyDescent="0.25">
      <c r="A1251" t="s">
        <v>1315</v>
      </c>
    </row>
    <row r="1252" spans="1:1" x14ac:dyDescent="0.25">
      <c r="A1252" t="s">
        <v>1316</v>
      </c>
    </row>
    <row r="1253" spans="1:1" x14ac:dyDescent="0.25">
      <c r="A1253" t="s">
        <v>1317</v>
      </c>
    </row>
    <row r="1254" spans="1:1" x14ac:dyDescent="0.25">
      <c r="A1254" t="s">
        <v>1318</v>
      </c>
    </row>
    <row r="1255" spans="1:1" x14ac:dyDescent="0.25">
      <c r="A1255" t="s">
        <v>1319</v>
      </c>
    </row>
    <row r="1256" spans="1:1" x14ac:dyDescent="0.25">
      <c r="A1256" t="s">
        <v>1320</v>
      </c>
    </row>
    <row r="1257" spans="1:1" x14ac:dyDescent="0.25">
      <c r="A1257" t="s">
        <v>1321</v>
      </c>
    </row>
    <row r="1258" spans="1:1" x14ac:dyDescent="0.25">
      <c r="A1258" t="s">
        <v>1322</v>
      </c>
    </row>
    <row r="1259" spans="1:1" x14ac:dyDescent="0.25">
      <c r="A1259" t="s">
        <v>1323</v>
      </c>
    </row>
    <row r="1260" spans="1:1" x14ac:dyDescent="0.25">
      <c r="A1260" t="s">
        <v>1324</v>
      </c>
    </row>
    <row r="1261" spans="1:1" x14ac:dyDescent="0.25">
      <c r="A1261" t="s">
        <v>1325</v>
      </c>
    </row>
    <row r="1262" spans="1:1" x14ac:dyDescent="0.25">
      <c r="A1262" t="s">
        <v>1326</v>
      </c>
    </row>
    <row r="1263" spans="1:1" x14ac:dyDescent="0.25">
      <c r="A1263" t="s">
        <v>1327</v>
      </c>
    </row>
    <row r="1264" spans="1:1" x14ac:dyDescent="0.25">
      <c r="A1264" t="s">
        <v>1328</v>
      </c>
    </row>
    <row r="1265" spans="1:1" x14ac:dyDescent="0.25">
      <c r="A1265" t="s">
        <v>1329</v>
      </c>
    </row>
    <row r="1266" spans="1:1" x14ac:dyDescent="0.25">
      <c r="A1266" t="s">
        <v>1330</v>
      </c>
    </row>
    <row r="1267" spans="1:1" x14ac:dyDescent="0.25">
      <c r="A1267" t="s">
        <v>1331</v>
      </c>
    </row>
    <row r="1268" spans="1:1" x14ac:dyDescent="0.25">
      <c r="A1268" t="s">
        <v>1332</v>
      </c>
    </row>
    <row r="1269" spans="1:1" x14ac:dyDescent="0.25">
      <c r="A1269" t="s">
        <v>1333</v>
      </c>
    </row>
    <row r="1270" spans="1:1" x14ac:dyDescent="0.25">
      <c r="A1270" t="s">
        <v>1334</v>
      </c>
    </row>
    <row r="1271" spans="1:1" x14ac:dyDescent="0.25">
      <c r="A1271" t="s">
        <v>1335</v>
      </c>
    </row>
    <row r="1272" spans="1:1" x14ac:dyDescent="0.25">
      <c r="A1272" t="s">
        <v>1336</v>
      </c>
    </row>
    <row r="1273" spans="1:1" x14ac:dyDescent="0.25">
      <c r="A1273" t="s">
        <v>1337</v>
      </c>
    </row>
    <row r="1274" spans="1:1" x14ac:dyDescent="0.25">
      <c r="A1274" t="s">
        <v>1338</v>
      </c>
    </row>
    <row r="1275" spans="1:1" x14ac:dyDescent="0.25">
      <c r="A1275" t="s">
        <v>1339</v>
      </c>
    </row>
    <row r="1276" spans="1:1" x14ac:dyDescent="0.25">
      <c r="A1276" t="s">
        <v>1340</v>
      </c>
    </row>
    <row r="1277" spans="1:1" x14ac:dyDescent="0.25">
      <c r="A1277" t="s">
        <v>1341</v>
      </c>
    </row>
    <row r="1278" spans="1:1" x14ac:dyDescent="0.25">
      <c r="A1278" t="s">
        <v>1342</v>
      </c>
    </row>
    <row r="1279" spans="1:1" x14ac:dyDescent="0.25">
      <c r="A1279" t="s">
        <v>1343</v>
      </c>
    </row>
    <row r="1280" spans="1:1" x14ac:dyDescent="0.25">
      <c r="A1280" t="s">
        <v>1344</v>
      </c>
    </row>
    <row r="1281" spans="1:1" x14ac:dyDescent="0.25">
      <c r="A1281" t="s">
        <v>1345</v>
      </c>
    </row>
    <row r="1282" spans="1:1" x14ac:dyDescent="0.25">
      <c r="A1282" t="s">
        <v>1346</v>
      </c>
    </row>
    <row r="1283" spans="1:1" x14ac:dyDescent="0.25">
      <c r="A1283" t="s">
        <v>1347</v>
      </c>
    </row>
    <row r="1284" spans="1:1" x14ac:dyDescent="0.25">
      <c r="A1284" t="s">
        <v>1348</v>
      </c>
    </row>
    <row r="1285" spans="1:1" x14ac:dyDescent="0.25">
      <c r="A1285" t="s">
        <v>1349</v>
      </c>
    </row>
    <row r="1286" spans="1:1" x14ac:dyDescent="0.25">
      <c r="A1286" t="s">
        <v>1350</v>
      </c>
    </row>
    <row r="1287" spans="1:1" x14ac:dyDescent="0.25">
      <c r="A1287" t="s">
        <v>1351</v>
      </c>
    </row>
    <row r="1288" spans="1:1" x14ac:dyDescent="0.25">
      <c r="A1288" t="s">
        <v>1352</v>
      </c>
    </row>
    <row r="1289" spans="1:1" x14ac:dyDescent="0.25">
      <c r="A1289" t="s">
        <v>1353</v>
      </c>
    </row>
    <row r="1290" spans="1:1" x14ac:dyDescent="0.25">
      <c r="A1290" t="s">
        <v>1354</v>
      </c>
    </row>
    <row r="1291" spans="1:1" x14ac:dyDescent="0.25">
      <c r="A1291" t="s">
        <v>1355</v>
      </c>
    </row>
    <row r="1292" spans="1:1" x14ac:dyDescent="0.25">
      <c r="A1292" t="s">
        <v>1356</v>
      </c>
    </row>
    <row r="1293" spans="1:1" x14ac:dyDescent="0.25">
      <c r="A1293" t="s">
        <v>1357</v>
      </c>
    </row>
    <row r="1294" spans="1:1" x14ac:dyDescent="0.25">
      <c r="A1294" t="s">
        <v>1358</v>
      </c>
    </row>
    <row r="1295" spans="1:1" x14ac:dyDescent="0.25">
      <c r="A1295" t="s">
        <v>1359</v>
      </c>
    </row>
    <row r="1296" spans="1:1" x14ac:dyDescent="0.25">
      <c r="A1296" t="s">
        <v>1360</v>
      </c>
    </row>
    <row r="1297" spans="1:1" x14ac:dyDescent="0.25">
      <c r="A1297" t="s">
        <v>1361</v>
      </c>
    </row>
    <row r="1298" spans="1:1" x14ac:dyDescent="0.25">
      <c r="A1298" t="s">
        <v>1362</v>
      </c>
    </row>
    <row r="1299" spans="1:1" x14ac:dyDescent="0.25">
      <c r="A1299" t="s">
        <v>1363</v>
      </c>
    </row>
    <row r="1300" spans="1:1" x14ac:dyDescent="0.25">
      <c r="A1300" t="s">
        <v>1364</v>
      </c>
    </row>
    <row r="1301" spans="1:1" x14ac:dyDescent="0.25">
      <c r="A1301" t="s">
        <v>1365</v>
      </c>
    </row>
    <row r="1302" spans="1:1" x14ac:dyDescent="0.25">
      <c r="A1302" t="s">
        <v>1366</v>
      </c>
    </row>
    <row r="1303" spans="1:1" x14ac:dyDescent="0.25">
      <c r="A1303" t="s">
        <v>1367</v>
      </c>
    </row>
    <row r="1304" spans="1:1" x14ac:dyDescent="0.25">
      <c r="A1304" t="s">
        <v>1368</v>
      </c>
    </row>
    <row r="1305" spans="1:1" x14ac:dyDescent="0.25">
      <c r="A1305" t="s">
        <v>1369</v>
      </c>
    </row>
    <row r="1306" spans="1:1" x14ac:dyDescent="0.25">
      <c r="A1306" t="s">
        <v>1370</v>
      </c>
    </row>
    <row r="1307" spans="1:1" x14ac:dyDescent="0.25">
      <c r="A1307" t="s">
        <v>1371</v>
      </c>
    </row>
    <row r="1308" spans="1:1" x14ac:dyDescent="0.25">
      <c r="A1308" t="s">
        <v>1372</v>
      </c>
    </row>
    <row r="1309" spans="1:1" x14ac:dyDescent="0.25">
      <c r="A1309" t="s">
        <v>1373</v>
      </c>
    </row>
    <row r="1310" spans="1:1" x14ac:dyDescent="0.25">
      <c r="A1310" t="s">
        <v>1374</v>
      </c>
    </row>
    <row r="1311" spans="1:1" x14ac:dyDescent="0.25">
      <c r="A1311" t="s">
        <v>1375</v>
      </c>
    </row>
    <row r="1312" spans="1:1" x14ac:dyDescent="0.25">
      <c r="A1312" t="s">
        <v>1376</v>
      </c>
    </row>
    <row r="1313" spans="1:1" x14ac:dyDescent="0.25">
      <c r="A1313" t="s">
        <v>1377</v>
      </c>
    </row>
    <row r="1314" spans="1:1" x14ac:dyDescent="0.25">
      <c r="A1314" t="s">
        <v>1378</v>
      </c>
    </row>
    <row r="1315" spans="1:1" x14ac:dyDescent="0.25">
      <c r="A1315" t="s">
        <v>1379</v>
      </c>
    </row>
    <row r="1316" spans="1:1" x14ac:dyDescent="0.25">
      <c r="A1316" t="s">
        <v>1380</v>
      </c>
    </row>
    <row r="1317" spans="1:1" x14ac:dyDescent="0.25">
      <c r="A1317" t="s">
        <v>1381</v>
      </c>
    </row>
    <row r="1318" spans="1:1" x14ac:dyDescent="0.25">
      <c r="A1318" t="s">
        <v>1382</v>
      </c>
    </row>
    <row r="1319" spans="1:1" x14ac:dyDescent="0.25">
      <c r="A1319" t="s">
        <v>1383</v>
      </c>
    </row>
    <row r="1320" spans="1:1" x14ac:dyDescent="0.25">
      <c r="A1320" t="s">
        <v>1384</v>
      </c>
    </row>
    <row r="1321" spans="1:1" x14ac:dyDescent="0.25">
      <c r="A1321" t="s">
        <v>1385</v>
      </c>
    </row>
    <row r="1322" spans="1:1" x14ac:dyDescent="0.25">
      <c r="A1322" t="s">
        <v>1386</v>
      </c>
    </row>
    <row r="1323" spans="1:1" x14ac:dyDescent="0.25">
      <c r="A1323" t="s">
        <v>1387</v>
      </c>
    </row>
    <row r="1324" spans="1:1" x14ac:dyDescent="0.25">
      <c r="A1324" t="s">
        <v>1388</v>
      </c>
    </row>
    <row r="1325" spans="1:1" x14ac:dyDescent="0.25">
      <c r="A1325" t="s">
        <v>1389</v>
      </c>
    </row>
    <row r="1326" spans="1:1" x14ac:dyDescent="0.25">
      <c r="A1326" t="s">
        <v>1390</v>
      </c>
    </row>
    <row r="1327" spans="1:1" x14ac:dyDescent="0.25">
      <c r="A1327" t="s">
        <v>1391</v>
      </c>
    </row>
    <row r="1328" spans="1:1" x14ac:dyDescent="0.25">
      <c r="A1328" t="s">
        <v>1392</v>
      </c>
    </row>
    <row r="1329" spans="1:1" x14ac:dyDescent="0.25">
      <c r="A1329" t="s">
        <v>1393</v>
      </c>
    </row>
    <row r="1330" spans="1:1" x14ac:dyDescent="0.25">
      <c r="A1330" t="s">
        <v>1394</v>
      </c>
    </row>
    <row r="1331" spans="1:1" x14ac:dyDescent="0.25">
      <c r="A1331" t="s">
        <v>1395</v>
      </c>
    </row>
    <row r="1332" spans="1:1" x14ac:dyDescent="0.25">
      <c r="A1332" t="s">
        <v>1396</v>
      </c>
    </row>
    <row r="1333" spans="1:1" x14ac:dyDescent="0.25">
      <c r="A1333" t="s">
        <v>1397</v>
      </c>
    </row>
    <row r="1334" spans="1:1" x14ac:dyDescent="0.25">
      <c r="A1334" t="s">
        <v>1398</v>
      </c>
    </row>
    <row r="1335" spans="1:1" x14ac:dyDescent="0.25">
      <c r="A1335" t="s">
        <v>1399</v>
      </c>
    </row>
    <row r="1336" spans="1:1" x14ac:dyDescent="0.25">
      <c r="A1336" t="s">
        <v>1400</v>
      </c>
    </row>
    <row r="1337" spans="1:1" x14ac:dyDescent="0.25">
      <c r="A1337" t="s">
        <v>1401</v>
      </c>
    </row>
    <row r="1338" spans="1:1" x14ac:dyDescent="0.25">
      <c r="A1338" t="s">
        <v>1402</v>
      </c>
    </row>
    <row r="1339" spans="1:1" x14ac:dyDescent="0.25">
      <c r="A1339" t="s">
        <v>1403</v>
      </c>
    </row>
    <row r="1340" spans="1:1" x14ac:dyDescent="0.25">
      <c r="A1340" t="s">
        <v>1404</v>
      </c>
    </row>
    <row r="1341" spans="1:1" x14ac:dyDescent="0.25">
      <c r="A1341" t="s">
        <v>1405</v>
      </c>
    </row>
    <row r="1342" spans="1:1" x14ac:dyDescent="0.25">
      <c r="A1342" t="s">
        <v>1406</v>
      </c>
    </row>
    <row r="1343" spans="1:1" x14ac:dyDescent="0.25">
      <c r="A1343" t="s">
        <v>1407</v>
      </c>
    </row>
    <row r="1344" spans="1:1" x14ac:dyDescent="0.25">
      <c r="A1344" t="s">
        <v>1408</v>
      </c>
    </row>
    <row r="1345" spans="1:1" x14ac:dyDescent="0.25">
      <c r="A1345" t="s">
        <v>1409</v>
      </c>
    </row>
    <row r="1346" spans="1:1" x14ac:dyDescent="0.25">
      <c r="A1346" t="s">
        <v>1410</v>
      </c>
    </row>
    <row r="1347" spans="1:1" x14ac:dyDescent="0.25">
      <c r="A1347" t="s">
        <v>1411</v>
      </c>
    </row>
    <row r="1348" spans="1:1" x14ac:dyDescent="0.25">
      <c r="A1348" t="s">
        <v>1412</v>
      </c>
    </row>
    <row r="1349" spans="1:1" x14ac:dyDescent="0.25">
      <c r="A1349" t="s">
        <v>1413</v>
      </c>
    </row>
    <row r="1350" spans="1:1" x14ac:dyDescent="0.25">
      <c r="A1350" t="s">
        <v>1414</v>
      </c>
    </row>
    <row r="1351" spans="1:1" x14ac:dyDescent="0.25">
      <c r="A1351" t="s">
        <v>1415</v>
      </c>
    </row>
    <row r="1352" spans="1:1" x14ac:dyDescent="0.25">
      <c r="A1352" t="s">
        <v>1416</v>
      </c>
    </row>
    <row r="1353" spans="1:1" x14ac:dyDescent="0.25">
      <c r="A1353" t="s">
        <v>1417</v>
      </c>
    </row>
    <row r="1354" spans="1:1" x14ac:dyDescent="0.25">
      <c r="A1354" t="s">
        <v>1418</v>
      </c>
    </row>
    <row r="1355" spans="1:1" x14ac:dyDescent="0.25">
      <c r="A1355" t="s">
        <v>1419</v>
      </c>
    </row>
    <row r="1356" spans="1:1" x14ac:dyDescent="0.25">
      <c r="A1356" t="s">
        <v>1420</v>
      </c>
    </row>
    <row r="1357" spans="1:1" x14ac:dyDescent="0.25">
      <c r="A1357" t="s">
        <v>1421</v>
      </c>
    </row>
    <row r="1358" spans="1:1" x14ac:dyDescent="0.25">
      <c r="A1358" t="s">
        <v>1422</v>
      </c>
    </row>
    <row r="1359" spans="1:1" x14ac:dyDescent="0.25">
      <c r="A1359" t="s">
        <v>1423</v>
      </c>
    </row>
    <row r="1360" spans="1:1" x14ac:dyDescent="0.25">
      <c r="A1360" t="s">
        <v>1424</v>
      </c>
    </row>
    <row r="1361" spans="1:1" x14ac:dyDescent="0.25">
      <c r="A1361" t="s">
        <v>1425</v>
      </c>
    </row>
    <row r="1362" spans="1:1" x14ac:dyDescent="0.25">
      <c r="A1362" t="s">
        <v>1426</v>
      </c>
    </row>
    <row r="1363" spans="1:1" x14ac:dyDescent="0.25">
      <c r="A1363" t="s">
        <v>1427</v>
      </c>
    </row>
    <row r="1364" spans="1:1" x14ac:dyDescent="0.25">
      <c r="A1364" t="s">
        <v>1428</v>
      </c>
    </row>
    <row r="1365" spans="1:1" x14ac:dyDescent="0.25">
      <c r="A1365" t="s">
        <v>1429</v>
      </c>
    </row>
    <row r="1366" spans="1:1" x14ac:dyDescent="0.25">
      <c r="A1366" t="s">
        <v>1430</v>
      </c>
    </row>
    <row r="1367" spans="1:1" x14ac:dyDescent="0.25">
      <c r="A1367" t="s">
        <v>1431</v>
      </c>
    </row>
    <row r="1368" spans="1:1" x14ac:dyDescent="0.25">
      <c r="A1368" t="s">
        <v>1432</v>
      </c>
    </row>
    <row r="1369" spans="1:1" x14ac:dyDescent="0.25">
      <c r="A1369" t="s">
        <v>1433</v>
      </c>
    </row>
    <row r="1370" spans="1:1" x14ac:dyDescent="0.25">
      <c r="A1370" t="s">
        <v>1434</v>
      </c>
    </row>
    <row r="1371" spans="1:1" x14ac:dyDescent="0.25">
      <c r="A1371" t="s">
        <v>1435</v>
      </c>
    </row>
    <row r="1372" spans="1:1" x14ac:dyDescent="0.25">
      <c r="A1372" t="s">
        <v>1436</v>
      </c>
    </row>
    <row r="1373" spans="1:1" x14ac:dyDescent="0.25">
      <c r="A1373" t="s">
        <v>1437</v>
      </c>
    </row>
    <row r="1374" spans="1:1" x14ac:dyDescent="0.25">
      <c r="A1374" t="s">
        <v>1438</v>
      </c>
    </row>
    <row r="1375" spans="1:1" x14ac:dyDescent="0.25">
      <c r="A1375" t="s">
        <v>1439</v>
      </c>
    </row>
    <row r="1376" spans="1:1" x14ac:dyDescent="0.25">
      <c r="A1376" t="s">
        <v>1440</v>
      </c>
    </row>
    <row r="1377" spans="1:1" x14ac:dyDescent="0.25">
      <c r="A1377" t="s">
        <v>1441</v>
      </c>
    </row>
    <row r="1378" spans="1:1" x14ac:dyDescent="0.25">
      <c r="A1378" t="s">
        <v>1442</v>
      </c>
    </row>
    <row r="1379" spans="1:1" x14ac:dyDescent="0.25">
      <c r="A1379" t="s">
        <v>1443</v>
      </c>
    </row>
    <row r="1380" spans="1:1" x14ac:dyDescent="0.25">
      <c r="A1380" t="s">
        <v>1444</v>
      </c>
    </row>
    <row r="1381" spans="1:1" x14ac:dyDescent="0.25">
      <c r="A1381" t="s">
        <v>1445</v>
      </c>
    </row>
    <row r="1382" spans="1:1" x14ac:dyDescent="0.25">
      <c r="A1382" t="s">
        <v>1446</v>
      </c>
    </row>
    <row r="1383" spans="1:1" x14ac:dyDescent="0.25">
      <c r="A1383" t="s">
        <v>1447</v>
      </c>
    </row>
    <row r="1384" spans="1:1" x14ac:dyDescent="0.25">
      <c r="A1384" t="s">
        <v>1448</v>
      </c>
    </row>
    <row r="1385" spans="1:1" x14ac:dyDescent="0.25">
      <c r="A1385" t="s">
        <v>1449</v>
      </c>
    </row>
    <row r="1386" spans="1:1" x14ac:dyDescent="0.25">
      <c r="A1386" t="s">
        <v>1450</v>
      </c>
    </row>
    <row r="1387" spans="1:1" x14ac:dyDescent="0.25">
      <c r="A1387" t="s">
        <v>1451</v>
      </c>
    </row>
    <row r="1388" spans="1:1" x14ac:dyDescent="0.25">
      <c r="A1388" t="s">
        <v>1452</v>
      </c>
    </row>
    <row r="1389" spans="1:1" x14ac:dyDescent="0.25">
      <c r="A1389" t="s">
        <v>1453</v>
      </c>
    </row>
    <row r="1390" spans="1:1" x14ac:dyDescent="0.25">
      <c r="A1390" t="s">
        <v>1454</v>
      </c>
    </row>
    <row r="1391" spans="1:1" x14ac:dyDescent="0.25">
      <c r="A1391" t="s">
        <v>1455</v>
      </c>
    </row>
    <row r="1392" spans="1:1" x14ac:dyDescent="0.25">
      <c r="A1392" t="s">
        <v>1456</v>
      </c>
    </row>
    <row r="1393" spans="1:1" x14ac:dyDescent="0.25">
      <c r="A1393" t="s">
        <v>1457</v>
      </c>
    </row>
    <row r="1394" spans="1:1" x14ac:dyDescent="0.25">
      <c r="A1394" t="s">
        <v>1458</v>
      </c>
    </row>
    <row r="1395" spans="1:1" x14ac:dyDescent="0.25">
      <c r="A1395" t="s">
        <v>1459</v>
      </c>
    </row>
    <row r="1396" spans="1:1" x14ac:dyDescent="0.25">
      <c r="A1396" t="s">
        <v>1460</v>
      </c>
    </row>
    <row r="1397" spans="1:1" x14ac:dyDescent="0.25">
      <c r="A1397" t="s">
        <v>1461</v>
      </c>
    </row>
    <row r="1398" spans="1:1" x14ac:dyDescent="0.25">
      <c r="A1398" t="s">
        <v>1462</v>
      </c>
    </row>
    <row r="1399" spans="1:1" x14ac:dyDescent="0.25">
      <c r="A1399" t="s">
        <v>1463</v>
      </c>
    </row>
    <row r="1400" spans="1:1" x14ac:dyDescent="0.25">
      <c r="A1400" t="s">
        <v>1464</v>
      </c>
    </row>
    <row r="1401" spans="1:1" x14ac:dyDescent="0.25">
      <c r="A1401" t="s">
        <v>1465</v>
      </c>
    </row>
    <row r="1402" spans="1:1" x14ac:dyDescent="0.25">
      <c r="A1402" t="s">
        <v>1466</v>
      </c>
    </row>
    <row r="1403" spans="1:1" x14ac:dyDescent="0.25">
      <c r="A1403" t="s">
        <v>1467</v>
      </c>
    </row>
    <row r="1404" spans="1:1" x14ac:dyDescent="0.25">
      <c r="A1404" t="s">
        <v>1468</v>
      </c>
    </row>
    <row r="1405" spans="1:1" x14ac:dyDescent="0.25">
      <c r="A1405" t="s">
        <v>1469</v>
      </c>
    </row>
    <row r="1406" spans="1:1" x14ac:dyDescent="0.25">
      <c r="A1406" t="s">
        <v>1470</v>
      </c>
    </row>
    <row r="1407" spans="1:1" x14ac:dyDescent="0.25">
      <c r="A1407" t="s">
        <v>1471</v>
      </c>
    </row>
    <row r="1408" spans="1:1" x14ac:dyDescent="0.25">
      <c r="A1408" t="s">
        <v>1472</v>
      </c>
    </row>
    <row r="1409" spans="1:1" x14ac:dyDescent="0.25">
      <c r="A1409" t="s">
        <v>1473</v>
      </c>
    </row>
    <row r="1410" spans="1:1" x14ac:dyDescent="0.25">
      <c r="A1410" t="s">
        <v>1474</v>
      </c>
    </row>
    <row r="1411" spans="1:1" x14ac:dyDescent="0.25">
      <c r="A1411" t="s">
        <v>1475</v>
      </c>
    </row>
    <row r="1412" spans="1:1" x14ac:dyDescent="0.25">
      <c r="A1412" t="s">
        <v>1476</v>
      </c>
    </row>
    <row r="1413" spans="1:1" x14ac:dyDescent="0.25">
      <c r="A1413" t="s">
        <v>1477</v>
      </c>
    </row>
    <row r="1414" spans="1:1" x14ac:dyDescent="0.25">
      <c r="A1414" t="s">
        <v>1478</v>
      </c>
    </row>
    <row r="1415" spans="1:1" x14ac:dyDescent="0.25">
      <c r="A1415" t="s">
        <v>1479</v>
      </c>
    </row>
    <row r="1416" spans="1:1" x14ac:dyDescent="0.25">
      <c r="A1416" t="s">
        <v>1480</v>
      </c>
    </row>
    <row r="1417" spans="1:1" x14ac:dyDescent="0.25">
      <c r="A1417" t="s">
        <v>1481</v>
      </c>
    </row>
    <row r="1418" spans="1:1" x14ac:dyDescent="0.25">
      <c r="A1418" t="s">
        <v>1482</v>
      </c>
    </row>
    <row r="1419" spans="1:1" x14ac:dyDescent="0.25">
      <c r="A1419" t="s">
        <v>1483</v>
      </c>
    </row>
    <row r="1420" spans="1:1" x14ac:dyDescent="0.25">
      <c r="A1420" t="s">
        <v>1484</v>
      </c>
    </row>
    <row r="1421" spans="1:1" x14ac:dyDescent="0.25">
      <c r="A1421" t="s">
        <v>1485</v>
      </c>
    </row>
    <row r="1422" spans="1:1" x14ac:dyDescent="0.25">
      <c r="A1422" t="s">
        <v>1486</v>
      </c>
    </row>
    <row r="1423" spans="1:1" x14ac:dyDescent="0.25">
      <c r="A1423" t="s">
        <v>1487</v>
      </c>
    </row>
    <row r="1424" spans="1:1" x14ac:dyDescent="0.25">
      <c r="A1424" t="s">
        <v>1488</v>
      </c>
    </row>
    <row r="1425" spans="1:1" x14ac:dyDescent="0.25">
      <c r="A1425" t="s">
        <v>1489</v>
      </c>
    </row>
    <row r="1426" spans="1:1" x14ac:dyDescent="0.25">
      <c r="A1426" t="s">
        <v>1490</v>
      </c>
    </row>
    <row r="1427" spans="1:1" x14ac:dyDescent="0.25">
      <c r="A1427" t="s">
        <v>1491</v>
      </c>
    </row>
    <row r="1428" spans="1:1" x14ac:dyDescent="0.25">
      <c r="A1428" t="s">
        <v>1492</v>
      </c>
    </row>
    <row r="1429" spans="1:1" x14ac:dyDescent="0.25">
      <c r="A1429" t="s">
        <v>1493</v>
      </c>
    </row>
    <row r="1430" spans="1:1" x14ac:dyDescent="0.25">
      <c r="A1430" t="s">
        <v>1494</v>
      </c>
    </row>
    <row r="1431" spans="1:1" x14ac:dyDescent="0.25">
      <c r="A1431" t="s">
        <v>1495</v>
      </c>
    </row>
    <row r="1432" spans="1:1" x14ac:dyDescent="0.25">
      <c r="A1432" t="s">
        <v>1496</v>
      </c>
    </row>
    <row r="1433" spans="1:1" x14ac:dyDescent="0.25">
      <c r="A1433" t="s">
        <v>1497</v>
      </c>
    </row>
    <row r="1434" spans="1:1" x14ac:dyDescent="0.25">
      <c r="A1434" t="s">
        <v>1498</v>
      </c>
    </row>
    <row r="1435" spans="1:1" x14ac:dyDescent="0.25">
      <c r="A1435" t="s">
        <v>1499</v>
      </c>
    </row>
    <row r="1436" spans="1:1" x14ac:dyDescent="0.25">
      <c r="A1436" t="s">
        <v>1500</v>
      </c>
    </row>
    <row r="1437" spans="1:1" x14ac:dyDescent="0.25">
      <c r="A1437" t="s">
        <v>1501</v>
      </c>
    </row>
    <row r="1438" spans="1:1" x14ac:dyDescent="0.25">
      <c r="A1438" t="s">
        <v>1502</v>
      </c>
    </row>
    <row r="1439" spans="1:1" x14ac:dyDescent="0.25">
      <c r="A1439" t="s">
        <v>1503</v>
      </c>
    </row>
    <row r="1440" spans="1:1" x14ac:dyDescent="0.25">
      <c r="A1440" t="s">
        <v>1504</v>
      </c>
    </row>
    <row r="1441" spans="1:1" x14ac:dyDescent="0.25">
      <c r="A1441" t="s">
        <v>1505</v>
      </c>
    </row>
    <row r="1442" spans="1:1" x14ac:dyDescent="0.25">
      <c r="A1442" t="s">
        <v>1506</v>
      </c>
    </row>
    <row r="1443" spans="1:1" x14ac:dyDescent="0.25">
      <c r="A1443" t="s">
        <v>1507</v>
      </c>
    </row>
    <row r="1444" spans="1:1" x14ac:dyDescent="0.25">
      <c r="A1444" t="s">
        <v>1508</v>
      </c>
    </row>
    <row r="1445" spans="1:1" x14ac:dyDescent="0.25">
      <c r="A1445" t="s">
        <v>1509</v>
      </c>
    </row>
    <row r="1446" spans="1:1" x14ac:dyDescent="0.25">
      <c r="A1446" t="s">
        <v>1510</v>
      </c>
    </row>
    <row r="1447" spans="1:1" x14ac:dyDescent="0.25">
      <c r="A1447" t="s">
        <v>1511</v>
      </c>
    </row>
    <row r="1448" spans="1:1" x14ac:dyDescent="0.25">
      <c r="A1448" t="s">
        <v>1512</v>
      </c>
    </row>
    <row r="1449" spans="1:1" x14ac:dyDescent="0.25">
      <c r="A1449" t="s">
        <v>1513</v>
      </c>
    </row>
    <row r="1450" spans="1:1" x14ac:dyDescent="0.25">
      <c r="A1450" t="s">
        <v>1514</v>
      </c>
    </row>
    <row r="1451" spans="1:1" x14ac:dyDescent="0.25">
      <c r="A1451" t="s">
        <v>1515</v>
      </c>
    </row>
    <row r="1452" spans="1:1" x14ac:dyDescent="0.25">
      <c r="A1452" t="s">
        <v>1516</v>
      </c>
    </row>
    <row r="1453" spans="1:1" x14ac:dyDescent="0.25">
      <c r="A1453" t="s">
        <v>1517</v>
      </c>
    </row>
    <row r="1454" spans="1:1" x14ac:dyDescent="0.25">
      <c r="A1454" t="s">
        <v>1518</v>
      </c>
    </row>
    <row r="1455" spans="1:1" x14ac:dyDescent="0.25">
      <c r="A1455" t="s">
        <v>1519</v>
      </c>
    </row>
    <row r="1456" spans="1:1" x14ac:dyDescent="0.25">
      <c r="A1456" t="s">
        <v>1520</v>
      </c>
    </row>
    <row r="1457" spans="1:1" x14ac:dyDescent="0.25">
      <c r="A1457" t="s">
        <v>1521</v>
      </c>
    </row>
    <row r="1458" spans="1:1" x14ac:dyDescent="0.25">
      <c r="A1458" t="s">
        <v>1522</v>
      </c>
    </row>
    <row r="1459" spans="1:1" x14ac:dyDescent="0.25">
      <c r="A1459" t="s">
        <v>1523</v>
      </c>
    </row>
    <row r="1460" spans="1:1" x14ac:dyDescent="0.25">
      <c r="A1460" t="s">
        <v>1524</v>
      </c>
    </row>
    <row r="1461" spans="1:1" x14ac:dyDescent="0.25">
      <c r="A1461" t="s">
        <v>1525</v>
      </c>
    </row>
    <row r="1462" spans="1:1" x14ac:dyDescent="0.25">
      <c r="A1462" t="s">
        <v>1526</v>
      </c>
    </row>
    <row r="1463" spans="1:1" x14ac:dyDescent="0.25">
      <c r="A1463" t="s">
        <v>1527</v>
      </c>
    </row>
    <row r="1464" spans="1:1" x14ac:dyDescent="0.25">
      <c r="A1464" t="s">
        <v>1528</v>
      </c>
    </row>
    <row r="1465" spans="1:1" x14ac:dyDescent="0.25">
      <c r="A1465" t="s">
        <v>1529</v>
      </c>
    </row>
    <row r="1466" spans="1:1" x14ac:dyDescent="0.25">
      <c r="A1466" t="s">
        <v>1530</v>
      </c>
    </row>
    <row r="1467" spans="1:1" x14ac:dyDescent="0.25">
      <c r="A1467" t="s">
        <v>1531</v>
      </c>
    </row>
    <row r="1468" spans="1:1" x14ac:dyDescent="0.25">
      <c r="A1468" t="s">
        <v>1532</v>
      </c>
    </row>
    <row r="1469" spans="1:1" x14ac:dyDescent="0.25">
      <c r="A1469" t="s">
        <v>1533</v>
      </c>
    </row>
    <row r="1470" spans="1:1" x14ac:dyDescent="0.25">
      <c r="A1470" t="s">
        <v>1534</v>
      </c>
    </row>
    <row r="1471" spans="1:1" x14ac:dyDescent="0.25">
      <c r="A1471" t="s">
        <v>1535</v>
      </c>
    </row>
    <row r="1472" spans="1:1" x14ac:dyDescent="0.25">
      <c r="A1472" t="s">
        <v>1536</v>
      </c>
    </row>
    <row r="1473" spans="1:1" x14ac:dyDescent="0.25">
      <c r="A1473" t="s">
        <v>1537</v>
      </c>
    </row>
    <row r="1474" spans="1:1" x14ac:dyDescent="0.25">
      <c r="A1474" t="s">
        <v>1538</v>
      </c>
    </row>
    <row r="1475" spans="1:1" x14ac:dyDescent="0.25">
      <c r="A1475" t="s">
        <v>1539</v>
      </c>
    </row>
    <row r="1476" spans="1:1" x14ac:dyDescent="0.25">
      <c r="A1476" t="s">
        <v>1540</v>
      </c>
    </row>
    <row r="1477" spans="1:1" x14ac:dyDescent="0.25">
      <c r="A1477" t="s">
        <v>1541</v>
      </c>
    </row>
    <row r="1478" spans="1:1" x14ac:dyDescent="0.25">
      <c r="A1478" t="s">
        <v>1542</v>
      </c>
    </row>
    <row r="1479" spans="1:1" x14ac:dyDescent="0.25">
      <c r="A1479" t="s">
        <v>1543</v>
      </c>
    </row>
    <row r="1480" spans="1:1" x14ac:dyDescent="0.25">
      <c r="A1480" t="s">
        <v>1544</v>
      </c>
    </row>
    <row r="1481" spans="1:1" x14ac:dyDescent="0.25">
      <c r="A1481" t="s">
        <v>1545</v>
      </c>
    </row>
    <row r="1482" spans="1:1" x14ac:dyDescent="0.25">
      <c r="A1482" t="s">
        <v>1546</v>
      </c>
    </row>
    <row r="1483" spans="1:1" x14ac:dyDescent="0.25">
      <c r="A1483" t="s">
        <v>1547</v>
      </c>
    </row>
    <row r="1484" spans="1:1" x14ac:dyDescent="0.25">
      <c r="A1484" t="s">
        <v>1548</v>
      </c>
    </row>
    <row r="1485" spans="1:1" x14ac:dyDescent="0.25">
      <c r="A1485" t="s">
        <v>1549</v>
      </c>
    </row>
    <row r="1486" spans="1:1" x14ac:dyDescent="0.25">
      <c r="A1486" t="s">
        <v>1550</v>
      </c>
    </row>
    <row r="1487" spans="1:1" x14ac:dyDescent="0.25">
      <c r="A1487" t="s">
        <v>1551</v>
      </c>
    </row>
    <row r="1488" spans="1:1" x14ac:dyDescent="0.25">
      <c r="A1488" t="s">
        <v>1552</v>
      </c>
    </row>
    <row r="1489" spans="1:1" x14ac:dyDescent="0.25">
      <c r="A1489" t="s">
        <v>1553</v>
      </c>
    </row>
    <row r="1490" spans="1:1" x14ac:dyDescent="0.25">
      <c r="A1490" t="s">
        <v>1554</v>
      </c>
    </row>
    <row r="1491" spans="1:1" x14ac:dyDescent="0.25">
      <c r="A1491" t="s">
        <v>1555</v>
      </c>
    </row>
    <row r="1492" spans="1:1" x14ac:dyDescent="0.25">
      <c r="A1492" t="s">
        <v>1556</v>
      </c>
    </row>
    <row r="1493" spans="1:1" x14ac:dyDescent="0.25">
      <c r="A1493" t="s">
        <v>1557</v>
      </c>
    </row>
    <row r="1494" spans="1:1" x14ac:dyDescent="0.25">
      <c r="A1494" t="s">
        <v>1558</v>
      </c>
    </row>
    <row r="1495" spans="1:1" x14ac:dyDescent="0.25">
      <c r="A1495" t="s">
        <v>1559</v>
      </c>
    </row>
    <row r="1496" spans="1:1" x14ac:dyDescent="0.25">
      <c r="A1496" t="s">
        <v>1560</v>
      </c>
    </row>
    <row r="1497" spans="1:1" x14ac:dyDescent="0.25">
      <c r="A1497" t="s">
        <v>1561</v>
      </c>
    </row>
    <row r="1498" spans="1:1" x14ac:dyDescent="0.25">
      <c r="A1498" t="s">
        <v>1562</v>
      </c>
    </row>
    <row r="1499" spans="1:1" x14ac:dyDescent="0.25">
      <c r="A1499" t="s">
        <v>1563</v>
      </c>
    </row>
    <row r="1500" spans="1:1" x14ac:dyDescent="0.25">
      <c r="A1500" t="s">
        <v>1564</v>
      </c>
    </row>
    <row r="1501" spans="1:1" x14ac:dyDescent="0.25">
      <c r="A1501" t="s">
        <v>1565</v>
      </c>
    </row>
    <row r="1502" spans="1:1" x14ac:dyDescent="0.25">
      <c r="A1502" t="s">
        <v>1566</v>
      </c>
    </row>
    <row r="1503" spans="1:1" x14ac:dyDescent="0.25">
      <c r="A1503" t="s">
        <v>1567</v>
      </c>
    </row>
    <row r="1504" spans="1:1" x14ac:dyDescent="0.25">
      <c r="A1504" t="s">
        <v>1568</v>
      </c>
    </row>
    <row r="1505" spans="1:1" x14ac:dyDescent="0.25">
      <c r="A1505" t="s">
        <v>1569</v>
      </c>
    </row>
    <row r="1506" spans="1:1" x14ac:dyDescent="0.25">
      <c r="A1506" t="s">
        <v>1570</v>
      </c>
    </row>
    <row r="1507" spans="1:1" x14ac:dyDescent="0.25">
      <c r="A1507" t="s">
        <v>1571</v>
      </c>
    </row>
    <row r="1508" spans="1:1" x14ac:dyDescent="0.25">
      <c r="A1508" t="s">
        <v>1572</v>
      </c>
    </row>
    <row r="1509" spans="1:1" x14ac:dyDescent="0.25">
      <c r="A1509" t="s">
        <v>1573</v>
      </c>
    </row>
    <row r="1510" spans="1:1" x14ac:dyDescent="0.25">
      <c r="A1510" t="s">
        <v>1574</v>
      </c>
    </row>
    <row r="1511" spans="1:1" x14ac:dyDescent="0.25">
      <c r="A1511" t="s">
        <v>1575</v>
      </c>
    </row>
    <row r="1512" spans="1:1" x14ac:dyDescent="0.25">
      <c r="A1512" t="s">
        <v>1576</v>
      </c>
    </row>
    <row r="1513" spans="1:1" x14ac:dyDescent="0.25">
      <c r="A1513" t="s">
        <v>1577</v>
      </c>
    </row>
    <row r="1514" spans="1:1" x14ac:dyDescent="0.25">
      <c r="A1514" t="s">
        <v>1578</v>
      </c>
    </row>
    <row r="1515" spans="1:1" x14ac:dyDescent="0.25">
      <c r="A1515" t="s">
        <v>1579</v>
      </c>
    </row>
    <row r="1516" spans="1:1" x14ac:dyDescent="0.25">
      <c r="A1516" t="s">
        <v>1580</v>
      </c>
    </row>
    <row r="1517" spans="1:1" x14ac:dyDescent="0.25">
      <c r="A1517" t="s">
        <v>1581</v>
      </c>
    </row>
    <row r="1518" spans="1:1" x14ac:dyDescent="0.25">
      <c r="A1518" t="s">
        <v>1582</v>
      </c>
    </row>
    <row r="1519" spans="1:1" x14ac:dyDescent="0.25">
      <c r="A1519" t="s">
        <v>1583</v>
      </c>
    </row>
    <row r="1520" spans="1:1" x14ac:dyDescent="0.25">
      <c r="A1520" t="s">
        <v>1584</v>
      </c>
    </row>
    <row r="1521" spans="1:1" x14ac:dyDescent="0.25">
      <c r="A1521" t="s">
        <v>1585</v>
      </c>
    </row>
    <row r="1522" spans="1:1" x14ac:dyDescent="0.25">
      <c r="A1522" t="s">
        <v>1586</v>
      </c>
    </row>
    <row r="1523" spans="1:1" x14ac:dyDescent="0.25">
      <c r="A1523" t="s">
        <v>1587</v>
      </c>
    </row>
    <row r="1524" spans="1:1" x14ac:dyDescent="0.25">
      <c r="A1524" t="s">
        <v>1588</v>
      </c>
    </row>
    <row r="1525" spans="1:1" x14ac:dyDescent="0.25">
      <c r="A1525" t="s">
        <v>1589</v>
      </c>
    </row>
    <row r="1526" spans="1:1" x14ac:dyDescent="0.25">
      <c r="A1526" t="s">
        <v>1590</v>
      </c>
    </row>
    <row r="1527" spans="1:1" x14ac:dyDescent="0.25">
      <c r="A1527" t="s">
        <v>1591</v>
      </c>
    </row>
    <row r="1528" spans="1:1" x14ac:dyDescent="0.25">
      <c r="A1528" t="s">
        <v>1592</v>
      </c>
    </row>
    <row r="1529" spans="1:1" x14ac:dyDescent="0.25">
      <c r="A1529" t="s">
        <v>1593</v>
      </c>
    </row>
    <row r="1530" spans="1:1" x14ac:dyDescent="0.25">
      <c r="A1530" t="s">
        <v>1594</v>
      </c>
    </row>
    <row r="1531" spans="1:1" x14ac:dyDescent="0.25">
      <c r="A1531" t="s">
        <v>1595</v>
      </c>
    </row>
    <row r="1532" spans="1:1" x14ac:dyDescent="0.25">
      <c r="A1532" t="s">
        <v>1596</v>
      </c>
    </row>
    <row r="1533" spans="1:1" x14ac:dyDescent="0.25">
      <c r="A1533" t="s">
        <v>1597</v>
      </c>
    </row>
    <row r="1534" spans="1:1" x14ac:dyDescent="0.25">
      <c r="A1534" t="s">
        <v>1598</v>
      </c>
    </row>
    <row r="1535" spans="1:1" x14ac:dyDescent="0.25">
      <c r="A1535" t="s">
        <v>1599</v>
      </c>
    </row>
    <row r="1536" spans="1:1" x14ac:dyDescent="0.25">
      <c r="A1536" t="s">
        <v>1600</v>
      </c>
    </row>
    <row r="1537" spans="1:1" x14ac:dyDescent="0.25">
      <c r="A1537" t="s">
        <v>1601</v>
      </c>
    </row>
    <row r="1538" spans="1:1" x14ac:dyDescent="0.25">
      <c r="A1538" t="s">
        <v>1602</v>
      </c>
    </row>
    <row r="1539" spans="1:1" x14ac:dyDescent="0.25">
      <c r="A1539" t="s">
        <v>1603</v>
      </c>
    </row>
    <row r="1540" spans="1:1" x14ac:dyDescent="0.25">
      <c r="A1540" t="s">
        <v>1604</v>
      </c>
    </row>
    <row r="1541" spans="1:1" x14ac:dyDescent="0.25">
      <c r="A1541" t="s">
        <v>1605</v>
      </c>
    </row>
    <row r="1542" spans="1:1" x14ac:dyDescent="0.25">
      <c r="A1542" t="s">
        <v>1606</v>
      </c>
    </row>
    <row r="1543" spans="1:1" x14ac:dyDescent="0.25">
      <c r="A1543" t="s">
        <v>1607</v>
      </c>
    </row>
    <row r="1544" spans="1:1" x14ac:dyDescent="0.25">
      <c r="A1544" t="s">
        <v>1608</v>
      </c>
    </row>
    <row r="1545" spans="1:1" x14ac:dyDescent="0.25">
      <c r="A1545" t="s">
        <v>1609</v>
      </c>
    </row>
    <row r="1546" spans="1:1" x14ac:dyDescent="0.25">
      <c r="A1546" t="s">
        <v>1610</v>
      </c>
    </row>
    <row r="1547" spans="1:1" x14ac:dyDescent="0.25">
      <c r="A1547" t="s">
        <v>1611</v>
      </c>
    </row>
    <row r="1548" spans="1:1" x14ac:dyDescent="0.25">
      <c r="A1548" t="s">
        <v>1612</v>
      </c>
    </row>
    <row r="1549" spans="1:1" x14ac:dyDescent="0.25">
      <c r="A1549" t="s">
        <v>1613</v>
      </c>
    </row>
    <row r="1550" spans="1:1" x14ac:dyDescent="0.25">
      <c r="A1550" t="s">
        <v>1614</v>
      </c>
    </row>
    <row r="1551" spans="1:1" x14ac:dyDescent="0.25">
      <c r="A1551" t="s">
        <v>1615</v>
      </c>
    </row>
    <row r="1552" spans="1:1" x14ac:dyDescent="0.25">
      <c r="A1552" t="s">
        <v>1616</v>
      </c>
    </row>
    <row r="1553" spans="1:1" x14ac:dyDescent="0.25">
      <c r="A1553" t="s">
        <v>1617</v>
      </c>
    </row>
    <row r="1554" spans="1:1" x14ac:dyDescent="0.25">
      <c r="A1554" t="s">
        <v>1618</v>
      </c>
    </row>
    <row r="1555" spans="1:1" x14ac:dyDescent="0.25">
      <c r="A1555" t="s">
        <v>1619</v>
      </c>
    </row>
    <row r="1556" spans="1:1" x14ac:dyDescent="0.25">
      <c r="A1556" t="s">
        <v>1620</v>
      </c>
    </row>
    <row r="1557" spans="1:1" x14ac:dyDescent="0.25">
      <c r="A1557" t="s">
        <v>1621</v>
      </c>
    </row>
    <row r="1558" spans="1:1" x14ac:dyDescent="0.25">
      <c r="A1558" t="s">
        <v>1622</v>
      </c>
    </row>
    <row r="1559" spans="1:1" x14ac:dyDescent="0.25">
      <c r="A1559" t="s">
        <v>1623</v>
      </c>
    </row>
    <row r="1560" spans="1:1" x14ac:dyDescent="0.25">
      <c r="A1560" t="s">
        <v>1624</v>
      </c>
    </row>
    <row r="1561" spans="1:1" x14ac:dyDescent="0.25">
      <c r="A1561" t="s">
        <v>1625</v>
      </c>
    </row>
    <row r="1562" spans="1:1" x14ac:dyDescent="0.25">
      <c r="A1562" t="s">
        <v>1626</v>
      </c>
    </row>
    <row r="1563" spans="1:1" x14ac:dyDescent="0.25">
      <c r="A1563" t="s">
        <v>1627</v>
      </c>
    </row>
    <row r="1564" spans="1:1" x14ac:dyDescent="0.25">
      <c r="A1564" t="s">
        <v>1628</v>
      </c>
    </row>
    <row r="1565" spans="1:1" x14ac:dyDescent="0.25">
      <c r="A1565" t="s">
        <v>1629</v>
      </c>
    </row>
    <row r="1566" spans="1:1" x14ac:dyDescent="0.25">
      <c r="A1566" t="s">
        <v>1630</v>
      </c>
    </row>
    <row r="1567" spans="1:1" x14ac:dyDescent="0.25">
      <c r="A1567" t="s">
        <v>1631</v>
      </c>
    </row>
    <row r="1568" spans="1:1" x14ac:dyDescent="0.25">
      <c r="A1568" t="s">
        <v>1632</v>
      </c>
    </row>
    <row r="1569" spans="1:1" x14ac:dyDescent="0.25">
      <c r="A1569" t="s">
        <v>1633</v>
      </c>
    </row>
    <row r="1570" spans="1:1" x14ac:dyDescent="0.25">
      <c r="A1570" t="s">
        <v>1634</v>
      </c>
    </row>
    <row r="1571" spans="1:1" x14ac:dyDescent="0.25">
      <c r="A1571" t="s">
        <v>1635</v>
      </c>
    </row>
    <row r="1572" spans="1:1" x14ac:dyDescent="0.25">
      <c r="A1572" t="s">
        <v>1636</v>
      </c>
    </row>
    <row r="1573" spans="1:1" x14ac:dyDescent="0.25">
      <c r="A1573" t="s">
        <v>1637</v>
      </c>
    </row>
    <row r="1574" spans="1:1" x14ac:dyDescent="0.25">
      <c r="A1574" t="s">
        <v>1638</v>
      </c>
    </row>
    <row r="1575" spans="1:1" x14ac:dyDescent="0.25">
      <c r="A1575" t="s">
        <v>1639</v>
      </c>
    </row>
    <row r="1576" spans="1:1" x14ac:dyDescent="0.25">
      <c r="A1576" t="s">
        <v>1640</v>
      </c>
    </row>
    <row r="1577" spans="1:1" x14ac:dyDescent="0.25">
      <c r="A1577" t="s">
        <v>1641</v>
      </c>
    </row>
    <row r="1578" spans="1:1" x14ac:dyDescent="0.25">
      <c r="A1578" t="s">
        <v>1642</v>
      </c>
    </row>
    <row r="1579" spans="1:1" x14ac:dyDescent="0.25">
      <c r="A1579" t="s">
        <v>1643</v>
      </c>
    </row>
    <row r="1580" spans="1:1" x14ac:dyDescent="0.25">
      <c r="A1580" t="s">
        <v>1644</v>
      </c>
    </row>
    <row r="1581" spans="1:1" x14ac:dyDescent="0.25">
      <c r="A1581" t="s">
        <v>1645</v>
      </c>
    </row>
    <row r="1582" spans="1:1" x14ac:dyDescent="0.25">
      <c r="A1582" t="s">
        <v>1646</v>
      </c>
    </row>
    <row r="1583" spans="1:1" x14ac:dyDescent="0.25">
      <c r="A1583" t="s">
        <v>1647</v>
      </c>
    </row>
    <row r="1584" spans="1:1" x14ac:dyDescent="0.25">
      <c r="A1584" t="s">
        <v>1648</v>
      </c>
    </row>
    <row r="1585" spans="1:1" x14ac:dyDescent="0.25">
      <c r="A1585" t="s">
        <v>1649</v>
      </c>
    </row>
    <row r="1586" spans="1:1" x14ac:dyDescent="0.25">
      <c r="A1586" t="s">
        <v>1650</v>
      </c>
    </row>
    <row r="1587" spans="1:1" x14ac:dyDescent="0.25">
      <c r="A1587" t="s">
        <v>1651</v>
      </c>
    </row>
    <row r="1588" spans="1:1" x14ac:dyDescent="0.25">
      <c r="A1588" t="s">
        <v>1652</v>
      </c>
    </row>
    <row r="1589" spans="1:1" x14ac:dyDescent="0.25">
      <c r="A1589" t="s">
        <v>1653</v>
      </c>
    </row>
    <row r="1590" spans="1:1" x14ac:dyDescent="0.25">
      <c r="A1590" t="s">
        <v>1654</v>
      </c>
    </row>
    <row r="1591" spans="1:1" x14ac:dyDescent="0.25">
      <c r="A1591" t="s">
        <v>1655</v>
      </c>
    </row>
    <row r="1592" spans="1:1" x14ac:dyDescent="0.25">
      <c r="A1592" t="s">
        <v>1656</v>
      </c>
    </row>
    <row r="1593" spans="1:1" x14ac:dyDescent="0.25">
      <c r="A1593" t="s">
        <v>1657</v>
      </c>
    </row>
    <row r="1594" spans="1:1" x14ac:dyDescent="0.25">
      <c r="A1594" t="s">
        <v>1658</v>
      </c>
    </row>
    <row r="1595" spans="1:1" x14ac:dyDescent="0.25">
      <c r="A1595" t="s">
        <v>1659</v>
      </c>
    </row>
    <row r="1596" spans="1:1" x14ac:dyDescent="0.25">
      <c r="A1596" t="s">
        <v>1660</v>
      </c>
    </row>
    <row r="1597" spans="1:1" x14ac:dyDescent="0.25">
      <c r="A1597" t="s">
        <v>1661</v>
      </c>
    </row>
    <row r="1598" spans="1:1" x14ac:dyDescent="0.25">
      <c r="A1598" t="s">
        <v>1662</v>
      </c>
    </row>
    <row r="1599" spans="1:1" x14ac:dyDescent="0.25">
      <c r="A1599" t="s">
        <v>1663</v>
      </c>
    </row>
    <row r="1600" spans="1:1" x14ac:dyDescent="0.25">
      <c r="A1600" t="s">
        <v>1664</v>
      </c>
    </row>
    <row r="1601" spans="1:1" x14ac:dyDescent="0.25">
      <c r="A1601" t="s">
        <v>1665</v>
      </c>
    </row>
    <row r="1602" spans="1:1" x14ac:dyDescent="0.25">
      <c r="A1602" t="s">
        <v>1666</v>
      </c>
    </row>
    <row r="1603" spans="1:1" x14ac:dyDescent="0.25">
      <c r="A1603" t="s">
        <v>1667</v>
      </c>
    </row>
    <row r="1604" spans="1:1" x14ac:dyDescent="0.25">
      <c r="A1604" t="s">
        <v>1668</v>
      </c>
    </row>
    <row r="1605" spans="1:1" x14ac:dyDescent="0.25">
      <c r="A1605" t="s">
        <v>1669</v>
      </c>
    </row>
    <row r="1606" spans="1:1" x14ac:dyDescent="0.25">
      <c r="A1606" t="s">
        <v>1670</v>
      </c>
    </row>
    <row r="1607" spans="1:1" x14ac:dyDescent="0.25">
      <c r="A1607" t="s">
        <v>1671</v>
      </c>
    </row>
    <row r="1608" spans="1:1" x14ac:dyDescent="0.25">
      <c r="A1608" t="s">
        <v>1672</v>
      </c>
    </row>
    <row r="1609" spans="1:1" x14ac:dyDescent="0.25">
      <c r="A1609" t="s">
        <v>1673</v>
      </c>
    </row>
    <row r="1610" spans="1:1" x14ac:dyDescent="0.25">
      <c r="A1610" t="s">
        <v>1674</v>
      </c>
    </row>
    <row r="1611" spans="1:1" x14ac:dyDescent="0.25">
      <c r="A1611" t="s">
        <v>1675</v>
      </c>
    </row>
    <row r="1612" spans="1:1" x14ac:dyDescent="0.25">
      <c r="A1612" t="s">
        <v>1676</v>
      </c>
    </row>
    <row r="1613" spans="1:1" x14ac:dyDescent="0.25">
      <c r="A1613" t="s">
        <v>1677</v>
      </c>
    </row>
    <row r="1614" spans="1:1" x14ac:dyDescent="0.25">
      <c r="A1614" t="s">
        <v>1678</v>
      </c>
    </row>
    <row r="1615" spans="1:1" x14ac:dyDescent="0.25">
      <c r="A1615" t="s">
        <v>1679</v>
      </c>
    </row>
    <row r="1616" spans="1:1" x14ac:dyDescent="0.25">
      <c r="A1616" t="s">
        <v>1680</v>
      </c>
    </row>
    <row r="1617" spans="1:1" x14ac:dyDescent="0.25">
      <c r="A1617" t="s">
        <v>1681</v>
      </c>
    </row>
    <row r="1618" spans="1:1" x14ac:dyDescent="0.25">
      <c r="A1618" t="s">
        <v>1682</v>
      </c>
    </row>
    <row r="1619" spans="1:1" x14ac:dyDescent="0.25">
      <c r="A1619" t="s">
        <v>1683</v>
      </c>
    </row>
    <row r="1620" spans="1:1" x14ac:dyDescent="0.25">
      <c r="A1620" t="s">
        <v>1684</v>
      </c>
    </row>
    <row r="1621" spans="1:1" x14ac:dyDescent="0.25">
      <c r="A1621" t="s">
        <v>1685</v>
      </c>
    </row>
    <row r="1622" spans="1:1" x14ac:dyDescent="0.25">
      <c r="A1622" t="s">
        <v>1686</v>
      </c>
    </row>
    <row r="1623" spans="1:1" x14ac:dyDescent="0.25">
      <c r="A1623" t="s">
        <v>1687</v>
      </c>
    </row>
    <row r="1624" spans="1:1" x14ac:dyDescent="0.25">
      <c r="A1624" t="s">
        <v>1688</v>
      </c>
    </row>
    <row r="1625" spans="1:1" x14ac:dyDescent="0.25">
      <c r="A1625" t="s">
        <v>1689</v>
      </c>
    </row>
    <row r="1626" spans="1:1" x14ac:dyDescent="0.25">
      <c r="A1626" t="s">
        <v>1690</v>
      </c>
    </row>
    <row r="1627" spans="1:1" x14ac:dyDescent="0.25">
      <c r="A1627" t="s">
        <v>1691</v>
      </c>
    </row>
    <row r="1628" spans="1:1" x14ac:dyDescent="0.25">
      <c r="A1628" t="s">
        <v>1692</v>
      </c>
    </row>
    <row r="1629" spans="1:1" x14ac:dyDescent="0.25">
      <c r="A1629" t="s">
        <v>1693</v>
      </c>
    </row>
    <row r="1630" spans="1:1" x14ac:dyDescent="0.25">
      <c r="A1630" t="s">
        <v>1694</v>
      </c>
    </row>
    <row r="1631" spans="1:1" x14ac:dyDescent="0.25">
      <c r="A1631" t="s">
        <v>1695</v>
      </c>
    </row>
    <row r="1632" spans="1:1" x14ac:dyDescent="0.25">
      <c r="A1632" t="s">
        <v>1696</v>
      </c>
    </row>
    <row r="1633" spans="1:1" x14ac:dyDescent="0.25">
      <c r="A1633" t="s">
        <v>1697</v>
      </c>
    </row>
    <row r="1634" spans="1:1" x14ac:dyDescent="0.25">
      <c r="A1634" t="s">
        <v>1698</v>
      </c>
    </row>
    <row r="1635" spans="1:1" x14ac:dyDescent="0.25">
      <c r="A1635" t="s">
        <v>1699</v>
      </c>
    </row>
    <row r="1636" spans="1:1" x14ac:dyDescent="0.25">
      <c r="A1636" t="s">
        <v>1700</v>
      </c>
    </row>
    <row r="1637" spans="1:1" x14ac:dyDescent="0.25">
      <c r="A1637" t="s">
        <v>1701</v>
      </c>
    </row>
    <row r="1638" spans="1:1" x14ac:dyDescent="0.25">
      <c r="A1638" t="s">
        <v>1702</v>
      </c>
    </row>
    <row r="1639" spans="1:1" x14ac:dyDescent="0.25">
      <c r="A1639" t="s">
        <v>1703</v>
      </c>
    </row>
    <row r="1640" spans="1:1" x14ac:dyDescent="0.25">
      <c r="A1640" t="s">
        <v>1704</v>
      </c>
    </row>
    <row r="1641" spans="1:1" x14ac:dyDescent="0.25">
      <c r="A1641" t="s">
        <v>1705</v>
      </c>
    </row>
    <row r="1642" spans="1:1" x14ac:dyDescent="0.25">
      <c r="A1642" t="s">
        <v>1706</v>
      </c>
    </row>
    <row r="1643" spans="1:1" x14ac:dyDescent="0.25">
      <c r="A1643" t="s">
        <v>1707</v>
      </c>
    </row>
    <row r="1644" spans="1:1" x14ac:dyDescent="0.25">
      <c r="A1644" t="s">
        <v>1708</v>
      </c>
    </row>
    <row r="1645" spans="1:1" x14ac:dyDescent="0.25">
      <c r="A1645" t="s">
        <v>1709</v>
      </c>
    </row>
    <row r="1646" spans="1:1" x14ac:dyDescent="0.25">
      <c r="A1646" t="s">
        <v>1710</v>
      </c>
    </row>
    <row r="1647" spans="1:1" x14ac:dyDescent="0.25">
      <c r="A1647" t="s">
        <v>1711</v>
      </c>
    </row>
    <row r="1648" spans="1:1" x14ac:dyDescent="0.25">
      <c r="A1648" t="s">
        <v>1712</v>
      </c>
    </row>
    <row r="1649" spans="1:1" x14ac:dyDescent="0.25">
      <c r="A1649" t="s">
        <v>1713</v>
      </c>
    </row>
    <row r="1650" spans="1:1" x14ac:dyDescent="0.25">
      <c r="A1650" t="s">
        <v>1714</v>
      </c>
    </row>
    <row r="1651" spans="1:1" x14ac:dyDescent="0.25">
      <c r="A1651" t="s">
        <v>1715</v>
      </c>
    </row>
    <row r="1652" spans="1:1" x14ac:dyDescent="0.25">
      <c r="A1652" t="s">
        <v>1716</v>
      </c>
    </row>
    <row r="1653" spans="1:1" x14ac:dyDescent="0.25">
      <c r="A1653" t="s">
        <v>1717</v>
      </c>
    </row>
    <row r="1654" spans="1:1" x14ac:dyDescent="0.25">
      <c r="A1654" t="s">
        <v>1718</v>
      </c>
    </row>
    <row r="1655" spans="1:1" x14ac:dyDescent="0.25">
      <c r="A1655" t="s">
        <v>1719</v>
      </c>
    </row>
    <row r="1656" spans="1:1" x14ac:dyDescent="0.25">
      <c r="A1656" t="s">
        <v>1720</v>
      </c>
    </row>
    <row r="1657" spans="1:1" x14ac:dyDescent="0.25">
      <c r="A1657" t="s">
        <v>1721</v>
      </c>
    </row>
    <row r="1658" spans="1:1" x14ac:dyDescent="0.25">
      <c r="A1658" t="s">
        <v>1722</v>
      </c>
    </row>
    <row r="1659" spans="1:1" x14ac:dyDescent="0.25">
      <c r="A1659" t="s">
        <v>1723</v>
      </c>
    </row>
    <row r="1660" spans="1:1" x14ac:dyDescent="0.25">
      <c r="A1660" t="s">
        <v>1724</v>
      </c>
    </row>
    <row r="1661" spans="1:1" x14ac:dyDescent="0.25">
      <c r="A1661" t="s">
        <v>1725</v>
      </c>
    </row>
    <row r="1662" spans="1:1" x14ac:dyDescent="0.25">
      <c r="A1662" t="s">
        <v>1726</v>
      </c>
    </row>
    <row r="1663" spans="1:1" x14ac:dyDescent="0.25">
      <c r="A1663" t="s">
        <v>1727</v>
      </c>
    </row>
    <row r="1664" spans="1:1" x14ac:dyDescent="0.25">
      <c r="A1664" t="s">
        <v>1728</v>
      </c>
    </row>
    <row r="1665" spans="1:1" x14ac:dyDescent="0.25">
      <c r="A1665" t="s">
        <v>1729</v>
      </c>
    </row>
    <row r="1666" spans="1:1" x14ac:dyDescent="0.25">
      <c r="A1666" t="s">
        <v>1730</v>
      </c>
    </row>
    <row r="1667" spans="1:1" x14ac:dyDescent="0.25">
      <c r="A1667" t="s">
        <v>1731</v>
      </c>
    </row>
    <row r="1668" spans="1:1" x14ac:dyDescent="0.25">
      <c r="A1668" t="s">
        <v>1732</v>
      </c>
    </row>
    <row r="1669" spans="1:1" x14ac:dyDescent="0.25">
      <c r="A1669" t="s">
        <v>1733</v>
      </c>
    </row>
    <row r="1670" spans="1:1" x14ac:dyDescent="0.25">
      <c r="A1670" t="s">
        <v>1734</v>
      </c>
    </row>
    <row r="1671" spans="1:1" x14ac:dyDescent="0.25">
      <c r="A1671" t="s">
        <v>1735</v>
      </c>
    </row>
    <row r="1672" spans="1:1" x14ac:dyDescent="0.25">
      <c r="A1672" t="s">
        <v>1736</v>
      </c>
    </row>
    <row r="1673" spans="1:1" x14ac:dyDescent="0.25">
      <c r="A1673" t="s">
        <v>1737</v>
      </c>
    </row>
    <row r="1674" spans="1:1" x14ac:dyDescent="0.25">
      <c r="A1674" t="s">
        <v>1738</v>
      </c>
    </row>
    <row r="1675" spans="1:1" x14ac:dyDescent="0.25">
      <c r="A1675" t="s">
        <v>1739</v>
      </c>
    </row>
    <row r="1676" spans="1:1" x14ac:dyDescent="0.25">
      <c r="A1676" t="s">
        <v>1740</v>
      </c>
    </row>
    <row r="1677" spans="1:1" x14ac:dyDescent="0.25">
      <c r="A1677" t="s">
        <v>1741</v>
      </c>
    </row>
    <row r="1678" spans="1:1" x14ac:dyDescent="0.25">
      <c r="A1678" t="s">
        <v>1742</v>
      </c>
    </row>
    <row r="1679" spans="1:1" x14ac:dyDescent="0.25">
      <c r="A1679" t="s">
        <v>1743</v>
      </c>
    </row>
    <row r="1680" spans="1:1" x14ac:dyDescent="0.25">
      <c r="A1680" t="s">
        <v>1744</v>
      </c>
    </row>
    <row r="1681" spans="1:1" x14ac:dyDescent="0.25">
      <c r="A1681" t="s">
        <v>1745</v>
      </c>
    </row>
    <row r="1682" spans="1:1" x14ac:dyDescent="0.25">
      <c r="A1682" t="s">
        <v>1746</v>
      </c>
    </row>
    <row r="1683" spans="1:1" x14ac:dyDescent="0.25">
      <c r="A1683" t="s">
        <v>1747</v>
      </c>
    </row>
    <row r="1684" spans="1:1" x14ac:dyDescent="0.25">
      <c r="A1684" t="s">
        <v>1748</v>
      </c>
    </row>
    <row r="1685" spans="1:1" x14ac:dyDescent="0.25">
      <c r="A1685" t="s">
        <v>1749</v>
      </c>
    </row>
    <row r="1686" spans="1:1" x14ac:dyDescent="0.25">
      <c r="A1686" t="s">
        <v>1750</v>
      </c>
    </row>
    <row r="1687" spans="1:1" x14ac:dyDescent="0.25">
      <c r="A1687" t="s">
        <v>1751</v>
      </c>
    </row>
    <row r="1688" spans="1:1" x14ac:dyDescent="0.25">
      <c r="A1688" t="s">
        <v>1752</v>
      </c>
    </row>
    <row r="1689" spans="1:1" x14ac:dyDescent="0.25">
      <c r="A1689" t="s">
        <v>1753</v>
      </c>
    </row>
    <row r="1690" spans="1:1" x14ac:dyDescent="0.25">
      <c r="A1690" t="s">
        <v>1754</v>
      </c>
    </row>
    <row r="1691" spans="1:1" x14ac:dyDescent="0.25">
      <c r="A1691" t="s">
        <v>1755</v>
      </c>
    </row>
    <row r="1692" spans="1:1" x14ac:dyDescent="0.25">
      <c r="A1692" t="s">
        <v>1756</v>
      </c>
    </row>
    <row r="1693" spans="1:1" x14ac:dyDescent="0.25">
      <c r="A1693" t="s">
        <v>1757</v>
      </c>
    </row>
    <row r="1694" spans="1:1" x14ac:dyDescent="0.25">
      <c r="A1694" t="s">
        <v>1758</v>
      </c>
    </row>
    <row r="1695" spans="1:1" x14ac:dyDescent="0.25">
      <c r="A1695" t="s">
        <v>1759</v>
      </c>
    </row>
    <row r="1696" spans="1:1" x14ac:dyDescent="0.25">
      <c r="A1696" t="s">
        <v>1760</v>
      </c>
    </row>
    <row r="1697" spans="1:1" x14ac:dyDescent="0.25">
      <c r="A1697" t="s">
        <v>1761</v>
      </c>
    </row>
    <row r="1698" spans="1:1" x14ac:dyDescent="0.25">
      <c r="A1698" t="s">
        <v>1762</v>
      </c>
    </row>
    <row r="1699" spans="1:1" x14ac:dyDescent="0.25">
      <c r="A1699" t="s">
        <v>1763</v>
      </c>
    </row>
    <row r="1700" spans="1:1" x14ac:dyDescent="0.25">
      <c r="A1700" t="s">
        <v>1764</v>
      </c>
    </row>
    <row r="1701" spans="1:1" x14ac:dyDescent="0.25">
      <c r="A1701" t="s">
        <v>1765</v>
      </c>
    </row>
    <row r="1702" spans="1:1" x14ac:dyDescent="0.25">
      <c r="A1702" t="s">
        <v>1766</v>
      </c>
    </row>
    <row r="1703" spans="1:1" x14ac:dyDescent="0.25">
      <c r="A1703" t="s">
        <v>1767</v>
      </c>
    </row>
    <row r="1704" spans="1:1" x14ac:dyDescent="0.25">
      <c r="A1704" t="s">
        <v>1768</v>
      </c>
    </row>
    <row r="1705" spans="1:1" x14ac:dyDescent="0.25">
      <c r="A1705" t="s">
        <v>1769</v>
      </c>
    </row>
    <row r="1706" spans="1:1" x14ac:dyDescent="0.25">
      <c r="A1706" t="s">
        <v>1770</v>
      </c>
    </row>
    <row r="1707" spans="1:1" x14ac:dyDescent="0.25">
      <c r="A1707" t="s">
        <v>1771</v>
      </c>
    </row>
    <row r="1708" spans="1:1" x14ac:dyDescent="0.25">
      <c r="A1708" t="s">
        <v>1772</v>
      </c>
    </row>
    <row r="1709" spans="1:1" x14ac:dyDescent="0.25">
      <c r="A1709" t="s">
        <v>1773</v>
      </c>
    </row>
    <row r="1710" spans="1:1" x14ac:dyDescent="0.25">
      <c r="A1710" t="s">
        <v>1774</v>
      </c>
    </row>
    <row r="1711" spans="1:1" x14ac:dyDescent="0.25">
      <c r="A1711" t="s">
        <v>1775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5E3EB-B486-4DFD-8C0B-2B2351ABDDA4}">
  <sheetPr codeName="Sheet15"/>
  <dimension ref="A2:A1711"/>
  <sheetViews>
    <sheetView workbookViewId="0"/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  <row r="16" spans="1:1" x14ac:dyDescent="0.25">
      <c r="A16" t="s">
        <v>80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83</v>
      </c>
    </row>
    <row r="20" spans="1:1" x14ac:dyDescent="0.25">
      <c r="A20" t="s">
        <v>84</v>
      </c>
    </row>
    <row r="21" spans="1:1" x14ac:dyDescent="0.25">
      <c r="A21" t="s">
        <v>85</v>
      </c>
    </row>
    <row r="22" spans="1:1" x14ac:dyDescent="0.25">
      <c r="A22" t="s">
        <v>86</v>
      </c>
    </row>
    <row r="23" spans="1:1" x14ac:dyDescent="0.25">
      <c r="A23" t="s">
        <v>87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92</v>
      </c>
    </row>
    <row r="29" spans="1:1" x14ac:dyDescent="0.25">
      <c r="A29" t="s">
        <v>93</v>
      </c>
    </row>
    <row r="30" spans="1:1" x14ac:dyDescent="0.25">
      <c r="A30" t="s">
        <v>94</v>
      </c>
    </row>
    <row r="31" spans="1:1" x14ac:dyDescent="0.25">
      <c r="A31" t="s">
        <v>95</v>
      </c>
    </row>
    <row r="32" spans="1:1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234</v>
      </c>
    </row>
    <row r="171" spans="1:1" x14ac:dyDescent="0.25">
      <c r="A171" t="s">
        <v>235</v>
      </c>
    </row>
    <row r="172" spans="1:1" x14ac:dyDescent="0.25">
      <c r="A172" t="s">
        <v>236</v>
      </c>
    </row>
    <row r="173" spans="1:1" x14ac:dyDescent="0.25">
      <c r="A173" t="s">
        <v>237</v>
      </c>
    </row>
    <row r="174" spans="1:1" x14ac:dyDescent="0.25">
      <c r="A174" t="s">
        <v>238</v>
      </c>
    </row>
    <row r="175" spans="1:1" x14ac:dyDescent="0.25">
      <c r="A175" t="s">
        <v>239</v>
      </c>
    </row>
    <row r="176" spans="1:1" x14ac:dyDescent="0.25">
      <c r="A176" t="s">
        <v>240</v>
      </c>
    </row>
    <row r="177" spans="1:1" x14ac:dyDescent="0.25">
      <c r="A177" t="s">
        <v>241</v>
      </c>
    </row>
    <row r="178" spans="1:1" x14ac:dyDescent="0.25">
      <c r="A178" t="s">
        <v>242</v>
      </c>
    </row>
    <row r="179" spans="1:1" x14ac:dyDescent="0.25">
      <c r="A179" t="s">
        <v>243</v>
      </c>
    </row>
    <row r="180" spans="1:1" x14ac:dyDescent="0.25">
      <c r="A180" t="s">
        <v>244</v>
      </c>
    </row>
    <row r="181" spans="1:1" x14ac:dyDescent="0.25">
      <c r="A181" t="s">
        <v>245</v>
      </c>
    </row>
    <row r="182" spans="1:1" x14ac:dyDescent="0.25">
      <c r="A182" t="s">
        <v>246</v>
      </c>
    </row>
    <row r="183" spans="1:1" x14ac:dyDescent="0.25">
      <c r="A183" t="s">
        <v>247</v>
      </c>
    </row>
    <row r="184" spans="1:1" x14ac:dyDescent="0.25">
      <c r="A184" t="s">
        <v>248</v>
      </c>
    </row>
    <row r="185" spans="1:1" x14ac:dyDescent="0.25">
      <c r="A185" t="s">
        <v>249</v>
      </c>
    </row>
    <row r="186" spans="1:1" x14ac:dyDescent="0.25">
      <c r="A186" t="s">
        <v>250</v>
      </c>
    </row>
    <row r="187" spans="1:1" x14ac:dyDescent="0.25">
      <c r="A187" t="s">
        <v>251</v>
      </c>
    </row>
    <row r="188" spans="1:1" x14ac:dyDescent="0.25">
      <c r="A188" t="s">
        <v>252</v>
      </c>
    </row>
    <row r="189" spans="1:1" x14ac:dyDescent="0.25">
      <c r="A189" t="s">
        <v>253</v>
      </c>
    </row>
    <row r="190" spans="1:1" x14ac:dyDescent="0.25">
      <c r="A190" t="s">
        <v>254</v>
      </c>
    </row>
    <row r="191" spans="1:1" x14ac:dyDescent="0.25">
      <c r="A191" t="s">
        <v>255</v>
      </c>
    </row>
    <row r="192" spans="1:1" x14ac:dyDescent="0.25">
      <c r="A192" t="s">
        <v>256</v>
      </c>
    </row>
    <row r="193" spans="1:1" x14ac:dyDescent="0.25">
      <c r="A193" t="s">
        <v>257</v>
      </c>
    </row>
    <row r="194" spans="1:1" x14ac:dyDescent="0.25">
      <c r="A194" t="s">
        <v>258</v>
      </c>
    </row>
    <row r="195" spans="1:1" x14ac:dyDescent="0.25">
      <c r="A195" t="s">
        <v>259</v>
      </c>
    </row>
    <row r="196" spans="1:1" x14ac:dyDescent="0.25">
      <c r="A196" t="s">
        <v>260</v>
      </c>
    </row>
    <row r="197" spans="1:1" x14ac:dyDescent="0.25">
      <c r="A197" t="s">
        <v>261</v>
      </c>
    </row>
    <row r="198" spans="1:1" x14ac:dyDescent="0.25">
      <c r="A198" t="s">
        <v>262</v>
      </c>
    </row>
    <row r="199" spans="1:1" x14ac:dyDescent="0.25">
      <c r="A199" t="s">
        <v>263</v>
      </c>
    </row>
    <row r="200" spans="1:1" x14ac:dyDescent="0.25">
      <c r="A200" t="s">
        <v>264</v>
      </c>
    </row>
    <row r="201" spans="1:1" x14ac:dyDescent="0.25">
      <c r="A201" t="s">
        <v>265</v>
      </c>
    </row>
    <row r="202" spans="1:1" x14ac:dyDescent="0.25">
      <c r="A202" t="s">
        <v>266</v>
      </c>
    </row>
    <row r="203" spans="1:1" x14ac:dyDescent="0.25">
      <c r="A203" t="s">
        <v>267</v>
      </c>
    </row>
    <row r="204" spans="1:1" x14ac:dyDescent="0.25">
      <c r="A204" t="s">
        <v>268</v>
      </c>
    </row>
    <row r="205" spans="1:1" x14ac:dyDescent="0.25">
      <c r="A205" t="s">
        <v>269</v>
      </c>
    </row>
    <row r="206" spans="1:1" x14ac:dyDescent="0.25">
      <c r="A206" t="s">
        <v>270</v>
      </c>
    </row>
    <row r="207" spans="1:1" x14ac:dyDescent="0.25">
      <c r="A207" t="s">
        <v>271</v>
      </c>
    </row>
    <row r="208" spans="1:1" x14ac:dyDescent="0.25">
      <c r="A208" t="s">
        <v>272</v>
      </c>
    </row>
    <row r="209" spans="1:1" x14ac:dyDescent="0.25">
      <c r="A209" t="s">
        <v>273</v>
      </c>
    </row>
    <row r="210" spans="1:1" x14ac:dyDescent="0.25">
      <c r="A210" t="s">
        <v>274</v>
      </c>
    </row>
    <row r="211" spans="1:1" x14ac:dyDescent="0.25">
      <c r="A211" t="s">
        <v>275</v>
      </c>
    </row>
    <row r="212" spans="1:1" x14ac:dyDescent="0.25">
      <c r="A212" t="s">
        <v>276</v>
      </c>
    </row>
    <row r="213" spans="1:1" x14ac:dyDescent="0.25">
      <c r="A213" t="s">
        <v>277</v>
      </c>
    </row>
    <row r="214" spans="1:1" x14ac:dyDescent="0.25">
      <c r="A214" t="s">
        <v>278</v>
      </c>
    </row>
    <row r="215" spans="1:1" x14ac:dyDescent="0.25">
      <c r="A215" t="s">
        <v>279</v>
      </c>
    </row>
    <row r="216" spans="1:1" x14ac:dyDescent="0.25">
      <c r="A216" t="s">
        <v>280</v>
      </c>
    </row>
    <row r="217" spans="1:1" x14ac:dyDescent="0.25">
      <c r="A217" t="s">
        <v>281</v>
      </c>
    </row>
    <row r="218" spans="1:1" x14ac:dyDescent="0.25">
      <c r="A218" t="s">
        <v>282</v>
      </c>
    </row>
    <row r="219" spans="1:1" x14ac:dyDescent="0.25">
      <c r="A219" t="s">
        <v>283</v>
      </c>
    </row>
    <row r="220" spans="1:1" x14ac:dyDescent="0.25">
      <c r="A220" t="s">
        <v>284</v>
      </c>
    </row>
    <row r="221" spans="1:1" x14ac:dyDescent="0.25">
      <c r="A221" t="s">
        <v>285</v>
      </c>
    </row>
    <row r="222" spans="1:1" x14ac:dyDescent="0.25">
      <c r="A222" t="s">
        <v>286</v>
      </c>
    </row>
    <row r="223" spans="1:1" x14ac:dyDescent="0.25">
      <c r="A223" t="s">
        <v>287</v>
      </c>
    </row>
    <row r="224" spans="1:1" x14ac:dyDescent="0.25">
      <c r="A224" t="s">
        <v>288</v>
      </c>
    </row>
    <row r="225" spans="1:1" x14ac:dyDescent="0.25">
      <c r="A225" t="s">
        <v>289</v>
      </c>
    </row>
    <row r="226" spans="1:1" x14ac:dyDescent="0.25">
      <c r="A226" t="s">
        <v>290</v>
      </c>
    </row>
    <row r="227" spans="1:1" x14ac:dyDescent="0.25">
      <c r="A227" t="s">
        <v>291</v>
      </c>
    </row>
    <row r="228" spans="1:1" x14ac:dyDescent="0.25">
      <c r="A228" t="s">
        <v>292</v>
      </c>
    </row>
    <row r="229" spans="1:1" x14ac:dyDescent="0.25">
      <c r="A229" t="s">
        <v>293</v>
      </c>
    </row>
    <row r="230" spans="1:1" x14ac:dyDescent="0.25">
      <c r="A230" t="s">
        <v>294</v>
      </c>
    </row>
    <row r="231" spans="1:1" x14ac:dyDescent="0.25">
      <c r="A231" t="s">
        <v>295</v>
      </c>
    </row>
    <row r="232" spans="1:1" x14ac:dyDescent="0.25">
      <c r="A232" t="s">
        <v>296</v>
      </c>
    </row>
    <row r="233" spans="1:1" x14ac:dyDescent="0.25">
      <c r="A233" t="s">
        <v>297</v>
      </c>
    </row>
    <row r="234" spans="1:1" x14ac:dyDescent="0.25">
      <c r="A234" t="s">
        <v>298</v>
      </c>
    </row>
    <row r="235" spans="1:1" x14ac:dyDescent="0.25">
      <c r="A235" t="s">
        <v>299</v>
      </c>
    </row>
    <row r="236" spans="1:1" x14ac:dyDescent="0.25">
      <c r="A236" t="s">
        <v>300</v>
      </c>
    </row>
    <row r="237" spans="1:1" x14ac:dyDescent="0.25">
      <c r="A237" t="s">
        <v>301</v>
      </c>
    </row>
    <row r="238" spans="1:1" x14ac:dyDescent="0.25">
      <c r="A238" t="s">
        <v>302</v>
      </c>
    </row>
    <row r="239" spans="1:1" x14ac:dyDescent="0.25">
      <c r="A239" t="s">
        <v>303</v>
      </c>
    </row>
    <row r="240" spans="1:1" x14ac:dyDescent="0.25">
      <c r="A240" t="s">
        <v>304</v>
      </c>
    </row>
    <row r="241" spans="1:1" x14ac:dyDescent="0.25">
      <c r="A241" t="s">
        <v>305</v>
      </c>
    </row>
    <row r="242" spans="1:1" x14ac:dyDescent="0.25">
      <c r="A242" t="s">
        <v>306</v>
      </c>
    </row>
    <row r="243" spans="1:1" x14ac:dyDescent="0.25">
      <c r="A243" t="s">
        <v>307</v>
      </c>
    </row>
    <row r="244" spans="1:1" x14ac:dyDescent="0.25">
      <c r="A244" t="s">
        <v>308</v>
      </c>
    </row>
    <row r="245" spans="1:1" x14ac:dyDescent="0.25">
      <c r="A245" t="s">
        <v>309</v>
      </c>
    </row>
    <row r="246" spans="1:1" x14ac:dyDescent="0.25">
      <c r="A246" t="s">
        <v>310</v>
      </c>
    </row>
    <row r="247" spans="1:1" x14ac:dyDescent="0.25">
      <c r="A247" t="s">
        <v>311</v>
      </c>
    </row>
    <row r="248" spans="1:1" x14ac:dyDescent="0.25">
      <c r="A248" t="s">
        <v>312</v>
      </c>
    </row>
    <row r="249" spans="1:1" x14ac:dyDescent="0.25">
      <c r="A249" t="s">
        <v>313</v>
      </c>
    </row>
    <row r="250" spans="1:1" x14ac:dyDescent="0.25">
      <c r="A250" t="s">
        <v>314</v>
      </c>
    </row>
    <row r="251" spans="1:1" x14ac:dyDescent="0.25">
      <c r="A251" t="s">
        <v>315</v>
      </c>
    </row>
    <row r="252" spans="1:1" x14ac:dyDescent="0.25">
      <c r="A252" t="s">
        <v>316</v>
      </c>
    </row>
    <row r="253" spans="1:1" x14ac:dyDescent="0.25">
      <c r="A253" t="s">
        <v>317</v>
      </c>
    </row>
    <row r="254" spans="1:1" x14ac:dyDescent="0.25">
      <c r="A254" t="s">
        <v>318</v>
      </c>
    </row>
    <row r="255" spans="1:1" x14ac:dyDescent="0.25">
      <c r="A255" t="s">
        <v>319</v>
      </c>
    </row>
    <row r="256" spans="1:1" x14ac:dyDescent="0.25">
      <c r="A256" t="s">
        <v>320</v>
      </c>
    </row>
    <row r="257" spans="1:1" x14ac:dyDescent="0.25">
      <c r="A257" t="s">
        <v>321</v>
      </c>
    </row>
    <row r="258" spans="1:1" x14ac:dyDescent="0.25">
      <c r="A258" t="s">
        <v>322</v>
      </c>
    </row>
    <row r="259" spans="1:1" x14ac:dyDescent="0.25">
      <c r="A259" t="s">
        <v>323</v>
      </c>
    </row>
    <row r="260" spans="1:1" x14ac:dyDescent="0.25">
      <c r="A260" t="s">
        <v>324</v>
      </c>
    </row>
    <row r="261" spans="1:1" x14ac:dyDescent="0.25">
      <c r="A261" t="s">
        <v>325</v>
      </c>
    </row>
    <row r="262" spans="1:1" x14ac:dyDescent="0.25">
      <c r="A262" t="s">
        <v>326</v>
      </c>
    </row>
    <row r="263" spans="1:1" x14ac:dyDescent="0.25">
      <c r="A263" t="s">
        <v>327</v>
      </c>
    </row>
    <row r="264" spans="1:1" x14ac:dyDescent="0.25">
      <c r="A264" t="s">
        <v>328</v>
      </c>
    </row>
    <row r="265" spans="1:1" x14ac:dyDescent="0.25">
      <c r="A265" t="s">
        <v>329</v>
      </c>
    </row>
    <row r="266" spans="1:1" x14ac:dyDescent="0.25">
      <c r="A266" t="s">
        <v>330</v>
      </c>
    </row>
    <row r="267" spans="1:1" x14ac:dyDescent="0.25">
      <c r="A267" t="s">
        <v>331</v>
      </c>
    </row>
    <row r="268" spans="1:1" x14ac:dyDescent="0.25">
      <c r="A268" t="s">
        <v>332</v>
      </c>
    </row>
    <row r="269" spans="1:1" x14ac:dyDescent="0.25">
      <c r="A269" t="s">
        <v>333</v>
      </c>
    </row>
    <row r="270" spans="1:1" x14ac:dyDescent="0.25">
      <c r="A270" t="s">
        <v>334</v>
      </c>
    </row>
    <row r="271" spans="1:1" x14ac:dyDescent="0.25">
      <c r="A271" t="s">
        <v>335</v>
      </c>
    </row>
    <row r="272" spans="1:1" x14ac:dyDescent="0.25">
      <c r="A272" t="s">
        <v>336</v>
      </c>
    </row>
    <row r="273" spans="1:1" x14ac:dyDescent="0.25">
      <c r="A273" t="s">
        <v>337</v>
      </c>
    </row>
    <row r="274" spans="1:1" x14ac:dyDescent="0.25">
      <c r="A274" t="s">
        <v>338</v>
      </c>
    </row>
    <row r="275" spans="1:1" x14ac:dyDescent="0.25">
      <c r="A275" t="s">
        <v>339</v>
      </c>
    </row>
    <row r="276" spans="1:1" x14ac:dyDescent="0.25">
      <c r="A276" t="s">
        <v>340</v>
      </c>
    </row>
    <row r="277" spans="1:1" x14ac:dyDescent="0.25">
      <c r="A277" t="s">
        <v>341</v>
      </c>
    </row>
    <row r="278" spans="1:1" x14ac:dyDescent="0.25">
      <c r="A278" t="s">
        <v>342</v>
      </c>
    </row>
    <row r="279" spans="1:1" x14ac:dyDescent="0.25">
      <c r="A279" t="s">
        <v>343</v>
      </c>
    </row>
    <row r="280" spans="1:1" x14ac:dyDescent="0.25">
      <c r="A280" t="s">
        <v>344</v>
      </c>
    </row>
    <row r="281" spans="1:1" x14ac:dyDescent="0.25">
      <c r="A281" t="s">
        <v>345</v>
      </c>
    </row>
    <row r="282" spans="1:1" x14ac:dyDescent="0.25">
      <c r="A282" t="s">
        <v>346</v>
      </c>
    </row>
    <row r="283" spans="1:1" x14ac:dyDescent="0.25">
      <c r="A283" t="s">
        <v>347</v>
      </c>
    </row>
    <row r="284" spans="1:1" x14ac:dyDescent="0.25">
      <c r="A284" t="s">
        <v>348</v>
      </c>
    </row>
    <row r="285" spans="1:1" x14ac:dyDescent="0.25">
      <c r="A285" t="s">
        <v>349</v>
      </c>
    </row>
    <row r="286" spans="1:1" x14ac:dyDescent="0.25">
      <c r="A286" t="s">
        <v>350</v>
      </c>
    </row>
    <row r="287" spans="1:1" x14ac:dyDescent="0.25">
      <c r="A287" t="s">
        <v>351</v>
      </c>
    </row>
    <row r="288" spans="1:1" x14ac:dyDescent="0.25">
      <c r="A288" t="s">
        <v>352</v>
      </c>
    </row>
    <row r="289" spans="1:1" x14ac:dyDescent="0.25">
      <c r="A289" t="s">
        <v>353</v>
      </c>
    </row>
    <row r="290" spans="1:1" x14ac:dyDescent="0.25">
      <c r="A290" t="s">
        <v>354</v>
      </c>
    </row>
    <row r="291" spans="1:1" x14ac:dyDescent="0.25">
      <c r="A291" t="s">
        <v>355</v>
      </c>
    </row>
    <row r="292" spans="1:1" x14ac:dyDescent="0.25">
      <c r="A292" t="s">
        <v>356</v>
      </c>
    </row>
    <row r="293" spans="1:1" x14ac:dyDescent="0.25">
      <c r="A293" t="s">
        <v>357</v>
      </c>
    </row>
    <row r="294" spans="1:1" x14ac:dyDescent="0.25">
      <c r="A294" t="s">
        <v>358</v>
      </c>
    </row>
    <row r="295" spans="1:1" x14ac:dyDescent="0.25">
      <c r="A295" t="s">
        <v>359</v>
      </c>
    </row>
    <row r="296" spans="1:1" x14ac:dyDescent="0.25">
      <c r="A296" t="s">
        <v>360</v>
      </c>
    </row>
    <row r="297" spans="1:1" x14ac:dyDescent="0.25">
      <c r="A297" t="s">
        <v>361</v>
      </c>
    </row>
    <row r="298" spans="1:1" x14ac:dyDescent="0.25">
      <c r="A298" t="s">
        <v>362</v>
      </c>
    </row>
    <row r="299" spans="1:1" x14ac:dyDescent="0.25">
      <c r="A299" t="s">
        <v>363</v>
      </c>
    </row>
    <row r="300" spans="1:1" x14ac:dyDescent="0.25">
      <c r="A300" t="s">
        <v>364</v>
      </c>
    </row>
    <row r="301" spans="1:1" x14ac:dyDescent="0.25">
      <c r="A301" t="s">
        <v>365</v>
      </c>
    </row>
    <row r="302" spans="1:1" x14ac:dyDescent="0.25">
      <c r="A302" t="s">
        <v>366</v>
      </c>
    </row>
    <row r="303" spans="1:1" x14ac:dyDescent="0.25">
      <c r="A303" t="s">
        <v>367</v>
      </c>
    </row>
    <row r="304" spans="1:1" x14ac:dyDescent="0.25">
      <c r="A304" t="s">
        <v>368</v>
      </c>
    </row>
    <row r="305" spans="1:1" x14ac:dyDescent="0.25">
      <c r="A305" t="s">
        <v>369</v>
      </c>
    </row>
    <row r="306" spans="1:1" x14ac:dyDescent="0.25">
      <c r="A306" t="s">
        <v>370</v>
      </c>
    </row>
    <row r="307" spans="1:1" x14ac:dyDescent="0.25">
      <c r="A307" t="s">
        <v>371</v>
      </c>
    </row>
    <row r="308" spans="1:1" x14ac:dyDescent="0.25">
      <c r="A308" t="s">
        <v>372</v>
      </c>
    </row>
    <row r="309" spans="1:1" x14ac:dyDescent="0.25">
      <c r="A309" t="s">
        <v>373</v>
      </c>
    </row>
    <row r="310" spans="1:1" x14ac:dyDescent="0.25">
      <c r="A310" t="s">
        <v>374</v>
      </c>
    </row>
    <row r="311" spans="1:1" x14ac:dyDescent="0.25">
      <c r="A311" t="s">
        <v>375</v>
      </c>
    </row>
    <row r="312" spans="1:1" x14ac:dyDescent="0.25">
      <c r="A312" t="s">
        <v>376</v>
      </c>
    </row>
    <row r="313" spans="1:1" x14ac:dyDescent="0.25">
      <c r="A313" t="s">
        <v>377</v>
      </c>
    </row>
    <row r="314" spans="1:1" x14ac:dyDescent="0.25">
      <c r="A314" t="s">
        <v>378</v>
      </c>
    </row>
    <row r="315" spans="1:1" x14ac:dyDescent="0.25">
      <c r="A315" t="s">
        <v>379</v>
      </c>
    </row>
    <row r="316" spans="1:1" x14ac:dyDescent="0.25">
      <c r="A316" t="s">
        <v>380</v>
      </c>
    </row>
    <row r="317" spans="1:1" x14ac:dyDescent="0.25">
      <c r="A317" t="s">
        <v>381</v>
      </c>
    </row>
    <row r="318" spans="1:1" x14ac:dyDescent="0.25">
      <c r="A318" t="s">
        <v>382</v>
      </c>
    </row>
    <row r="319" spans="1:1" x14ac:dyDescent="0.25">
      <c r="A319" t="s">
        <v>383</v>
      </c>
    </row>
    <row r="320" spans="1:1" x14ac:dyDescent="0.25">
      <c r="A320" t="s">
        <v>384</v>
      </c>
    </row>
    <row r="321" spans="1:1" x14ac:dyDescent="0.25">
      <c r="A321" t="s">
        <v>385</v>
      </c>
    </row>
    <row r="322" spans="1:1" x14ac:dyDescent="0.25">
      <c r="A322" t="s">
        <v>386</v>
      </c>
    </row>
    <row r="323" spans="1:1" x14ac:dyDescent="0.25">
      <c r="A323" t="s">
        <v>387</v>
      </c>
    </row>
    <row r="324" spans="1:1" x14ac:dyDescent="0.25">
      <c r="A324" t="s">
        <v>388</v>
      </c>
    </row>
    <row r="325" spans="1:1" x14ac:dyDescent="0.25">
      <c r="A325" t="s">
        <v>389</v>
      </c>
    </row>
    <row r="326" spans="1:1" x14ac:dyDescent="0.25">
      <c r="A326" t="s">
        <v>390</v>
      </c>
    </row>
    <row r="327" spans="1:1" x14ac:dyDescent="0.25">
      <c r="A327" t="s">
        <v>391</v>
      </c>
    </row>
    <row r="328" spans="1:1" x14ac:dyDescent="0.25">
      <c r="A328" t="s">
        <v>392</v>
      </c>
    </row>
    <row r="329" spans="1:1" x14ac:dyDescent="0.25">
      <c r="A329" t="s">
        <v>393</v>
      </c>
    </row>
    <row r="330" spans="1:1" x14ac:dyDescent="0.25">
      <c r="A330" t="s">
        <v>394</v>
      </c>
    </row>
    <row r="331" spans="1:1" x14ac:dyDescent="0.25">
      <c r="A331" t="s">
        <v>395</v>
      </c>
    </row>
    <row r="332" spans="1:1" x14ac:dyDescent="0.25">
      <c r="A332" t="s">
        <v>396</v>
      </c>
    </row>
    <row r="333" spans="1:1" x14ac:dyDescent="0.25">
      <c r="A333" t="s">
        <v>397</v>
      </c>
    </row>
    <row r="334" spans="1:1" x14ac:dyDescent="0.25">
      <c r="A334" t="s">
        <v>398</v>
      </c>
    </row>
    <row r="335" spans="1:1" x14ac:dyDescent="0.25">
      <c r="A335" t="s">
        <v>399</v>
      </c>
    </row>
    <row r="336" spans="1:1" x14ac:dyDescent="0.25">
      <c r="A336" t="s">
        <v>400</v>
      </c>
    </row>
    <row r="337" spans="1:1" x14ac:dyDescent="0.25">
      <c r="A337" t="s">
        <v>401</v>
      </c>
    </row>
    <row r="338" spans="1:1" x14ac:dyDescent="0.25">
      <c r="A338" t="s">
        <v>402</v>
      </c>
    </row>
    <row r="339" spans="1:1" x14ac:dyDescent="0.25">
      <c r="A339" t="s">
        <v>403</v>
      </c>
    </row>
    <row r="340" spans="1:1" x14ac:dyDescent="0.25">
      <c r="A340" t="s">
        <v>404</v>
      </c>
    </row>
    <row r="341" spans="1:1" x14ac:dyDescent="0.25">
      <c r="A341" t="s">
        <v>405</v>
      </c>
    </row>
    <row r="342" spans="1:1" x14ac:dyDescent="0.25">
      <c r="A342" t="s">
        <v>406</v>
      </c>
    </row>
    <row r="343" spans="1:1" x14ac:dyDescent="0.25">
      <c r="A343" t="s">
        <v>407</v>
      </c>
    </row>
    <row r="344" spans="1:1" x14ac:dyDescent="0.25">
      <c r="A344" t="s">
        <v>408</v>
      </c>
    </row>
    <row r="345" spans="1:1" x14ac:dyDescent="0.25">
      <c r="A345" t="s">
        <v>409</v>
      </c>
    </row>
    <row r="346" spans="1:1" x14ac:dyDescent="0.25">
      <c r="A346" t="s">
        <v>410</v>
      </c>
    </row>
    <row r="347" spans="1:1" x14ac:dyDescent="0.25">
      <c r="A347" t="s">
        <v>411</v>
      </c>
    </row>
    <row r="348" spans="1:1" x14ac:dyDescent="0.25">
      <c r="A348" t="s">
        <v>412</v>
      </c>
    </row>
    <row r="349" spans="1:1" x14ac:dyDescent="0.25">
      <c r="A349" t="s">
        <v>413</v>
      </c>
    </row>
    <row r="350" spans="1:1" x14ac:dyDescent="0.25">
      <c r="A350" t="s">
        <v>414</v>
      </c>
    </row>
    <row r="351" spans="1:1" x14ac:dyDescent="0.25">
      <c r="A351" t="s">
        <v>415</v>
      </c>
    </row>
    <row r="352" spans="1:1" x14ac:dyDescent="0.25">
      <c r="A352" t="s">
        <v>416</v>
      </c>
    </row>
    <row r="353" spans="1:1" x14ac:dyDescent="0.25">
      <c r="A353" t="s">
        <v>417</v>
      </c>
    </row>
    <row r="354" spans="1:1" x14ac:dyDescent="0.25">
      <c r="A354" t="s">
        <v>418</v>
      </c>
    </row>
    <row r="355" spans="1:1" x14ac:dyDescent="0.25">
      <c r="A355" t="s">
        <v>419</v>
      </c>
    </row>
    <row r="356" spans="1:1" x14ac:dyDescent="0.25">
      <c r="A356" t="s">
        <v>420</v>
      </c>
    </row>
    <row r="357" spans="1:1" x14ac:dyDescent="0.25">
      <c r="A357" t="s">
        <v>421</v>
      </c>
    </row>
    <row r="358" spans="1:1" x14ac:dyDescent="0.25">
      <c r="A358" t="s">
        <v>422</v>
      </c>
    </row>
    <row r="359" spans="1:1" x14ac:dyDescent="0.25">
      <c r="A359" t="s">
        <v>423</v>
      </c>
    </row>
    <row r="360" spans="1:1" x14ac:dyDescent="0.25">
      <c r="A360" t="s">
        <v>424</v>
      </c>
    </row>
    <row r="361" spans="1:1" x14ac:dyDescent="0.25">
      <c r="A361" t="s">
        <v>425</v>
      </c>
    </row>
    <row r="362" spans="1:1" x14ac:dyDescent="0.25">
      <c r="A362" t="s">
        <v>426</v>
      </c>
    </row>
    <row r="363" spans="1:1" x14ac:dyDescent="0.25">
      <c r="A363" t="s">
        <v>427</v>
      </c>
    </row>
    <row r="364" spans="1:1" x14ac:dyDescent="0.25">
      <c r="A364" t="s">
        <v>428</v>
      </c>
    </row>
    <row r="365" spans="1:1" x14ac:dyDescent="0.25">
      <c r="A365" t="s">
        <v>429</v>
      </c>
    </row>
    <row r="366" spans="1:1" x14ac:dyDescent="0.25">
      <c r="A366" t="s">
        <v>430</v>
      </c>
    </row>
    <row r="367" spans="1:1" x14ac:dyDescent="0.25">
      <c r="A367" t="s">
        <v>431</v>
      </c>
    </row>
    <row r="368" spans="1:1" x14ac:dyDescent="0.25">
      <c r="A368" t="s">
        <v>432</v>
      </c>
    </row>
    <row r="369" spans="1:1" x14ac:dyDescent="0.25">
      <c r="A369" t="s">
        <v>433</v>
      </c>
    </row>
    <row r="370" spans="1:1" x14ac:dyDescent="0.25">
      <c r="A370" t="s">
        <v>434</v>
      </c>
    </row>
    <row r="371" spans="1:1" x14ac:dyDescent="0.25">
      <c r="A371" t="s">
        <v>435</v>
      </c>
    </row>
    <row r="372" spans="1:1" x14ac:dyDescent="0.25">
      <c r="A372" t="s">
        <v>436</v>
      </c>
    </row>
    <row r="373" spans="1:1" x14ac:dyDescent="0.25">
      <c r="A373" t="s">
        <v>437</v>
      </c>
    </row>
    <row r="374" spans="1:1" x14ac:dyDescent="0.25">
      <c r="A374" t="s">
        <v>438</v>
      </c>
    </row>
    <row r="375" spans="1:1" x14ac:dyDescent="0.25">
      <c r="A375" t="s">
        <v>439</v>
      </c>
    </row>
    <row r="376" spans="1:1" x14ac:dyDescent="0.25">
      <c r="A376" t="s">
        <v>440</v>
      </c>
    </row>
    <row r="377" spans="1:1" x14ac:dyDescent="0.25">
      <c r="A377" t="s">
        <v>441</v>
      </c>
    </row>
    <row r="378" spans="1:1" x14ac:dyDescent="0.25">
      <c r="A378" t="s">
        <v>442</v>
      </c>
    </row>
    <row r="379" spans="1:1" x14ac:dyDescent="0.25">
      <c r="A379" t="s">
        <v>443</v>
      </c>
    </row>
    <row r="380" spans="1:1" x14ac:dyDescent="0.25">
      <c r="A380" t="s">
        <v>444</v>
      </c>
    </row>
    <row r="381" spans="1:1" x14ac:dyDescent="0.25">
      <c r="A381" t="s">
        <v>445</v>
      </c>
    </row>
    <row r="382" spans="1:1" x14ac:dyDescent="0.25">
      <c r="A382" t="s">
        <v>446</v>
      </c>
    </row>
    <row r="383" spans="1:1" x14ac:dyDescent="0.25">
      <c r="A383" t="s">
        <v>447</v>
      </c>
    </row>
    <row r="384" spans="1:1" x14ac:dyDescent="0.25">
      <c r="A384" t="s">
        <v>448</v>
      </c>
    </row>
    <row r="385" spans="1:1" x14ac:dyDescent="0.25">
      <c r="A385" t="s">
        <v>449</v>
      </c>
    </row>
    <row r="386" spans="1:1" x14ac:dyDescent="0.25">
      <c r="A386" t="s">
        <v>450</v>
      </c>
    </row>
    <row r="387" spans="1:1" x14ac:dyDescent="0.25">
      <c r="A387" t="s">
        <v>451</v>
      </c>
    </row>
    <row r="388" spans="1:1" x14ac:dyDescent="0.25">
      <c r="A388" t="s">
        <v>452</v>
      </c>
    </row>
    <row r="389" spans="1:1" x14ac:dyDescent="0.25">
      <c r="A389" t="s">
        <v>453</v>
      </c>
    </row>
    <row r="390" spans="1:1" x14ac:dyDescent="0.25">
      <c r="A390" t="s">
        <v>454</v>
      </c>
    </row>
    <row r="391" spans="1:1" x14ac:dyDescent="0.25">
      <c r="A391" t="s">
        <v>455</v>
      </c>
    </row>
    <row r="392" spans="1:1" x14ac:dyDescent="0.25">
      <c r="A392" t="s">
        <v>456</v>
      </c>
    </row>
    <row r="393" spans="1:1" x14ac:dyDescent="0.25">
      <c r="A393" t="s">
        <v>457</v>
      </c>
    </row>
    <row r="394" spans="1:1" x14ac:dyDescent="0.25">
      <c r="A394" t="s">
        <v>458</v>
      </c>
    </row>
    <row r="395" spans="1:1" x14ac:dyDescent="0.25">
      <c r="A395" t="s">
        <v>459</v>
      </c>
    </row>
    <row r="396" spans="1:1" x14ac:dyDescent="0.25">
      <c r="A396" t="s">
        <v>460</v>
      </c>
    </row>
    <row r="397" spans="1:1" x14ac:dyDescent="0.25">
      <c r="A397" t="s">
        <v>461</v>
      </c>
    </row>
    <row r="398" spans="1:1" x14ac:dyDescent="0.25">
      <c r="A398" t="s">
        <v>462</v>
      </c>
    </row>
    <row r="399" spans="1:1" x14ac:dyDescent="0.25">
      <c r="A399" t="s">
        <v>463</v>
      </c>
    </row>
    <row r="400" spans="1:1" x14ac:dyDescent="0.25">
      <c r="A400" t="s">
        <v>464</v>
      </c>
    </row>
    <row r="401" spans="1:1" x14ac:dyDescent="0.25">
      <c r="A401" t="s">
        <v>465</v>
      </c>
    </row>
    <row r="402" spans="1:1" x14ac:dyDescent="0.25">
      <c r="A402" t="s">
        <v>466</v>
      </c>
    </row>
    <row r="403" spans="1:1" x14ac:dyDescent="0.25">
      <c r="A403" t="s">
        <v>467</v>
      </c>
    </row>
    <row r="404" spans="1:1" x14ac:dyDescent="0.25">
      <c r="A404" t="s">
        <v>468</v>
      </c>
    </row>
    <row r="405" spans="1:1" x14ac:dyDescent="0.25">
      <c r="A405" t="s">
        <v>469</v>
      </c>
    </row>
    <row r="406" spans="1:1" x14ac:dyDescent="0.25">
      <c r="A406" t="s">
        <v>470</v>
      </c>
    </row>
    <row r="407" spans="1:1" x14ac:dyDescent="0.25">
      <c r="A407" t="s">
        <v>471</v>
      </c>
    </row>
    <row r="408" spans="1:1" x14ac:dyDescent="0.25">
      <c r="A408" t="s">
        <v>472</v>
      </c>
    </row>
    <row r="409" spans="1:1" x14ac:dyDescent="0.25">
      <c r="A409" t="s">
        <v>473</v>
      </c>
    </row>
    <row r="410" spans="1:1" x14ac:dyDescent="0.25">
      <c r="A410" t="s">
        <v>474</v>
      </c>
    </row>
    <row r="411" spans="1:1" x14ac:dyDescent="0.25">
      <c r="A411" t="s">
        <v>475</v>
      </c>
    </row>
    <row r="412" spans="1:1" x14ac:dyDescent="0.25">
      <c r="A412" t="s">
        <v>476</v>
      </c>
    </row>
    <row r="413" spans="1:1" x14ac:dyDescent="0.25">
      <c r="A413" t="s">
        <v>477</v>
      </c>
    </row>
    <row r="414" spans="1:1" x14ac:dyDescent="0.25">
      <c r="A414" t="s">
        <v>478</v>
      </c>
    </row>
    <row r="415" spans="1:1" x14ac:dyDescent="0.25">
      <c r="A415" t="s">
        <v>479</v>
      </c>
    </row>
    <row r="416" spans="1:1" x14ac:dyDescent="0.25">
      <c r="A416" t="s">
        <v>480</v>
      </c>
    </row>
    <row r="417" spans="1:1" x14ac:dyDescent="0.25">
      <c r="A417" t="s">
        <v>481</v>
      </c>
    </row>
    <row r="418" spans="1:1" x14ac:dyDescent="0.25">
      <c r="A418" t="s">
        <v>482</v>
      </c>
    </row>
    <row r="419" spans="1:1" x14ac:dyDescent="0.25">
      <c r="A419" t="s">
        <v>483</v>
      </c>
    </row>
    <row r="420" spans="1:1" x14ac:dyDescent="0.25">
      <c r="A420" t="s">
        <v>484</v>
      </c>
    </row>
    <row r="421" spans="1:1" x14ac:dyDescent="0.25">
      <c r="A421" t="s">
        <v>485</v>
      </c>
    </row>
    <row r="422" spans="1:1" x14ac:dyDescent="0.25">
      <c r="A422" t="s">
        <v>486</v>
      </c>
    </row>
    <row r="423" spans="1:1" x14ac:dyDescent="0.25">
      <c r="A423" t="s">
        <v>487</v>
      </c>
    </row>
    <row r="424" spans="1:1" x14ac:dyDescent="0.25">
      <c r="A424" t="s">
        <v>488</v>
      </c>
    </row>
    <row r="425" spans="1:1" x14ac:dyDescent="0.25">
      <c r="A425" t="s">
        <v>489</v>
      </c>
    </row>
    <row r="426" spans="1:1" x14ac:dyDescent="0.25">
      <c r="A426" t="s">
        <v>490</v>
      </c>
    </row>
    <row r="427" spans="1:1" x14ac:dyDescent="0.25">
      <c r="A427" t="s">
        <v>491</v>
      </c>
    </row>
    <row r="428" spans="1:1" x14ac:dyDescent="0.25">
      <c r="A428" t="s">
        <v>492</v>
      </c>
    </row>
    <row r="429" spans="1:1" x14ac:dyDescent="0.25">
      <c r="A429" t="s">
        <v>493</v>
      </c>
    </row>
    <row r="430" spans="1:1" x14ac:dyDescent="0.25">
      <c r="A430" t="s">
        <v>494</v>
      </c>
    </row>
    <row r="431" spans="1:1" x14ac:dyDescent="0.25">
      <c r="A431" t="s">
        <v>495</v>
      </c>
    </row>
    <row r="432" spans="1:1" x14ac:dyDescent="0.25">
      <c r="A432" t="s">
        <v>496</v>
      </c>
    </row>
    <row r="433" spans="1:1" x14ac:dyDescent="0.25">
      <c r="A433" t="s">
        <v>497</v>
      </c>
    </row>
    <row r="434" spans="1:1" x14ac:dyDescent="0.25">
      <c r="A434" t="s">
        <v>498</v>
      </c>
    </row>
    <row r="435" spans="1:1" x14ac:dyDescent="0.25">
      <c r="A435" t="s">
        <v>499</v>
      </c>
    </row>
    <row r="436" spans="1:1" x14ac:dyDescent="0.25">
      <c r="A436" t="s">
        <v>500</v>
      </c>
    </row>
    <row r="437" spans="1:1" x14ac:dyDescent="0.25">
      <c r="A437" t="s">
        <v>501</v>
      </c>
    </row>
    <row r="438" spans="1:1" x14ac:dyDescent="0.25">
      <c r="A438" t="s">
        <v>502</v>
      </c>
    </row>
    <row r="439" spans="1:1" x14ac:dyDescent="0.25">
      <c r="A439" t="s">
        <v>503</v>
      </c>
    </row>
    <row r="440" spans="1:1" x14ac:dyDescent="0.25">
      <c r="A440" t="s">
        <v>504</v>
      </c>
    </row>
    <row r="441" spans="1:1" x14ac:dyDescent="0.25">
      <c r="A441" t="s">
        <v>505</v>
      </c>
    </row>
    <row r="442" spans="1:1" x14ac:dyDescent="0.25">
      <c r="A442" t="s">
        <v>506</v>
      </c>
    </row>
    <row r="443" spans="1:1" x14ac:dyDescent="0.25">
      <c r="A443" t="s">
        <v>507</v>
      </c>
    </row>
    <row r="444" spans="1:1" x14ac:dyDescent="0.25">
      <c r="A444" t="s">
        <v>508</v>
      </c>
    </row>
    <row r="445" spans="1:1" x14ac:dyDescent="0.25">
      <c r="A445" t="s">
        <v>509</v>
      </c>
    </row>
    <row r="446" spans="1:1" x14ac:dyDescent="0.25">
      <c r="A446" t="s">
        <v>510</v>
      </c>
    </row>
    <row r="447" spans="1:1" x14ac:dyDescent="0.25">
      <c r="A447" t="s">
        <v>511</v>
      </c>
    </row>
    <row r="448" spans="1:1" x14ac:dyDescent="0.25">
      <c r="A448" t="s">
        <v>512</v>
      </c>
    </row>
    <row r="449" spans="1:1" x14ac:dyDescent="0.25">
      <c r="A449" t="s">
        <v>513</v>
      </c>
    </row>
    <row r="450" spans="1:1" x14ac:dyDescent="0.25">
      <c r="A450" t="s">
        <v>514</v>
      </c>
    </row>
    <row r="451" spans="1:1" x14ac:dyDescent="0.25">
      <c r="A451" t="s">
        <v>515</v>
      </c>
    </row>
    <row r="452" spans="1:1" x14ac:dyDescent="0.25">
      <c r="A452" t="s">
        <v>516</v>
      </c>
    </row>
    <row r="453" spans="1:1" x14ac:dyDescent="0.25">
      <c r="A453" t="s">
        <v>517</v>
      </c>
    </row>
    <row r="454" spans="1:1" x14ac:dyDescent="0.25">
      <c r="A454" t="s">
        <v>518</v>
      </c>
    </row>
    <row r="455" spans="1:1" x14ac:dyDescent="0.25">
      <c r="A455" t="s">
        <v>519</v>
      </c>
    </row>
    <row r="456" spans="1:1" x14ac:dyDescent="0.25">
      <c r="A456" t="s">
        <v>520</v>
      </c>
    </row>
    <row r="457" spans="1:1" x14ac:dyDescent="0.25">
      <c r="A457" t="s">
        <v>521</v>
      </c>
    </row>
    <row r="458" spans="1:1" x14ac:dyDescent="0.25">
      <c r="A458" t="s">
        <v>522</v>
      </c>
    </row>
    <row r="459" spans="1:1" x14ac:dyDescent="0.25">
      <c r="A459" t="s">
        <v>523</v>
      </c>
    </row>
    <row r="460" spans="1:1" x14ac:dyDescent="0.25">
      <c r="A460" t="s">
        <v>524</v>
      </c>
    </row>
    <row r="461" spans="1:1" x14ac:dyDescent="0.25">
      <c r="A461" t="s">
        <v>525</v>
      </c>
    </row>
    <row r="462" spans="1:1" x14ac:dyDescent="0.25">
      <c r="A462" t="s">
        <v>526</v>
      </c>
    </row>
    <row r="463" spans="1:1" x14ac:dyDescent="0.25">
      <c r="A463" t="s">
        <v>527</v>
      </c>
    </row>
    <row r="464" spans="1:1" x14ac:dyDescent="0.25">
      <c r="A464" t="s">
        <v>528</v>
      </c>
    </row>
    <row r="465" spans="1:1" x14ac:dyDescent="0.25">
      <c r="A465" t="s">
        <v>529</v>
      </c>
    </row>
    <row r="466" spans="1:1" x14ac:dyDescent="0.25">
      <c r="A466" t="s">
        <v>530</v>
      </c>
    </row>
    <row r="467" spans="1:1" x14ac:dyDescent="0.25">
      <c r="A467" t="s">
        <v>531</v>
      </c>
    </row>
    <row r="468" spans="1:1" x14ac:dyDescent="0.25">
      <c r="A468" t="s">
        <v>532</v>
      </c>
    </row>
    <row r="469" spans="1:1" x14ac:dyDescent="0.25">
      <c r="A469" t="s">
        <v>533</v>
      </c>
    </row>
    <row r="470" spans="1:1" x14ac:dyDescent="0.25">
      <c r="A470" t="s">
        <v>534</v>
      </c>
    </row>
    <row r="471" spans="1:1" x14ac:dyDescent="0.25">
      <c r="A471" t="s">
        <v>535</v>
      </c>
    </row>
    <row r="472" spans="1:1" x14ac:dyDescent="0.25">
      <c r="A472" t="s">
        <v>536</v>
      </c>
    </row>
    <row r="473" spans="1:1" x14ac:dyDescent="0.25">
      <c r="A473" t="s">
        <v>537</v>
      </c>
    </row>
    <row r="474" spans="1:1" x14ac:dyDescent="0.25">
      <c r="A474" t="s">
        <v>538</v>
      </c>
    </row>
    <row r="475" spans="1:1" x14ac:dyDescent="0.25">
      <c r="A475" t="s">
        <v>539</v>
      </c>
    </row>
    <row r="476" spans="1:1" x14ac:dyDescent="0.25">
      <c r="A476" t="s">
        <v>540</v>
      </c>
    </row>
    <row r="477" spans="1:1" x14ac:dyDescent="0.25">
      <c r="A477" t="s">
        <v>541</v>
      </c>
    </row>
    <row r="478" spans="1:1" x14ac:dyDescent="0.25">
      <c r="A478" t="s">
        <v>542</v>
      </c>
    </row>
    <row r="479" spans="1:1" x14ac:dyDescent="0.25">
      <c r="A479" t="s">
        <v>543</v>
      </c>
    </row>
    <row r="480" spans="1:1" x14ac:dyDescent="0.25">
      <c r="A480" t="s">
        <v>544</v>
      </c>
    </row>
    <row r="481" spans="1:1" x14ac:dyDescent="0.25">
      <c r="A481" t="s">
        <v>545</v>
      </c>
    </row>
    <row r="482" spans="1:1" x14ac:dyDescent="0.25">
      <c r="A482" t="s">
        <v>546</v>
      </c>
    </row>
    <row r="483" spans="1:1" x14ac:dyDescent="0.25">
      <c r="A483" t="s">
        <v>547</v>
      </c>
    </row>
    <row r="484" spans="1:1" x14ac:dyDescent="0.25">
      <c r="A484" t="s">
        <v>548</v>
      </c>
    </row>
    <row r="485" spans="1:1" x14ac:dyDescent="0.25">
      <c r="A485" t="s">
        <v>549</v>
      </c>
    </row>
    <row r="486" spans="1:1" x14ac:dyDescent="0.25">
      <c r="A486" t="s">
        <v>550</v>
      </c>
    </row>
    <row r="487" spans="1:1" x14ac:dyDescent="0.25">
      <c r="A487" t="s">
        <v>551</v>
      </c>
    </row>
    <row r="488" spans="1:1" x14ac:dyDescent="0.25">
      <c r="A488" t="s">
        <v>552</v>
      </c>
    </row>
    <row r="489" spans="1:1" x14ac:dyDescent="0.25">
      <c r="A489" t="s">
        <v>553</v>
      </c>
    </row>
    <row r="490" spans="1:1" x14ac:dyDescent="0.25">
      <c r="A490" t="s">
        <v>554</v>
      </c>
    </row>
    <row r="491" spans="1:1" x14ac:dyDescent="0.25">
      <c r="A491" t="s">
        <v>555</v>
      </c>
    </row>
    <row r="492" spans="1:1" x14ac:dyDescent="0.25">
      <c r="A492" t="s">
        <v>556</v>
      </c>
    </row>
    <row r="493" spans="1:1" x14ac:dyDescent="0.25">
      <c r="A493" t="s">
        <v>557</v>
      </c>
    </row>
    <row r="494" spans="1:1" x14ac:dyDescent="0.25">
      <c r="A494" t="s">
        <v>558</v>
      </c>
    </row>
    <row r="495" spans="1:1" x14ac:dyDescent="0.25">
      <c r="A495" t="s">
        <v>559</v>
      </c>
    </row>
    <row r="496" spans="1:1" x14ac:dyDescent="0.25">
      <c r="A496" t="s">
        <v>560</v>
      </c>
    </row>
    <row r="497" spans="1:1" x14ac:dyDescent="0.25">
      <c r="A497" t="s">
        <v>561</v>
      </c>
    </row>
    <row r="498" spans="1:1" x14ac:dyDescent="0.25">
      <c r="A498" t="s">
        <v>562</v>
      </c>
    </row>
    <row r="499" spans="1:1" x14ac:dyDescent="0.25">
      <c r="A499" t="s">
        <v>563</v>
      </c>
    </row>
    <row r="500" spans="1:1" x14ac:dyDescent="0.25">
      <c r="A500" t="s">
        <v>564</v>
      </c>
    </row>
    <row r="501" spans="1:1" x14ac:dyDescent="0.25">
      <c r="A501" t="s">
        <v>565</v>
      </c>
    </row>
    <row r="502" spans="1:1" x14ac:dyDescent="0.25">
      <c r="A502" t="s">
        <v>566</v>
      </c>
    </row>
    <row r="503" spans="1:1" x14ac:dyDescent="0.25">
      <c r="A503" t="s">
        <v>567</v>
      </c>
    </row>
    <row r="504" spans="1:1" x14ac:dyDescent="0.25">
      <c r="A504" t="s">
        <v>568</v>
      </c>
    </row>
    <row r="505" spans="1:1" x14ac:dyDescent="0.25">
      <c r="A505" t="s">
        <v>569</v>
      </c>
    </row>
    <row r="506" spans="1:1" x14ac:dyDescent="0.25">
      <c r="A506" t="s">
        <v>570</v>
      </c>
    </row>
    <row r="507" spans="1:1" x14ac:dyDescent="0.25">
      <c r="A507" t="s">
        <v>571</v>
      </c>
    </row>
    <row r="508" spans="1:1" x14ac:dyDescent="0.25">
      <c r="A508" t="s">
        <v>572</v>
      </c>
    </row>
    <row r="509" spans="1:1" x14ac:dyDescent="0.25">
      <c r="A509" t="s">
        <v>573</v>
      </c>
    </row>
    <row r="510" spans="1:1" x14ac:dyDescent="0.25">
      <c r="A510" t="s">
        <v>574</v>
      </c>
    </row>
    <row r="511" spans="1:1" x14ac:dyDescent="0.25">
      <c r="A511" t="s">
        <v>575</v>
      </c>
    </row>
    <row r="512" spans="1:1" x14ac:dyDescent="0.25">
      <c r="A512" t="s">
        <v>576</v>
      </c>
    </row>
    <row r="513" spans="1:1" x14ac:dyDescent="0.25">
      <c r="A513" t="s">
        <v>577</v>
      </c>
    </row>
    <row r="514" spans="1:1" x14ac:dyDescent="0.25">
      <c r="A514" t="s">
        <v>578</v>
      </c>
    </row>
    <row r="515" spans="1:1" x14ac:dyDescent="0.25">
      <c r="A515" t="s">
        <v>579</v>
      </c>
    </row>
    <row r="516" spans="1:1" x14ac:dyDescent="0.25">
      <c r="A516" t="s">
        <v>580</v>
      </c>
    </row>
    <row r="517" spans="1:1" x14ac:dyDescent="0.25">
      <c r="A517" t="s">
        <v>581</v>
      </c>
    </row>
    <row r="518" spans="1:1" x14ac:dyDescent="0.25">
      <c r="A518" t="s">
        <v>582</v>
      </c>
    </row>
    <row r="519" spans="1:1" x14ac:dyDescent="0.25">
      <c r="A519" t="s">
        <v>583</v>
      </c>
    </row>
    <row r="520" spans="1:1" x14ac:dyDescent="0.25">
      <c r="A520" t="s">
        <v>584</v>
      </c>
    </row>
    <row r="521" spans="1:1" x14ac:dyDescent="0.25">
      <c r="A521" t="s">
        <v>585</v>
      </c>
    </row>
    <row r="522" spans="1:1" x14ac:dyDescent="0.25">
      <c r="A522" t="s">
        <v>586</v>
      </c>
    </row>
    <row r="523" spans="1:1" x14ac:dyDescent="0.25">
      <c r="A523" t="s">
        <v>587</v>
      </c>
    </row>
    <row r="524" spans="1:1" x14ac:dyDescent="0.25">
      <c r="A524" t="s">
        <v>588</v>
      </c>
    </row>
    <row r="525" spans="1:1" x14ac:dyDescent="0.25">
      <c r="A525" t="s">
        <v>589</v>
      </c>
    </row>
    <row r="526" spans="1:1" x14ac:dyDescent="0.25">
      <c r="A526" t="s">
        <v>590</v>
      </c>
    </row>
    <row r="527" spans="1:1" x14ac:dyDescent="0.25">
      <c r="A527" t="s">
        <v>591</v>
      </c>
    </row>
    <row r="528" spans="1:1" x14ac:dyDescent="0.25">
      <c r="A528" t="s">
        <v>592</v>
      </c>
    </row>
    <row r="529" spans="1:1" x14ac:dyDescent="0.25">
      <c r="A529" t="s">
        <v>593</v>
      </c>
    </row>
    <row r="530" spans="1:1" x14ac:dyDescent="0.25">
      <c r="A530" t="s">
        <v>594</v>
      </c>
    </row>
    <row r="531" spans="1:1" x14ac:dyDescent="0.25">
      <c r="A531" t="s">
        <v>595</v>
      </c>
    </row>
    <row r="532" spans="1:1" x14ac:dyDescent="0.25">
      <c r="A532" t="s">
        <v>596</v>
      </c>
    </row>
    <row r="533" spans="1:1" x14ac:dyDescent="0.25">
      <c r="A533" t="s">
        <v>597</v>
      </c>
    </row>
    <row r="534" spans="1:1" x14ac:dyDescent="0.25">
      <c r="A534" t="s">
        <v>598</v>
      </c>
    </row>
    <row r="535" spans="1:1" x14ac:dyDescent="0.25">
      <c r="A535" t="s">
        <v>599</v>
      </c>
    </row>
    <row r="536" spans="1:1" x14ac:dyDescent="0.25">
      <c r="A536" t="s">
        <v>600</v>
      </c>
    </row>
    <row r="537" spans="1:1" x14ac:dyDescent="0.25">
      <c r="A537" t="s">
        <v>601</v>
      </c>
    </row>
    <row r="538" spans="1:1" x14ac:dyDescent="0.25">
      <c r="A538" t="s">
        <v>602</v>
      </c>
    </row>
    <row r="539" spans="1:1" x14ac:dyDescent="0.25">
      <c r="A539" t="s">
        <v>603</v>
      </c>
    </row>
    <row r="540" spans="1:1" x14ac:dyDescent="0.25">
      <c r="A540" t="s">
        <v>604</v>
      </c>
    </row>
    <row r="541" spans="1:1" x14ac:dyDescent="0.25">
      <c r="A541" t="s">
        <v>605</v>
      </c>
    </row>
    <row r="542" spans="1:1" x14ac:dyDescent="0.25">
      <c r="A542" t="s">
        <v>606</v>
      </c>
    </row>
    <row r="543" spans="1:1" x14ac:dyDescent="0.25">
      <c r="A543" t="s">
        <v>607</v>
      </c>
    </row>
    <row r="544" spans="1:1" x14ac:dyDescent="0.25">
      <c r="A544" t="s">
        <v>608</v>
      </c>
    </row>
    <row r="545" spans="1:1" x14ac:dyDescent="0.25">
      <c r="A545" t="s">
        <v>609</v>
      </c>
    </row>
    <row r="546" spans="1:1" x14ac:dyDescent="0.25">
      <c r="A546" t="s">
        <v>610</v>
      </c>
    </row>
    <row r="547" spans="1:1" x14ac:dyDescent="0.25">
      <c r="A547" t="s">
        <v>611</v>
      </c>
    </row>
    <row r="548" spans="1:1" x14ac:dyDescent="0.25">
      <c r="A548" t="s">
        <v>612</v>
      </c>
    </row>
    <row r="549" spans="1:1" x14ac:dyDescent="0.25">
      <c r="A549" t="s">
        <v>613</v>
      </c>
    </row>
    <row r="550" spans="1:1" x14ac:dyDescent="0.25">
      <c r="A550" t="s">
        <v>614</v>
      </c>
    </row>
    <row r="551" spans="1:1" x14ac:dyDescent="0.25">
      <c r="A551" t="s">
        <v>615</v>
      </c>
    </row>
    <row r="552" spans="1:1" x14ac:dyDescent="0.25">
      <c r="A552" t="s">
        <v>616</v>
      </c>
    </row>
    <row r="553" spans="1:1" x14ac:dyDescent="0.25">
      <c r="A553" t="s">
        <v>617</v>
      </c>
    </row>
    <row r="554" spans="1:1" x14ac:dyDescent="0.25">
      <c r="A554" t="s">
        <v>618</v>
      </c>
    </row>
    <row r="555" spans="1:1" x14ac:dyDescent="0.25">
      <c r="A555" t="s">
        <v>619</v>
      </c>
    </row>
    <row r="556" spans="1:1" x14ac:dyDescent="0.25">
      <c r="A556" t="s">
        <v>620</v>
      </c>
    </row>
    <row r="557" spans="1:1" x14ac:dyDescent="0.25">
      <c r="A557" t="s">
        <v>621</v>
      </c>
    </row>
    <row r="558" spans="1:1" x14ac:dyDescent="0.25">
      <c r="A558" t="s">
        <v>622</v>
      </c>
    </row>
    <row r="559" spans="1:1" x14ac:dyDescent="0.25">
      <c r="A559" t="s">
        <v>623</v>
      </c>
    </row>
    <row r="560" spans="1:1" x14ac:dyDescent="0.25">
      <c r="A560" t="s">
        <v>624</v>
      </c>
    </row>
    <row r="561" spans="1:1" x14ac:dyDescent="0.25">
      <c r="A561" t="s">
        <v>625</v>
      </c>
    </row>
    <row r="562" spans="1:1" x14ac:dyDescent="0.25">
      <c r="A562" t="s">
        <v>626</v>
      </c>
    </row>
    <row r="563" spans="1:1" x14ac:dyDescent="0.25">
      <c r="A563" t="s">
        <v>627</v>
      </c>
    </row>
    <row r="564" spans="1:1" x14ac:dyDescent="0.25">
      <c r="A564" t="s">
        <v>628</v>
      </c>
    </row>
    <row r="565" spans="1:1" x14ac:dyDescent="0.25">
      <c r="A565" t="s">
        <v>629</v>
      </c>
    </row>
    <row r="566" spans="1:1" x14ac:dyDescent="0.25">
      <c r="A566" t="s">
        <v>630</v>
      </c>
    </row>
    <row r="567" spans="1:1" x14ac:dyDescent="0.25">
      <c r="A567" t="s">
        <v>631</v>
      </c>
    </row>
    <row r="568" spans="1:1" x14ac:dyDescent="0.25">
      <c r="A568" t="s">
        <v>632</v>
      </c>
    </row>
    <row r="569" spans="1:1" x14ac:dyDescent="0.25">
      <c r="A569" t="s">
        <v>633</v>
      </c>
    </row>
    <row r="570" spans="1:1" x14ac:dyDescent="0.25">
      <c r="A570" t="s">
        <v>634</v>
      </c>
    </row>
    <row r="571" spans="1:1" x14ac:dyDescent="0.25">
      <c r="A571" t="s">
        <v>635</v>
      </c>
    </row>
    <row r="572" spans="1:1" x14ac:dyDescent="0.25">
      <c r="A572" t="s">
        <v>636</v>
      </c>
    </row>
    <row r="573" spans="1:1" x14ac:dyDescent="0.25">
      <c r="A573" t="s">
        <v>637</v>
      </c>
    </row>
    <row r="574" spans="1:1" x14ac:dyDescent="0.25">
      <c r="A574" t="s">
        <v>638</v>
      </c>
    </row>
    <row r="575" spans="1:1" x14ac:dyDescent="0.25">
      <c r="A575" t="s">
        <v>639</v>
      </c>
    </row>
    <row r="576" spans="1:1" x14ac:dyDescent="0.25">
      <c r="A576" t="s">
        <v>640</v>
      </c>
    </row>
    <row r="577" spans="1:1" x14ac:dyDescent="0.25">
      <c r="A577" t="s">
        <v>641</v>
      </c>
    </row>
    <row r="578" spans="1:1" x14ac:dyDescent="0.25">
      <c r="A578" t="s">
        <v>642</v>
      </c>
    </row>
    <row r="579" spans="1:1" x14ac:dyDescent="0.25">
      <c r="A579" t="s">
        <v>643</v>
      </c>
    </row>
    <row r="580" spans="1:1" x14ac:dyDescent="0.25">
      <c r="A580" t="s">
        <v>644</v>
      </c>
    </row>
    <row r="581" spans="1:1" x14ac:dyDescent="0.25">
      <c r="A581" t="s">
        <v>645</v>
      </c>
    </row>
    <row r="582" spans="1:1" x14ac:dyDescent="0.25">
      <c r="A582" t="s">
        <v>646</v>
      </c>
    </row>
    <row r="583" spans="1:1" x14ac:dyDescent="0.25">
      <c r="A583" t="s">
        <v>647</v>
      </c>
    </row>
    <row r="584" spans="1:1" x14ac:dyDescent="0.25">
      <c r="A584" t="s">
        <v>648</v>
      </c>
    </row>
    <row r="585" spans="1:1" x14ac:dyDescent="0.25">
      <c r="A585" t="s">
        <v>649</v>
      </c>
    </row>
    <row r="586" spans="1:1" x14ac:dyDescent="0.25">
      <c r="A586" t="s">
        <v>650</v>
      </c>
    </row>
    <row r="587" spans="1:1" x14ac:dyDescent="0.25">
      <c r="A587" t="s">
        <v>651</v>
      </c>
    </row>
    <row r="588" spans="1:1" x14ac:dyDescent="0.25">
      <c r="A588" t="s">
        <v>652</v>
      </c>
    </row>
    <row r="589" spans="1:1" x14ac:dyDescent="0.25">
      <c r="A589" t="s">
        <v>653</v>
      </c>
    </row>
    <row r="590" spans="1:1" x14ac:dyDescent="0.25">
      <c r="A590" t="s">
        <v>654</v>
      </c>
    </row>
    <row r="591" spans="1:1" x14ac:dyDescent="0.25">
      <c r="A591" t="s">
        <v>655</v>
      </c>
    </row>
    <row r="592" spans="1:1" x14ac:dyDescent="0.25">
      <c r="A592" t="s">
        <v>656</v>
      </c>
    </row>
    <row r="593" spans="1:1" x14ac:dyDescent="0.25">
      <c r="A593" t="s">
        <v>657</v>
      </c>
    </row>
    <row r="594" spans="1:1" x14ac:dyDescent="0.25">
      <c r="A594" t="s">
        <v>658</v>
      </c>
    </row>
    <row r="595" spans="1:1" x14ac:dyDescent="0.25">
      <c r="A595" t="s">
        <v>659</v>
      </c>
    </row>
    <row r="596" spans="1:1" x14ac:dyDescent="0.25">
      <c r="A596" t="s">
        <v>660</v>
      </c>
    </row>
    <row r="597" spans="1:1" x14ac:dyDescent="0.25">
      <c r="A597" t="s">
        <v>661</v>
      </c>
    </row>
    <row r="598" spans="1:1" x14ac:dyDescent="0.25">
      <c r="A598" t="s">
        <v>662</v>
      </c>
    </row>
    <row r="599" spans="1:1" x14ac:dyDescent="0.25">
      <c r="A599" t="s">
        <v>663</v>
      </c>
    </row>
    <row r="600" spans="1:1" x14ac:dyDescent="0.25">
      <c r="A600" t="s">
        <v>664</v>
      </c>
    </row>
    <row r="601" spans="1:1" x14ac:dyDescent="0.25">
      <c r="A601" t="s">
        <v>665</v>
      </c>
    </row>
    <row r="602" spans="1:1" x14ac:dyDescent="0.25">
      <c r="A602" t="s">
        <v>666</v>
      </c>
    </row>
    <row r="603" spans="1:1" x14ac:dyDescent="0.25">
      <c r="A603" t="s">
        <v>667</v>
      </c>
    </row>
    <row r="604" spans="1:1" x14ac:dyDescent="0.25">
      <c r="A604" t="s">
        <v>668</v>
      </c>
    </row>
    <row r="605" spans="1:1" x14ac:dyDescent="0.25">
      <c r="A605" t="s">
        <v>669</v>
      </c>
    </row>
    <row r="606" spans="1:1" x14ac:dyDescent="0.25">
      <c r="A606" t="s">
        <v>670</v>
      </c>
    </row>
    <row r="607" spans="1:1" x14ac:dyDescent="0.25">
      <c r="A607" t="s">
        <v>671</v>
      </c>
    </row>
    <row r="608" spans="1:1" x14ac:dyDescent="0.25">
      <c r="A608" t="s">
        <v>672</v>
      </c>
    </row>
    <row r="609" spans="1:1" x14ac:dyDescent="0.25">
      <c r="A609" t="s">
        <v>673</v>
      </c>
    </row>
    <row r="610" spans="1:1" x14ac:dyDescent="0.25">
      <c r="A610" t="s">
        <v>674</v>
      </c>
    </row>
    <row r="611" spans="1:1" x14ac:dyDescent="0.25">
      <c r="A611" t="s">
        <v>675</v>
      </c>
    </row>
    <row r="612" spans="1:1" x14ac:dyDescent="0.25">
      <c r="A612" t="s">
        <v>676</v>
      </c>
    </row>
    <row r="613" spans="1:1" x14ac:dyDescent="0.25">
      <c r="A613" t="s">
        <v>677</v>
      </c>
    </row>
    <row r="614" spans="1:1" x14ac:dyDescent="0.25">
      <c r="A614" t="s">
        <v>678</v>
      </c>
    </row>
    <row r="615" spans="1:1" x14ac:dyDescent="0.25">
      <c r="A615" t="s">
        <v>679</v>
      </c>
    </row>
    <row r="616" spans="1:1" x14ac:dyDescent="0.25">
      <c r="A616" t="s">
        <v>680</v>
      </c>
    </row>
    <row r="617" spans="1:1" x14ac:dyDescent="0.25">
      <c r="A617" t="s">
        <v>681</v>
      </c>
    </row>
    <row r="618" spans="1:1" x14ac:dyDescent="0.25">
      <c r="A618" t="s">
        <v>682</v>
      </c>
    </row>
    <row r="619" spans="1:1" x14ac:dyDescent="0.25">
      <c r="A619" t="s">
        <v>683</v>
      </c>
    </row>
    <row r="620" spans="1:1" x14ac:dyDescent="0.25">
      <c r="A620" t="s">
        <v>684</v>
      </c>
    </row>
    <row r="621" spans="1:1" x14ac:dyDescent="0.25">
      <c r="A621" t="s">
        <v>685</v>
      </c>
    </row>
    <row r="622" spans="1:1" x14ac:dyDescent="0.25">
      <c r="A622" t="s">
        <v>686</v>
      </c>
    </row>
    <row r="623" spans="1:1" x14ac:dyDescent="0.25">
      <c r="A623" t="s">
        <v>687</v>
      </c>
    </row>
    <row r="624" spans="1:1" x14ac:dyDescent="0.25">
      <c r="A624" t="s">
        <v>688</v>
      </c>
    </row>
    <row r="625" spans="1:1" x14ac:dyDescent="0.25">
      <c r="A625" t="s">
        <v>689</v>
      </c>
    </row>
    <row r="626" spans="1:1" x14ac:dyDescent="0.25">
      <c r="A626" t="s">
        <v>690</v>
      </c>
    </row>
    <row r="627" spans="1:1" x14ac:dyDescent="0.25">
      <c r="A627" t="s">
        <v>691</v>
      </c>
    </row>
    <row r="628" spans="1:1" x14ac:dyDescent="0.25">
      <c r="A628" t="s">
        <v>692</v>
      </c>
    </row>
    <row r="629" spans="1:1" x14ac:dyDescent="0.25">
      <c r="A629" t="s">
        <v>693</v>
      </c>
    </row>
    <row r="630" spans="1:1" x14ac:dyDescent="0.25">
      <c r="A630" t="s">
        <v>694</v>
      </c>
    </row>
    <row r="631" spans="1:1" x14ac:dyDescent="0.25">
      <c r="A631" t="s">
        <v>695</v>
      </c>
    </row>
    <row r="632" spans="1:1" x14ac:dyDescent="0.25">
      <c r="A632" t="s">
        <v>696</v>
      </c>
    </row>
    <row r="633" spans="1:1" x14ac:dyDescent="0.25">
      <c r="A633" t="s">
        <v>697</v>
      </c>
    </row>
    <row r="634" spans="1:1" x14ac:dyDescent="0.25">
      <c r="A634" t="s">
        <v>698</v>
      </c>
    </row>
    <row r="635" spans="1:1" x14ac:dyDescent="0.25">
      <c r="A635" t="s">
        <v>699</v>
      </c>
    </row>
    <row r="636" spans="1:1" x14ac:dyDescent="0.25">
      <c r="A636" t="s">
        <v>700</v>
      </c>
    </row>
    <row r="637" spans="1:1" x14ac:dyDescent="0.25">
      <c r="A637" t="s">
        <v>701</v>
      </c>
    </row>
    <row r="638" spans="1:1" x14ac:dyDescent="0.25">
      <c r="A638" t="s">
        <v>702</v>
      </c>
    </row>
    <row r="639" spans="1:1" x14ac:dyDescent="0.25">
      <c r="A639" t="s">
        <v>703</v>
      </c>
    </row>
    <row r="640" spans="1:1" x14ac:dyDescent="0.25">
      <c r="A640" t="s">
        <v>704</v>
      </c>
    </row>
    <row r="641" spans="1:1" x14ac:dyDescent="0.25">
      <c r="A641" t="s">
        <v>705</v>
      </c>
    </row>
    <row r="642" spans="1:1" x14ac:dyDescent="0.25">
      <c r="A642" t="s">
        <v>706</v>
      </c>
    </row>
    <row r="643" spans="1:1" x14ac:dyDescent="0.25">
      <c r="A643" t="s">
        <v>707</v>
      </c>
    </row>
    <row r="644" spans="1:1" x14ac:dyDescent="0.25">
      <c r="A644" t="s">
        <v>708</v>
      </c>
    </row>
    <row r="645" spans="1:1" x14ac:dyDescent="0.25">
      <c r="A645" t="s">
        <v>709</v>
      </c>
    </row>
    <row r="646" spans="1:1" x14ac:dyDescent="0.25">
      <c r="A646" t="s">
        <v>710</v>
      </c>
    </row>
    <row r="647" spans="1:1" x14ac:dyDescent="0.25">
      <c r="A647" t="s">
        <v>711</v>
      </c>
    </row>
    <row r="648" spans="1:1" x14ac:dyDescent="0.25">
      <c r="A648" t="s">
        <v>712</v>
      </c>
    </row>
    <row r="649" spans="1:1" x14ac:dyDescent="0.25">
      <c r="A649" t="s">
        <v>713</v>
      </c>
    </row>
    <row r="650" spans="1:1" x14ac:dyDescent="0.25">
      <c r="A650" t="s">
        <v>714</v>
      </c>
    </row>
    <row r="651" spans="1:1" x14ac:dyDescent="0.25">
      <c r="A651" t="s">
        <v>715</v>
      </c>
    </row>
    <row r="652" spans="1:1" x14ac:dyDescent="0.25">
      <c r="A652" t="s">
        <v>716</v>
      </c>
    </row>
    <row r="653" spans="1:1" x14ac:dyDescent="0.25">
      <c r="A653" t="s">
        <v>717</v>
      </c>
    </row>
    <row r="654" spans="1:1" x14ac:dyDescent="0.25">
      <c r="A654" t="s">
        <v>718</v>
      </c>
    </row>
    <row r="655" spans="1:1" x14ac:dyDescent="0.25">
      <c r="A655" t="s">
        <v>719</v>
      </c>
    </row>
    <row r="656" spans="1:1" x14ac:dyDescent="0.25">
      <c r="A656" t="s">
        <v>720</v>
      </c>
    </row>
    <row r="657" spans="1:1" x14ac:dyDescent="0.25">
      <c r="A657" t="s">
        <v>721</v>
      </c>
    </row>
    <row r="658" spans="1:1" x14ac:dyDescent="0.25">
      <c r="A658" t="s">
        <v>722</v>
      </c>
    </row>
    <row r="659" spans="1:1" x14ac:dyDescent="0.25">
      <c r="A659" t="s">
        <v>723</v>
      </c>
    </row>
    <row r="660" spans="1:1" x14ac:dyDescent="0.25">
      <c r="A660" t="s">
        <v>724</v>
      </c>
    </row>
    <row r="661" spans="1:1" x14ac:dyDescent="0.25">
      <c r="A661" t="s">
        <v>725</v>
      </c>
    </row>
    <row r="662" spans="1:1" x14ac:dyDescent="0.25">
      <c r="A662" t="s">
        <v>726</v>
      </c>
    </row>
    <row r="663" spans="1:1" x14ac:dyDescent="0.25">
      <c r="A663" t="s">
        <v>727</v>
      </c>
    </row>
    <row r="664" spans="1:1" x14ac:dyDescent="0.25">
      <c r="A664" t="s">
        <v>728</v>
      </c>
    </row>
    <row r="665" spans="1:1" x14ac:dyDescent="0.25">
      <c r="A665" t="s">
        <v>729</v>
      </c>
    </row>
    <row r="666" spans="1:1" x14ac:dyDescent="0.25">
      <c r="A666" t="s">
        <v>730</v>
      </c>
    </row>
    <row r="667" spans="1:1" x14ac:dyDescent="0.25">
      <c r="A667" t="s">
        <v>731</v>
      </c>
    </row>
    <row r="668" spans="1:1" x14ac:dyDescent="0.25">
      <c r="A668" t="s">
        <v>732</v>
      </c>
    </row>
    <row r="669" spans="1:1" x14ac:dyDescent="0.25">
      <c r="A669" t="s">
        <v>733</v>
      </c>
    </row>
    <row r="670" spans="1:1" x14ac:dyDescent="0.25">
      <c r="A670" t="s">
        <v>734</v>
      </c>
    </row>
    <row r="671" spans="1:1" x14ac:dyDescent="0.25">
      <c r="A671" t="s">
        <v>735</v>
      </c>
    </row>
    <row r="672" spans="1:1" x14ac:dyDescent="0.25">
      <c r="A672" t="s">
        <v>736</v>
      </c>
    </row>
    <row r="673" spans="1:1" x14ac:dyDescent="0.25">
      <c r="A673" t="s">
        <v>737</v>
      </c>
    </row>
    <row r="674" spans="1:1" x14ac:dyDescent="0.25">
      <c r="A674" t="s">
        <v>738</v>
      </c>
    </row>
    <row r="675" spans="1:1" x14ac:dyDescent="0.25">
      <c r="A675" t="s">
        <v>739</v>
      </c>
    </row>
    <row r="676" spans="1:1" x14ac:dyDescent="0.25">
      <c r="A676" t="s">
        <v>740</v>
      </c>
    </row>
    <row r="677" spans="1:1" x14ac:dyDescent="0.25">
      <c r="A677" t="s">
        <v>741</v>
      </c>
    </row>
    <row r="678" spans="1:1" x14ac:dyDescent="0.25">
      <c r="A678" t="s">
        <v>742</v>
      </c>
    </row>
    <row r="679" spans="1:1" x14ac:dyDescent="0.25">
      <c r="A679" t="s">
        <v>743</v>
      </c>
    </row>
    <row r="680" spans="1:1" x14ac:dyDescent="0.25">
      <c r="A680" t="s">
        <v>744</v>
      </c>
    </row>
    <row r="681" spans="1:1" x14ac:dyDescent="0.25">
      <c r="A681" t="s">
        <v>745</v>
      </c>
    </row>
    <row r="682" spans="1:1" x14ac:dyDescent="0.25">
      <c r="A682" t="s">
        <v>746</v>
      </c>
    </row>
    <row r="683" spans="1:1" x14ac:dyDescent="0.25">
      <c r="A683" t="s">
        <v>747</v>
      </c>
    </row>
    <row r="684" spans="1:1" x14ac:dyDescent="0.25">
      <c r="A684" t="s">
        <v>748</v>
      </c>
    </row>
    <row r="685" spans="1:1" x14ac:dyDescent="0.25">
      <c r="A685" t="s">
        <v>749</v>
      </c>
    </row>
    <row r="686" spans="1:1" x14ac:dyDescent="0.25">
      <c r="A686" t="s">
        <v>750</v>
      </c>
    </row>
    <row r="687" spans="1:1" x14ac:dyDescent="0.25">
      <c r="A687" t="s">
        <v>751</v>
      </c>
    </row>
    <row r="688" spans="1:1" x14ac:dyDescent="0.25">
      <c r="A688" t="s">
        <v>752</v>
      </c>
    </row>
    <row r="689" spans="1:1" x14ac:dyDescent="0.25">
      <c r="A689" t="s">
        <v>753</v>
      </c>
    </row>
    <row r="690" spans="1:1" x14ac:dyDescent="0.25">
      <c r="A690" t="s">
        <v>754</v>
      </c>
    </row>
    <row r="691" spans="1:1" x14ac:dyDescent="0.25">
      <c r="A691" t="s">
        <v>755</v>
      </c>
    </row>
    <row r="692" spans="1:1" x14ac:dyDescent="0.25">
      <c r="A692" t="s">
        <v>756</v>
      </c>
    </row>
    <row r="693" spans="1:1" x14ac:dyDescent="0.25">
      <c r="A693" t="s">
        <v>757</v>
      </c>
    </row>
    <row r="694" spans="1:1" x14ac:dyDescent="0.25">
      <c r="A694" t="s">
        <v>758</v>
      </c>
    </row>
    <row r="695" spans="1:1" x14ac:dyDescent="0.25">
      <c r="A695" t="s">
        <v>759</v>
      </c>
    </row>
    <row r="696" spans="1:1" x14ac:dyDescent="0.25">
      <c r="A696" t="s">
        <v>760</v>
      </c>
    </row>
    <row r="697" spans="1:1" x14ac:dyDescent="0.25">
      <c r="A697" t="s">
        <v>761</v>
      </c>
    </row>
    <row r="698" spans="1:1" x14ac:dyDescent="0.25">
      <c r="A698" t="s">
        <v>762</v>
      </c>
    </row>
    <row r="699" spans="1:1" x14ac:dyDescent="0.25">
      <c r="A699" t="s">
        <v>763</v>
      </c>
    </row>
    <row r="700" spans="1:1" x14ac:dyDescent="0.25">
      <c r="A700" t="s">
        <v>764</v>
      </c>
    </row>
    <row r="701" spans="1:1" x14ac:dyDescent="0.25">
      <c r="A701" t="s">
        <v>765</v>
      </c>
    </row>
    <row r="702" spans="1:1" x14ac:dyDescent="0.25">
      <c r="A702" t="s">
        <v>766</v>
      </c>
    </row>
    <row r="703" spans="1:1" x14ac:dyDescent="0.25">
      <c r="A703" t="s">
        <v>767</v>
      </c>
    </row>
    <row r="704" spans="1:1" x14ac:dyDescent="0.25">
      <c r="A704" t="s">
        <v>768</v>
      </c>
    </row>
    <row r="705" spans="1:1" x14ac:dyDescent="0.25">
      <c r="A705" t="s">
        <v>769</v>
      </c>
    </row>
    <row r="706" spans="1:1" x14ac:dyDescent="0.25">
      <c r="A706" t="s">
        <v>770</v>
      </c>
    </row>
    <row r="707" spans="1:1" x14ac:dyDescent="0.25">
      <c r="A707" t="s">
        <v>771</v>
      </c>
    </row>
    <row r="708" spans="1:1" x14ac:dyDescent="0.25">
      <c r="A708" t="s">
        <v>772</v>
      </c>
    </row>
    <row r="709" spans="1:1" x14ac:dyDescent="0.25">
      <c r="A709" t="s">
        <v>773</v>
      </c>
    </row>
    <row r="710" spans="1:1" x14ac:dyDescent="0.25">
      <c r="A710" t="s">
        <v>774</v>
      </c>
    </row>
    <row r="711" spans="1:1" x14ac:dyDescent="0.25">
      <c r="A711" t="s">
        <v>775</v>
      </c>
    </row>
    <row r="712" spans="1:1" x14ac:dyDescent="0.25">
      <c r="A712" t="s">
        <v>776</v>
      </c>
    </row>
    <row r="713" spans="1:1" x14ac:dyDescent="0.25">
      <c r="A713" t="s">
        <v>777</v>
      </c>
    </row>
    <row r="714" spans="1:1" x14ac:dyDescent="0.25">
      <c r="A714" t="s">
        <v>778</v>
      </c>
    </row>
    <row r="715" spans="1:1" x14ac:dyDescent="0.25">
      <c r="A715" t="s">
        <v>779</v>
      </c>
    </row>
    <row r="716" spans="1:1" x14ac:dyDescent="0.25">
      <c r="A716" t="s">
        <v>780</v>
      </c>
    </row>
    <row r="717" spans="1:1" x14ac:dyDescent="0.25">
      <c r="A717" t="s">
        <v>781</v>
      </c>
    </row>
    <row r="718" spans="1:1" x14ac:dyDescent="0.25">
      <c r="A718" t="s">
        <v>782</v>
      </c>
    </row>
    <row r="719" spans="1:1" x14ac:dyDescent="0.25">
      <c r="A719" t="s">
        <v>783</v>
      </c>
    </row>
    <row r="720" spans="1:1" x14ac:dyDescent="0.25">
      <c r="A720" t="s">
        <v>784</v>
      </c>
    </row>
    <row r="721" spans="1:1" x14ac:dyDescent="0.25">
      <c r="A721" t="s">
        <v>785</v>
      </c>
    </row>
    <row r="722" spans="1:1" x14ac:dyDescent="0.25">
      <c r="A722" t="s">
        <v>786</v>
      </c>
    </row>
    <row r="723" spans="1:1" x14ac:dyDescent="0.25">
      <c r="A723" t="s">
        <v>787</v>
      </c>
    </row>
    <row r="724" spans="1:1" x14ac:dyDescent="0.25">
      <c r="A724" t="s">
        <v>788</v>
      </c>
    </row>
    <row r="725" spans="1:1" x14ac:dyDescent="0.25">
      <c r="A725" t="s">
        <v>789</v>
      </c>
    </row>
    <row r="726" spans="1:1" x14ac:dyDescent="0.25">
      <c r="A726" t="s">
        <v>790</v>
      </c>
    </row>
    <row r="727" spans="1:1" x14ac:dyDescent="0.25">
      <c r="A727" t="s">
        <v>791</v>
      </c>
    </row>
    <row r="728" spans="1:1" x14ac:dyDescent="0.25">
      <c r="A728" t="s">
        <v>792</v>
      </c>
    </row>
    <row r="729" spans="1:1" x14ac:dyDescent="0.25">
      <c r="A729" t="s">
        <v>793</v>
      </c>
    </row>
    <row r="730" spans="1:1" x14ac:dyDescent="0.25">
      <c r="A730" t="s">
        <v>794</v>
      </c>
    </row>
    <row r="731" spans="1:1" x14ac:dyDescent="0.25">
      <c r="A731" t="s">
        <v>795</v>
      </c>
    </row>
    <row r="732" spans="1:1" x14ac:dyDescent="0.25">
      <c r="A732" t="s">
        <v>796</v>
      </c>
    </row>
    <row r="733" spans="1:1" x14ac:dyDescent="0.25">
      <c r="A733" t="s">
        <v>797</v>
      </c>
    </row>
    <row r="734" spans="1:1" x14ac:dyDescent="0.25">
      <c r="A734" t="s">
        <v>798</v>
      </c>
    </row>
    <row r="735" spans="1:1" x14ac:dyDescent="0.25">
      <c r="A735" t="s">
        <v>799</v>
      </c>
    </row>
    <row r="736" spans="1:1" x14ac:dyDescent="0.25">
      <c r="A736" t="s">
        <v>800</v>
      </c>
    </row>
    <row r="737" spans="1:1" x14ac:dyDescent="0.25">
      <c r="A737" t="s">
        <v>801</v>
      </c>
    </row>
    <row r="738" spans="1:1" x14ac:dyDescent="0.25">
      <c r="A738" t="s">
        <v>802</v>
      </c>
    </row>
    <row r="739" spans="1:1" x14ac:dyDescent="0.25">
      <c r="A739" t="s">
        <v>803</v>
      </c>
    </row>
    <row r="740" spans="1:1" x14ac:dyDescent="0.25">
      <c r="A740" t="s">
        <v>804</v>
      </c>
    </row>
    <row r="741" spans="1:1" x14ac:dyDescent="0.25">
      <c r="A741" t="s">
        <v>805</v>
      </c>
    </row>
    <row r="742" spans="1:1" x14ac:dyDescent="0.25">
      <c r="A742" t="s">
        <v>806</v>
      </c>
    </row>
    <row r="743" spans="1:1" x14ac:dyDescent="0.25">
      <c r="A743" t="s">
        <v>807</v>
      </c>
    </row>
    <row r="744" spans="1:1" x14ac:dyDescent="0.25">
      <c r="A744" t="s">
        <v>808</v>
      </c>
    </row>
    <row r="745" spans="1:1" x14ac:dyDescent="0.25">
      <c r="A745" t="s">
        <v>809</v>
      </c>
    </row>
    <row r="746" spans="1:1" x14ac:dyDescent="0.25">
      <c r="A746" t="s">
        <v>810</v>
      </c>
    </row>
    <row r="747" spans="1:1" x14ac:dyDescent="0.25">
      <c r="A747" t="s">
        <v>811</v>
      </c>
    </row>
    <row r="748" spans="1:1" x14ac:dyDescent="0.25">
      <c r="A748" t="s">
        <v>812</v>
      </c>
    </row>
    <row r="749" spans="1:1" x14ac:dyDescent="0.25">
      <c r="A749" t="s">
        <v>813</v>
      </c>
    </row>
    <row r="750" spans="1:1" x14ac:dyDescent="0.25">
      <c r="A750" t="s">
        <v>814</v>
      </c>
    </row>
    <row r="751" spans="1:1" x14ac:dyDescent="0.25">
      <c r="A751" t="s">
        <v>815</v>
      </c>
    </row>
    <row r="752" spans="1:1" x14ac:dyDescent="0.25">
      <c r="A752" t="s">
        <v>816</v>
      </c>
    </row>
    <row r="753" spans="1:1" x14ac:dyDescent="0.25">
      <c r="A753" t="s">
        <v>817</v>
      </c>
    </row>
    <row r="754" spans="1:1" x14ac:dyDescent="0.25">
      <c r="A754" t="s">
        <v>818</v>
      </c>
    </row>
    <row r="755" spans="1:1" x14ac:dyDescent="0.25">
      <c r="A755" t="s">
        <v>819</v>
      </c>
    </row>
    <row r="756" spans="1:1" x14ac:dyDescent="0.25">
      <c r="A756" t="s">
        <v>820</v>
      </c>
    </row>
    <row r="757" spans="1:1" x14ac:dyDescent="0.25">
      <c r="A757" t="s">
        <v>821</v>
      </c>
    </row>
    <row r="758" spans="1:1" x14ac:dyDescent="0.25">
      <c r="A758" t="s">
        <v>822</v>
      </c>
    </row>
    <row r="759" spans="1:1" x14ac:dyDescent="0.25">
      <c r="A759" t="s">
        <v>823</v>
      </c>
    </row>
    <row r="760" spans="1:1" x14ac:dyDescent="0.25">
      <c r="A760" t="s">
        <v>824</v>
      </c>
    </row>
    <row r="761" spans="1:1" x14ac:dyDescent="0.25">
      <c r="A761" t="s">
        <v>825</v>
      </c>
    </row>
    <row r="762" spans="1:1" x14ac:dyDescent="0.25">
      <c r="A762" t="s">
        <v>826</v>
      </c>
    </row>
    <row r="763" spans="1:1" x14ac:dyDescent="0.25">
      <c r="A763" t="s">
        <v>827</v>
      </c>
    </row>
    <row r="764" spans="1:1" x14ac:dyDescent="0.25">
      <c r="A764" t="s">
        <v>828</v>
      </c>
    </row>
    <row r="765" spans="1:1" x14ac:dyDescent="0.25">
      <c r="A765" t="s">
        <v>829</v>
      </c>
    </row>
    <row r="766" spans="1:1" x14ac:dyDescent="0.25">
      <c r="A766" t="s">
        <v>830</v>
      </c>
    </row>
    <row r="767" spans="1:1" x14ac:dyDescent="0.25">
      <c r="A767" t="s">
        <v>831</v>
      </c>
    </row>
    <row r="768" spans="1:1" x14ac:dyDescent="0.25">
      <c r="A768" t="s">
        <v>832</v>
      </c>
    </row>
    <row r="769" spans="1:1" x14ac:dyDescent="0.25">
      <c r="A769" t="s">
        <v>833</v>
      </c>
    </row>
    <row r="770" spans="1:1" x14ac:dyDescent="0.25">
      <c r="A770" t="s">
        <v>834</v>
      </c>
    </row>
    <row r="771" spans="1:1" x14ac:dyDescent="0.25">
      <c r="A771" t="s">
        <v>835</v>
      </c>
    </row>
    <row r="772" spans="1:1" x14ac:dyDescent="0.25">
      <c r="A772" t="s">
        <v>836</v>
      </c>
    </row>
    <row r="773" spans="1:1" x14ac:dyDescent="0.25">
      <c r="A773" t="s">
        <v>837</v>
      </c>
    </row>
    <row r="774" spans="1:1" x14ac:dyDescent="0.25">
      <c r="A774" t="s">
        <v>838</v>
      </c>
    </row>
    <row r="775" spans="1:1" x14ac:dyDescent="0.25">
      <c r="A775" t="s">
        <v>839</v>
      </c>
    </row>
    <row r="776" spans="1:1" x14ac:dyDescent="0.25">
      <c r="A776" t="s">
        <v>840</v>
      </c>
    </row>
    <row r="777" spans="1:1" x14ac:dyDescent="0.25">
      <c r="A777" t="s">
        <v>841</v>
      </c>
    </row>
    <row r="778" spans="1:1" x14ac:dyDescent="0.25">
      <c r="A778" t="s">
        <v>842</v>
      </c>
    </row>
    <row r="779" spans="1:1" x14ac:dyDescent="0.25">
      <c r="A779" t="s">
        <v>843</v>
      </c>
    </row>
    <row r="780" spans="1:1" x14ac:dyDescent="0.25">
      <c r="A780" t="s">
        <v>844</v>
      </c>
    </row>
    <row r="781" spans="1:1" x14ac:dyDescent="0.25">
      <c r="A781" t="s">
        <v>845</v>
      </c>
    </row>
    <row r="782" spans="1:1" x14ac:dyDescent="0.25">
      <c r="A782" t="s">
        <v>846</v>
      </c>
    </row>
    <row r="783" spans="1:1" x14ac:dyDescent="0.25">
      <c r="A783" t="s">
        <v>847</v>
      </c>
    </row>
    <row r="784" spans="1:1" x14ac:dyDescent="0.25">
      <c r="A784" t="s">
        <v>848</v>
      </c>
    </row>
    <row r="785" spans="1:1" x14ac:dyDescent="0.25">
      <c r="A785" t="s">
        <v>849</v>
      </c>
    </row>
    <row r="786" spans="1:1" x14ac:dyDescent="0.25">
      <c r="A786" t="s">
        <v>850</v>
      </c>
    </row>
    <row r="787" spans="1:1" x14ac:dyDescent="0.25">
      <c r="A787" t="s">
        <v>851</v>
      </c>
    </row>
    <row r="788" spans="1:1" x14ac:dyDescent="0.25">
      <c r="A788" t="s">
        <v>852</v>
      </c>
    </row>
    <row r="789" spans="1:1" x14ac:dyDescent="0.25">
      <c r="A789" t="s">
        <v>853</v>
      </c>
    </row>
    <row r="790" spans="1:1" x14ac:dyDescent="0.25">
      <c r="A790" t="s">
        <v>854</v>
      </c>
    </row>
    <row r="791" spans="1:1" x14ac:dyDescent="0.25">
      <c r="A791" t="s">
        <v>855</v>
      </c>
    </row>
    <row r="792" spans="1:1" x14ac:dyDescent="0.25">
      <c r="A792" t="s">
        <v>856</v>
      </c>
    </row>
    <row r="793" spans="1:1" x14ac:dyDescent="0.25">
      <c r="A793" t="s">
        <v>857</v>
      </c>
    </row>
    <row r="794" spans="1:1" x14ac:dyDescent="0.25">
      <c r="A794" t="s">
        <v>858</v>
      </c>
    </row>
    <row r="795" spans="1:1" x14ac:dyDescent="0.25">
      <c r="A795" t="s">
        <v>859</v>
      </c>
    </row>
    <row r="796" spans="1:1" x14ac:dyDescent="0.25">
      <c r="A796" t="s">
        <v>860</v>
      </c>
    </row>
    <row r="797" spans="1:1" x14ac:dyDescent="0.25">
      <c r="A797" t="s">
        <v>861</v>
      </c>
    </row>
    <row r="798" spans="1:1" x14ac:dyDescent="0.25">
      <c r="A798" t="s">
        <v>862</v>
      </c>
    </row>
    <row r="799" spans="1:1" x14ac:dyDescent="0.25">
      <c r="A799" t="s">
        <v>863</v>
      </c>
    </row>
    <row r="800" spans="1:1" x14ac:dyDescent="0.25">
      <c r="A800" t="s">
        <v>864</v>
      </c>
    </row>
    <row r="801" spans="1:1" x14ac:dyDescent="0.25">
      <c r="A801" t="s">
        <v>865</v>
      </c>
    </row>
    <row r="802" spans="1:1" x14ac:dyDescent="0.25">
      <c r="A802" t="s">
        <v>866</v>
      </c>
    </row>
    <row r="803" spans="1:1" x14ac:dyDescent="0.25">
      <c r="A803" t="s">
        <v>867</v>
      </c>
    </row>
    <row r="804" spans="1:1" x14ac:dyDescent="0.25">
      <c r="A804" t="s">
        <v>868</v>
      </c>
    </row>
    <row r="805" spans="1:1" x14ac:dyDescent="0.25">
      <c r="A805" t="s">
        <v>869</v>
      </c>
    </row>
    <row r="806" spans="1:1" x14ac:dyDescent="0.25">
      <c r="A806" t="s">
        <v>870</v>
      </c>
    </row>
    <row r="807" spans="1:1" x14ac:dyDescent="0.25">
      <c r="A807" t="s">
        <v>871</v>
      </c>
    </row>
    <row r="808" spans="1:1" x14ac:dyDescent="0.25">
      <c r="A808" t="s">
        <v>872</v>
      </c>
    </row>
    <row r="809" spans="1:1" x14ac:dyDescent="0.25">
      <c r="A809" t="s">
        <v>873</v>
      </c>
    </row>
    <row r="810" spans="1:1" x14ac:dyDescent="0.25">
      <c r="A810" t="s">
        <v>874</v>
      </c>
    </row>
    <row r="811" spans="1:1" x14ac:dyDescent="0.25">
      <c r="A811" t="s">
        <v>875</v>
      </c>
    </row>
    <row r="812" spans="1:1" x14ac:dyDescent="0.25">
      <c r="A812" t="s">
        <v>876</v>
      </c>
    </row>
    <row r="813" spans="1:1" x14ac:dyDescent="0.25">
      <c r="A813" t="s">
        <v>877</v>
      </c>
    </row>
    <row r="814" spans="1:1" x14ac:dyDescent="0.25">
      <c r="A814" t="s">
        <v>878</v>
      </c>
    </row>
    <row r="815" spans="1:1" x14ac:dyDescent="0.25">
      <c r="A815" t="s">
        <v>879</v>
      </c>
    </row>
    <row r="816" spans="1:1" x14ac:dyDescent="0.25">
      <c r="A816" t="s">
        <v>880</v>
      </c>
    </row>
    <row r="817" spans="1:1" x14ac:dyDescent="0.25">
      <c r="A817" t="s">
        <v>881</v>
      </c>
    </row>
    <row r="818" spans="1:1" x14ac:dyDescent="0.25">
      <c r="A818" t="s">
        <v>882</v>
      </c>
    </row>
    <row r="819" spans="1:1" x14ac:dyDescent="0.25">
      <c r="A819" t="s">
        <v>883</v>
      </c>
    </row>
    <row r="820" spans="1:1" x14ac:dyDescent="0.25">
      <c r="A820" t="s">
        <v>884</v>
      </c>
    </row>
    <row r="821" spans="1:1" x14ac:dyDescent="0.25">
      <c r="A821" t="s">
        <v>885</v>
      </c>
    </row>
    <row r="822" spans="1:1" x14ac:dyDescent="0.25">
      <c r="A822" t="s">
        <v>886</v>
      </c>
    </row>
    <row r="823" spans="1:1" x14ac:dyDescent="0.25">
      <c r="A823" t="s">
        <v>887</v>
      </c>
    </row>
    <row r="824" spans="1:1" x14ac:dyDescent="0.25">
      <c r="A824" t="s">
        <v>888</v>
      </c>
    </row>
    <row r="825" spans="1:1" x14ac:dyDescent="0.25">
      <c r="A825" t="s">
        <v>889</v>
      </c>
    </row>
    <row r="826" spans="1:1" x14ac:dyDescent="0.25">
      <c r="A826" t="s">
        <v>890</v>
      </c>
    </row>
    <row r="827" spans="1:1" x14ac:dyDescent="0.25">
      <c r="A827" t="s">
        <v>891</v>
      </c>
    </row>
    <row r="828" spans="1:1" x14ac:dyDescent="0.25">
      <c r="A828" t="s">
        <v>892</v>
      </c>
    </row>
    <row r="829" spans="1:1" x14ac:dyDescent="0.25">
      <c r="A829" t="s">
        <v>893</v>
      </c>
    </row>
    <row r="830" spans="1:1" x14ac:dyDescent="0.25">
      <c r="A830" t="s">
        <v>894</v>
      </c>
    </row>
    <row r="831" spans="1:1" x14ac:dyDescent="0.25">
      <c r="A831" t="s">
        <v>895</v>
      </c>
    </row>
    <row r="832" spans="1:1" x14ac:dyDescent="0.25">
      <c r="A832" t="s">
        <v>896</v>
      </c>
    </row>
    <row r="833" spans="1:1" x14ac:dyDescent="0.25">
      <c r="A833" t="s">
        <v>897</v>
      </c>
    </row>
    <row r="834" spans="1:1" x14ac:dyDescent="0.25">
      <c r="A834" t="s">
        <v>898</v>
      </c>
    </row>
    <row r="835" spans="1:1" x14ac:dyDescent="0.25">
      <c r="A835" t="s">
        <v>899</v>
      </c>
    </row>
    <row r="836" spans="1:1" x14ac:dyDescent="0.25">
      <c r="A836" t="s">
        <v>900</v>
      </c>
    </row>
    <row r="837" spans="1:1" x14ac:dyDescent="0.25">
      <c r="A837" t="s">
        <v>901</v>
      </c>
    </row>
    <row r="838" spans="1:1" x14ac:dyDescent="0.25">
      <c r="A838" t="s">
        <v>902</v>
      </c>
    </row>
    <row r="839" spans="1:1" x14ac:dyDescent="0.25">
      <c r="A839" t="s">
        <v>903</v>
      </c>
    </row>
    <row r="840" spans="1:1" x14ac:dyDescent="0.25">
      <c r="A840" t="s">
        <v>904</v>
      </c>
    </row>
    <row r="841" spans="1:1" x14ac:dyDescent="0.25">
      <c r="A841" t="s">
        <v>905</v>
      </c>
    </row>
    <row r="842" spans="1:1" x14ac:dyDescent="0.25">
      <c r="A842" t="s">
        <v>906</v>
      </c>
    </row>
    <row r="843" spans="1:1" x14ac:dyDescent="0.25">
      <c r="A843" t="s">
        <v>907</v>
      </c>
    </row>
    <row r="844" spans="1:1" x14ac:dyDescent="0.25">
      <c r="A844" t="s">
        <v>908</v>
      </c>
    </row>
    <row r="845" spans="1:1" x14ac:dyDescent="0.25">
      <c r="A845" t="s">
        <v>909</v>
      </c>
    </row>
    <row r="846" spans="1:1" x14ac:dyDescent="0.25">
      <c r="A846" t="s">
        <v>910</v>
      </c>
    </row>
    <row r="847" spans="1:1" x14ac:dyDescent="0.25">
      <c r="A847" t="s">
        <v>911</v>
      </c>
    </row>
    <row r="848" spans="1:1" x14ac:dyDescent="0.25">
      <c r="A848" t="s">
        <v>912</v>
      </c>
    </row>
    <row r="849" spans="1:1" x14ac:dyDescent="0.25">
      <c r="A849" t="s">
        <v>913</v>
      </c>
    </row>
    <row r="850" spans="1:1" x14ac:dyDescent="0.25">
      <c r="A850" t="s">
        <v>914</v>
      </c>
    </row>
    <row r="851" spans="1:1" x14ac:dyDescent="0.25">
      <c r="A851" t="s">
        <v>915</v>
      </c>
    </row>
    <row r="852" spans="1:1" x14ac:dyDescent="0.25">
      <c r="A852" t="s">
        <v>916</v>
      </c>
    </row>
    <row r="853" spans="1:1" x14ac:dyDescent="0.25">
      <c r="A853" t="s">
        <v>917</v>
      </c>
    </row>
    <row r="854" spans="1:1" x14ac:dyDescent="0.25">
      <c r="A854" t="s">
        <v>918</v>
      </c>
    </row>
    <row r="855" spans="1:1" x14ac:dyDescent="0.25">
      <c r="A855" t="s">
        <v>919</v>
      </c>
    </row>
    <row r="856" spans="1:1" x14ac:dyDescent="0.25">
      <c r="A856" t="s">
        <v>920</v>
      </c>
    </row>
    <row r="857" spans="1:1" x14ac:dyDescent="0.25">
      <c r="A857" t="s">
        <v>921</v>
      </c>
    </row>
    <row r="858" spans="1:1" x14ac:dyDescent="0.25">
      <c r="A858" t="s">
        <v>922</v>
      </c>
    </row>
    <row r="859" spans="1:1" x14ac:dyDescent="0.25">
      <c r="A859" t="s">
        <v>923</v>
      </c>
    </row>
    <row r="860" spans="1:1" x14ac:dyDescent="0.25">
      <c r="A860" t="s">
        <v>924</v>
      </c>
    </row>
    <row r="861" spans="1:1" x14ac:dyDescent="0.25">
      <c r="A861" t="s">
        <v>925</v>
      </c>
    </row>
    <row r="862" spans="1:1" x14ac:dyDescent="0.25">
      <c r="A862" t="s">
        <v>926</v>
      </c>
    </row>
    <row r="863" spans="1:1" x14ac:dyDescent="0.25">
      <c r="A863" t="s">
        <v>927</v>
      </c>
    </row>
    <row r="864" spans="1:1" x14ac:dyDescent="0.25">
      <c r="A864" t="s">
        <v>928</v>
      </c>
    </row>
    <row r="865" spans="1:1" x14ac:dyDescent="0.25">
      <c r="A865" t="s">
        <v>929</v>
      </c>
    </row>
    <row r="866" spans="1:1" x14ac:dyDescent="0.25">
      <c r="A866" t="s">
        <v>930</v>
      </c>
    </row>
    <row r="867" spans="1:1" x14ac:dyDescent="0.25">
      <c r="A867" t="s">
        <v>931</v>
      </c>
    </row>
    <row r="868" spans="1:1" x14ac:dyDescent="0.25">
      <c r="A868" t="s">
        <v>932</v>
      </c>
    </row>
    <row r="869" spans="1:1" x14ac:dyDescent="0.25">
      <c r="A869" t="s">
        <v>933</v>
      </c>
    </row>
    <row r="870" spans="1:1" x14ac:dyDescent="0.25">
      <c r="A870" t="s">
        <v>934</v>
      </c>
    </row>
    <row r="871" spans="1:1" x14ac:dyDescent="0.25">
      <c r="A871" t="s">
        <v>935</v>
      </c>
    </row>
    <row r="872" spans="1:1" x14ac:dyDescent="0.25">
      <c r="A872" t="s">
        <v>936</v>
      </c>
    </row>
    <row r="873" spans="1:1" x14ac:dyDescent="0.25">
      <c r="A873" t="s">
        <v>937</v>
      </c>
    </row>
    <row r="874" spans="1:1" x14ac:dyDescent="0.25">
      <c r="A874" t="s">
        <v>938</v>
      </c>
    </row>
    <row r="875" spans="1:1" x14ac:dyDescent="0.25">
      <c r="A875" t="s">
        <v>939</v>
      </c>
    </row>
    <row r="876" spans="1:1" x14ac:dyDescent="0.25">
      <c r="A876" t="s">
        <v>940</v>
      </c>
    </row>
    <row r="877" spans="1:1" x14ac:dyDescent="0.25">
      <c r="A877" t="s">
        <v>941</v>
      </c>
    </row>
    <row r="878" spans="1:1" x14ac:dyDescent="0.25">
      <c r="A878" t="s">
        <v>942</v>
      </c>
    </row>
    <row r="879" spans="1:1" x14ac:dyDescent="0.25">
      <c r="A879" t="s">
        <v>943</v>
      </c>
    </row>
    <row r="880" spans="1:1" x14ac:dyDescent="0.25">
      <c r="A880" t="s">
        <v>944</v>
      </c>
    </row>
    <row r="881" spans="1:1" x14ac:dyDescent="0.25">
      <c r="A881" t="s">
        <v>945</v>
      </c>
    </row>
    <row r="882" spans="1:1" x14ac:dyDescent="0.25">
      <c r="A882" t="s">
        <v>946</v>
      </c>
    </row>
    <row r="883" spans="1:1" x14ac:dyDescent="0.25">
      <c r="A883" t="s">
        <v>947</v>
      </c>
    </row>
    <row r="884" spans="1:1" x14ac:dyDescent="0.25">
      <c r="A884" t="s">
        <v>948</v>
      </c>
    </row>
    <row r="885" spans="1:1" x14ac:dyDescent="0.25">
      <c r="A885" t="s">
        <v>949</v>
      </c>
    </row>
    <row r="886" spans="1:1" x14ac:dyDescent="0.25">
      <c r="A886" t="s">
        <v>950</v>
      </c>
    </row>
    <row r="887" spans="1:1" x14ac:dyDescent="0.25">
      <c r="A887" t="s">
        <v>951</v>
      </c>
    </row>
    <row r="888" spans="1:1" x14ac:dyDescent="0.25">
      <c r="A888" t="s">
        <v>952</v>
      </c>
    </row>
    <row r="889" spans="1:1" x14ac:dyDescent="0.25">
      <c r="A889" t="s">
        <v>953</v>
      </c>
    </row>
    <row r="890" spans="1:1" x14ac:dyDescent="0.25">
      <c r="A890" t="s">
        <v>954</v>
      </c>
    </row>
    <row r="891" spans="1:1" x14ac:dyDescent="0.25">
      <c r="A891" t="s">
        <v>955</v>
      </c>
    </row>
    <row r="892" spans="1:1" x14ac:dyDescent="0.25">
      <c r="A892" t="s">
        <v>956</v>
      </c>
    </row>
    <row r="893" spans="1:1" x14ac:dyDescent="0.25">
      <c r="A893" t="s">
        <v>957</v>
      </c>
    </row>
    <row r="894" spans="1:1" x14ac:dyDescent="0.25">
      <c r="A894" t="s">
        <v>958</v>
      </c>
    </row>
    <row r="895" spans="1:1" x14ac:dyDescent="0.25">
      <c r="A895" t="s">
        <v>959</v>
      </c>
    </row>
    <row r="896" spans="1:1" x14ac:dyDescent="0.25">
      <c r="A896" t="s">
        <v>960</v>
      </c>
    </row>
    <row r="897" spans="1:1" x14ac:dyDescent="0.25">
      <c r="A897" t="s">
        <v>961</v>
      </c>
    </row>
    <row r="898" spans="1:1" x14ac:dyDescent="0.25">
      <c r="A898" t="s">
        <v>962</v>
      </c>
    </row>
    <row r="899" spans="1:1" x14ac:dyDescent="0.25">
      <c r="A899" t="s">
        <v>963</v>
      </c>
    </row>
    <row r="900" spans="1:1" x14ac:dyDescent="0.25">
      <c r="A900" t="s">
        <v>964</v>
      </c>
    </row>
    <row r="901" spans="1:1" x14ac:dyDescent="0.25">
      <c r="A901" t="s">
        <v>965</v>
      </c>
    </row>
    <row r="902" spans="1:1" x14ac:dyDescent="0.25">
      <c r="A902" t="s">
        <v>966</v>
      </c>
    </row>
    <row r="903" spans="1:1" x14ac:dyDescent="0.25">
      <c r="A903" t="s">
        <v>967</v>
      </c>
    </row>
    <row r="904" spans="1:1" x14ac:dyDescent="0.25">
      <c r="A904" t="s">
        <v>968</v>
      </c>
    </row>
    <row r="905" spans="1:1" x14ac:dyDescent="0.25">
      <c r="A905" t="s">
        <v>969</v>
      </c>
    </row>
    <row r="906" spans="1:1" x14ac:dyDescent="0.25">
      <c r="A906" t="s">
        <v>970</v>
      </c>
    </row>
    <row r="907" spans="1:1" x14ac:dyDescent="0.25">
      <c r="A907" t="s">
        <v>971</v>
      </c>
    </row>
    <row r="908" spans="1:1" x14ac:dyDescent="0.25">
      <c r="A908" t="s">
        <v>972</v>
      </c>
    </row>
    <row r="909" spans="1:1" x14ac:dyDescent="0.25">
      <c r="A909" t="s">
        <v>973</v>
      </c>
    </row>
    <row r="910" spans="1:1" x14ac:dyDescent="0.25">
      <c r="A910" t="s">
        <v>974</v>
      </c>
    </row>
    <row r="911" spans="1:1" x14ac:dyDescent="0.25">
      <c r="A911" t="s">
        <v>975</v>
      </c>
    </row>
    <row r="912" spans="1:1" x14ac:dyDescent="0.25">
      <c r="A912" t="s">
        <v>976</v>
      </c>
    </row>
    <row r="913" spans="1:1" x14ac:dyDescent="0.25">
      <c r="A913" t="s">
        <v>977</v>
      </c>
    </row>
    <row r="914" spans="1:1" x14ac:dyDescent="0.25">
      <c r="A914" t="s">
        <v>978</v>
      </c>
    </row>
    <row r="915" spans="1:1" x14ac:dyDescent="0.25">
      <c r="A915" t="s">
        <v>979</v>
      </c>
    </row>
    <row r="916" spans="1:1" x14ac:dyDescent="0.25">
      <c r="A916" t="s">
        <v>980</v>
      </c>
    </row>
    <row r="917" spans="1:1" x14ac:dyDescent="0.25">
      <c r="A917" t="s">
        <v>981</v>
      </c>
    </row>
    <row r="918" spans="1:1" x14ac:dyDescent="0.25">
      <c r="A918" t="s">
        <v>982</v>
      </c>
    </row>
    <row r="919" spans="1:1" x14ac:dyDescent="0.25">
      <c r="A919" t="s">
        <v>983</v>
      </c>
    </row>
    <row r="920" spans="1:1" x14ac:dyDescent="0.25">
      <c r="A920" t="s">
        <v>984</v>
      </c>
    </row>
    <row r="921" spans="1:1" x14ac:dyDescent="0.25">
      <c r="A921" t="s">
        <v>985</v>
      </c>
    </row>
    <row r="922" spans="1:1" x14ac:dyDescent="0.25">
      <c r="A922" t="s">
        <v>986</v>
      </c>
    </row>
    <row r="923" spans="1:1" x14ac:dyDescent="0.25">
      <c r="A923" t="s">
        <v>987</v>
      </c>
    </row>
    <row r="924" spans="1:1" x14ac:dyDescent="0.25">
      <c r="A924" t="s">
        <v>988</v>
      </c>
    </row>
    <row r="925" spans="1:1" x14ac:dyDescent="0.25">
      <c r="A925" t="s">
        <v>989</v>
      </c>
    </row>
    <row r="926" spans="1:1" x14ac:dyDescent="0.25">
      <c r="A926" t="s">
        <v>990</v>
      </c>
    </row>
    <row r="927" spans="1:1" x14ac:dyDescent="0.25">
      <c r="A927" t="s">
        <v>991</v>
      </c>
    </row>
    <row r="928" spans="1:1" x14ac:dyDescent="0.25">
      <c r="A928" t="s">
        <v>992</v>
      </c>
    </row>
    <row r="929" spans="1:1" x14ac:dyDescent="0.25">
      <c r="A929" t="s">
        <v>993</v>
      </c>
    </row>
    <row r="930" spans="1:1" x14ac:dyDescent="0.25">
      <c r="A930" t="s">
        <v>994</v>
      </c>
    </row>
    <row r="931" spans="1:1" x14ac:dyDescent="0.25">
      <c r="A931" t="s">
        <v>995</v>
      </c>
    </row>
    <row r="932" spans="1:1" x14ac:dyDescent="0.25">
      <c r="A932" t="s">
        <v>996</v>
      </c>
    </row>
    <row r="933" spans="1:1" x14ac:dyDescent="0.25">
      <c r="A933" t="s">
        <v>997</v>
      </c>
    </row>
    <row r="934" spans="1:1" x14ac:dyDescent="0.25">
      <c r="A934" t="s">
        <v>998</v>
      </c>
    </row>
    <row r="935" spans="1:1" x14ac:dyDescent="0.25">
      <c r="A935" t="s">
        <v>999</v>
      </c>
    </row>
    <row r="936" spans="1:1" x14ac:dyDescent="0.25">
      <c r="A936" t="s">
        <v>1000</v>
      </c>
    </row>
    <row r="937" spans="1:1" x14ac:dyDescent="0.25">
      <c r="A937" t="s">
        <v>1001</v>
      </c>
    </row>
    <row r="938" spans="1:1" x14ac:dyDescent="0.25">
      <c r="A938" t="s">
        <v>1002</v>
      </c>
    </row>
    <row r="939" spans="1:1" x14ac:dyDescent="0.25">
      <c r="A939" t="s">
        <v>1003</v>
      </c>
    </row>
    <row r="940" spans="1:1" x14ac:dyDescent="0.25">
      <c r="A940" t="s">
        <v>1004</v>
      </c>
    </row>
    <row r="941" spans="1:1" x14ac:dyDescent="0.25">
      <c r="A941" t="s">
        <v>1005</v>
      </c>
    </row>
    <row r="942" spans="1:1" x14ac:dyDescent="0.25">
      <c r="A942" t="s">
        <v>1006</v>
      </c>
    </row>
    <row r="943" spans="1:1" x14ac:dyDescent="0.25">
      <c r="A943" t="s">
        <v>1007</v>
      </c>
    </row>
    <row r="944" spans="1:1" x14ac:dyDescent="0.25">
      <c r="A944" t="s">
        <v>1008</v>
      </c>
    </row>
    <row r="945" spans="1:1" x14ac:dyDescent="0.25">
      <c r="A945" t="s">
        <v>1009</v>
      </c>
    </row>
    <row r="946" spans="1:1" x14ac:dyDescent="0.25">
      <c r="A946" t="s">
        <v>1010</v>
      </c>
    </row>
    <row r="947" spans="1:1" x14ac:dyDescent="0.25">
      <c r="A947" t="s">
        <v>1011</v>
      </c>
    </row>
    <row r="948" spans="1:1" x14ac:dyDescent="0.25">
      <c r="A948" t="s">
        <v>1012</v>
      </c>
    </row>
    <row r="949" spans="1:1" x14ac:dyDescent="0.25">
      <c r="A949" t="s">
        <v>1013</v>
      </c>
    </row>
    <row r="950" spans="1:1" x14ac:dyDescent="0.25">
      <c r="A950" t="s">
        <v>1014</v>
      </c>
    </row>
    <row r="951" spans="1:1" x14ac:dyDescent="0.25">
      <c r="A951" t="s">
        <v>1015</v>
      </c>
    </row>
    <row r="952" spans="1:1" x14ac:dyDescent="0.25">
      <c r="A952" t="s">
        <v>1016</v>
      </c>
    </row>
    <row r="953" spans="1:1" x14ac:dyDescent="0.25">
      <c r="A953" t="s">
        <v>1017</v>
      </c>
    </row>
    <row r="954" spans="1:1" x14ac:dyDescent="0.25">
      <c r="A954" t="s">
        <v>1018</v>
      </c>
    </row>
    <row r="955" spans="1:1" x14ac:dyDescent="0.25">
      <c r="A955" t="s">
        <v>1019</v>
      </c>
    </row>
    <row r="956" spans="1:1" x14ac:dyDescent="0.25">
      <c r="A956" t="s">
        <v>1020</v>
      </c>
    </row>
    <row r="957" spans="1:1" x14ac:dyDescent="0.25">
      <c r="A957" t="s">
        <v>1021</v>
      </c>
    </row>
    <row r="958" spans="1:1" x14ac:dyDescent="0.25">
      <c r="A958" t="s">
        <v>1022</v>
      </c>
    </row>
    <row r="959" spans="1:1" x14ac:dyDescent="0.25">
      <c r="A959" t="s">
        <v>1023</v>
      </c>
    </row>
    <row r="960" spans="1:1" x14ac:dyDescent="0.25">
      <c r="A960" t="s">
        <v>1024</v>
      </c>
    </row>
    <row r="961" spans="1:1" x14ac:dyDescent="0.25">
      <c r="A961" t="s">
        <v>1025</v>
      </c>
    </row>
    <row r="962" spans="1:1" x14ac:dyDescent="0.25">
      <c r="A962" t="s">
        <v>1026</v>
      </c>
    </row>
    <row r="963" spans="1:1" x14ac:dyDescent="0.25">
      <c r="A963" t="s">
        <v>1027</v>
      </c>
    </row>
    <row r="964" spans="1:1" x14ac:dyDescent="0.25">
      <c r="A964" t="s">
        <v>1028</v>
      </c>
    </row>
    <row r="965" spans="1:1" x14ac:dyDescent="0.25">
      <c r="A965" t="s">
        <v>1029</v>
      </c>
    </row>
    <row r="966" spans="1:1" x14ac:dyDescent="0.25">
      <c r="A966" t="s">
        <v>1030</v>
      </c>
    </row>
    <row r="967" spans="1:1" x14ac:dyDescent="0.25">
      <c r="A967" t="s">
        <v>1031</v>
      </c>
    </row>
    <row r="968" spans="1:1" x14ac:dyDescent="0.25">
      <c r="A968" t="s">
        <v>1032</v>
      </c>
    </row>
    <row r="969" spans="1:1" x14ac:dyDescent="0.25">
      <c r="A969" t="s">
        <v>1033</v>
      </c>
    </row>
    <row r="970" spans="1:1" x14ac:dyDescent="0.25">
      <c r="A970" t="s">
        <v>1034</v>
      </c>
    </row>
    <row r="971" spans="1:1" x14ac:dyDescent="0.25">
      <c r="A971" t="s">
        <v>1035</v>
      </c>
    </row>
    <row r="972" spans="1:1" x14ac:dyDescent="0.25">
      <c r="A972" t="s">
        <v>1036</v>
      </c>
    </row>
    <row r="973" spans="1:1" x14ac:dyDescent="0.25">
      <c r="A973" t="s">
        <v>1037</v>
      </c>
    </row>
    <row r="974" spans="1:1" x14ac:dyDescent="0.25">
      <c r="A974" t="s">
        <v>1038</v>
      </c>
    </row>
    <row r="975" spans="1:1" x14ac:dyDescent="0.25">
      <c r="A975" t="s">
        <v>1039</v>
      </c>
    </row>
    <row r="976" spans="1:1" x14ac:dyDescent="0.25">
      <c r="A976" t="s">
        <v>1040</v>
      </c>
    </row>
    <row r="977" spans="1:1" x14ac:dyDescent="0.25">
      <c r="A977" t="s">
        <v>1041</v>
      </c>
    </row>
    <row r="978" spans="1:1" x14ac:dyDescent="0.25">
      <c r="A978" t="s">
        <v>1042</v>
      </c>
    </row>
    <row r="979" spans="1:1" x14ac:dyDescent="0.25">
      <c r="A979" t="s">
        <v>1043</v>
      </c>
    </row>
    <row r="980" spans="1:1" x14ac:dyDescent="0.25">
      <c r="A980" t="s">
        <v>1044</v>
      </c>
    </row>
    <row r="981" spans="1:1" x14ac:dyDescent="0.25">
      <c r="A981" t="s">
        <v>1045</v>
      </c>
    </row>
    <row r="982" spans="1:1" x14ac:dyDescent="0.25">
      <c r="A982" t="s">
        <v>1046</v>
      </c>
    </row>
    <row r="983" spans="1:1" x14ac:dyDescent="0.25">
      <c r="A983" t="s">
        <v>1047</v>
      </c>
    </row>
    <row r="984" spans="1:1" x14ac:dyDescent="0.25">
      <c r="A984" t="s">
        <v>1048</v>
      </c>
    </row>
    <row r="985" spans="1:1" x14ac:dyDescent="0.25">
      <c r="A985" t="s">
        <v>1049</v>
      </c>
    </row>
    <row r="986" spans="1:1" x14ac:dyDescent="0.25">
      <c r="A986" t="s">
        <v>1050</v>
      </c>
    </row>
    <row r="987" spans="1:1" x14ac:dyDescent="0.25">
      <c r="A987" t="s">
        <v>1051</v>
      </c>
    </row>
    <row r="988" spans="1:1" x14ac:dyDescent="0.25">
      <c r="A988" t="s">
        <v>1052</v>
      </c>
    </row>
    <row r="989" spans="1:1" x14ac:dyDescent="0.25">
      <c r="A989" t="s">
        <v>1053</v>
      </c>
    </row>
    <row r="990" spans="1:1" x14ac:dyDescent="0.25">
      <c r="A990" t="s">
        <v>1054</v>
      </c>
    </row>
    <row r="991" spans="1:1" x14ac:dyDescent="0.25">
      <c r="A991" t="s">
        <v>1055</v>
      </c>
    </row>
    <row r="992" spans="1:1" x14ac:dyDescent="0.25">
      <c r="A992" t="s">
        <v>1056</v>
      </c>
    </row>
    <row r="993" spans="1:1" x14ac:dyDescent="0.25">
      <c r="A993" t="s">
        <v>1057</v>
      </c>
    </row>
    <row r="994" spans="1:1" x14ac:dyDescent="0.25">
      <c r="A994" t="s">
        <v>1058</v>
      </c>
    </row>
    <row r="995" spans="1:1" x14ac:dyDescent="0.25">
      <c r="A995" t="s">
        <v>1059</v>
      </c>
    </row>
    <row r="996" spans="1:1" x14ac:dyDescent="0.25">
      <c r="A996" t="s">
        <v>1060</v>
      </c>
    </row>
    <row r="997" spans="1:1" x14ac:dyDescent="0.25">
      <c r="A997" t="s">
        <v>1061</v>
      </c>
    </row>
    <row r="998" spans="1:1" x14ac:dyDescent="0.25">
      <c r="A998" t="s">
        <v>1062</v>
      </c>
    </row>
    <row r="999" spans="1:1" x14ac:dyDescent="0.25">
      <c r="A999" t="s">
        <v>1063</v>
      </c>
    </row>
    <row r="1000" spans="1:1" x14ac:dyDescent="0.25">
      <c r="A1000" t="s">
        <v>1064</v>
      </c>
    </row>
    <row r="1001" spans="1:1" x14ac:dyDescent="0.25">
      <c r="A1001" t="s">
        <v>1065</v>
      </c>
    </row>
    <row r="1002" spans="1:1" x14ac:dyDescent="0.25">
      <c r="A1002" t="s">
        <v>1066</v>
      </c>
    </row>
    <row r="1003" spans="1:1" x14ac:dyDescent="0.25">
      <c r="A1003" t="s">
        <v>1067</v>
      </c>
    </row>
    <row r="1004" spans="1:1" x14ac:dyDescent="0.25">
      <c r="A1004" t="s">
        <v>1068</v>
      </c>
    </row>
    <row r="1005" spans="1:1" x14ac:dyDescent="0.25">
      <c r="A1005" t="s">
        <v>1069</v>
      </c>
    </row>
    <row r="1006" spans="1:1" x14ac:dyDescent="0.25">
      <c r="A1006" t="s">
        <v>1070</v>
      </c>
    </row>
    <row r="1007" spans="1:1" x14ac:dyDescent="0.25">
      <c r="A1007" t="s">
        <v>1071</v>
      </c>
    </row>
    <row r="1008" spans="1:1" x14ac:dyDescent="0.25">
      <c r="A1008" t="s">
        <v>1072</v>
      </c>
    </row>
    <row r="1009" spans="1:1" x14ac:dyDescent="0.25">
      <c r="A1009" t="s">
        <v>1073</v>
      </c>
    </row>
    <row r="1010" spans="1:1" x14ac:dyDescent="0.25">
      <c r="A1010" t="s">
        <v>1074</v>
      </c>
    </row>
    <row r="1011" spans="1:1" x14ac:dyDescent="0.25">
      <c r="A1011" t="s">
        <v>1075</v>
      </c>
    </row>
    <row r="1012" spans="1:1" x14ac:dyDescent="0.25">
      <c r="A1012" t="s">
        <v>1076</v>
      </c>
    </row>
    <row r="1013" spans="1:1" x14ac:dyDescent="0.25">
      <c r="A1013" t="s">
        <v>1077</v>
      </c>
    </row>
    <row r="1014" spans="1:1" x14ac:dyDescent="0.25">
      <c r="A1014" t="s">
        <v>1078</v>
      </c>
    </row>
    <row r="1015" spans="1:1" x14ac:dyDescent="0.25">
      <c r="A1015" t="s">
        <v>1079</v>
      </c>
    </row>
    <row r="1016" spans="1:1" x14ac:dyDescent="0.25">
      <c r="A1016" t="s">
        <v>1080</v>
      </c>
    </row>
    <row r="1017" spans="1:1" x14ac:dyDescent="0.25">
      <c r="A1017" t="s">
        <v>1081</v>
      </c>
    </row>
    <row r="1018" spans="1:1" x14ac:dyDescent="0.25">
      <c r="A1018" t="s">
        <v>1082</v>
      </c>
    </row>
    <row r="1019" spans="1:1" x14ac:dyDescent="0.25">
      <c r="A1019" t="s">
        <v>1083</v>
      </c>
    </row>
    <row r="1020" spans="1:1" x14ac:dyDescent="0.25">
      <c r="A1020" t="s">
        <v>1084</v>
      </c>
    </row>
    <row r="1021" spans="1:1" x14ac:dyDescent="0.25">
      <c r="A1021" t="s">
        <v>1085</v>
      </c>
    </row>
    <row r="1022" spans="1:1" x14ac:dyDescent="0.25">
      <c r="A1022" t="s">
        <v>1086</v>
      </c>
    </row>
    <row r="1023" spans="1:1" x14ac:dyDescent="0.25">
      <c r="A1023" t="s">
        <v>1087</v>
      </c>
    </row>
    <row r="1024" spans="1:1" x14ac:dyDescent="0.25">
      <c r="A1024" t="s">
        <v>1088</v>
      </c>
    </row>
    <row r="1025" spans="1:1" x14ac:dyDescent="0.25">
      <c r="A1025" t="s">
        <v>1089</v>
      </c>
    </row>
    <row r="1026" spans="1:1" x14ac:dyDescent="0.25">
      <c r="A1026" t="s">
        <v>1090</v>
      </c>
    </row>
    <row r="1027" spans="1:1" x14ac:dyDescent="0.25">
      <c r="A1027" t="s">
        <v>1091</v>
      </c>
    </row>
    <row r="1028" spans="1:1" x14ac:dyDescent="0.25">
      <c r="A1028" t="s">
        <v>1092</v>
      </c>
    </row>
    <row r="1029" spans="1:1" x14ac:dyDescent="0.25">
      <c r="A1029" t="s">
        <v>1093</v>
      </c>
    </row>
    <row r="1030" spans="1:1" x14ac:dyDescent="0.25">
      <c r="A1030" t="s">
        <v>1094</v>
      </c>
    </row>
    <row r="1031" spans="1:1" x14ac:dyDescent="0.25">
      <c r="A1031" t="s">
        <v>1095</v>
      </c>
    </row>
    <row r="1032" spans="1:1" x14ac:dyDescent="0.25">
      <c r="A1032" t="s">
        <v>1096</v>
      </c>
    </row>
    <row r="1033" spans="1:1" x14ac:dyDescent="0.25">
      <c r="A1033" t="s">
        <v>1097</v>
      </c>
    </row>
    <row r="1034" spans="1:1" x14ac:dyDescent="0.25">
      <c r="A1034" t="s">
        <v>1098</v>
      </c>
    </row>
    <row r="1035" spans="1:1" x14ac:dyDescent="0.25">
      <c r="A1035" t="s">
        <v>1099</v>
      </c>
    </row>
    <row r="1036" spans="1:1" x14ac:dyDescent="0.25">
      <c r="A1036" t="s">
        <v>1100</v>
      </c>
    </row>
    <row r="1037" spans="1:1" x14ac:dyDescent="0.25">
      <c r="A1037" t="s">
        <v>1101</v>
      </c>
    </row>
    <row r="1038" spans="1:1" x14ac:dyDescent="0.25">
      <c r="A1038" t="s">
        <v>1102</v>
      </c>
    </row>
    <row r="1039" spans="1:1" x14ac:dyDescent="0.25">
      <c r="A1039" t="s">
        <v>1103</v>
      </c>
    </row>
    <row r="1040" spans="1:1" x14ac:dyDescent="0.25">
      <c r="A1040" t="s">
        <v>1104</v>
      </c>
    </row>
    <row r="1041" spans="1:1" x14ac:dyDescent="0.25">
      <c r="A1041" t="s">
        <v>1105</v>
      </c>
    </row>
    <row r="1042" spans="1:1" x14ac:dyDescent="0.25">
      <c r="A1042" t="s">
        <v>1106</v>
      </c>
    </row>
    <row r="1043" spans="1:1" x14ac:dyDescent="0.25">
      <c r="A1043" t="s">
        <v>1107</v>
      </c>
    </row>
    <row r="1044" spans="1:1" x14ac:dyDescent="0.25">
      <c r="A1044" t="s">
        <v>1108</v>
      </c>
    </row>
    <row r="1045" spans="1:1" x14ac:dyDescent="0.25">
      <c r="A1045" t="s">
        <v>1109</v>
      </c>
    </row>
    <row r="1046" spans="1:1" x14ac:dyDescent="0.25">
      <c r="A1046" t="s">
        <v>1110</v>
      </c>
    </row>
    <row r="1047" spans="1:1" x14ac:dyDescent="0.25">
      <c r="A1047" t="s">
        <v>1111</v>
      </c>
    </row>
    <row r="1048" spans="1:1" x14ac:dyDescent="0.25">
      <c r="A1048" t="s">
        <v>1112</v>
      </c>
    </row>
    <row r="1049" spans="1:1" x14ac:dyDescent="0.25">
      <c r="A1049" t="s">
        <v>1113</v>
      </c>
    </row>
    <row r="1050" spans="1:1" x14ac:dyDescent="0.25">
      <c r="A1050" t="s">
        <v>1114</v>
      </c>
    </row>
    <row r="1051" spans="1:1" x14ac:dyDescent="0.25">
      <c r="A1051" t="s">
        <v>1115</v>
      </c>
    </row>
    <row r="1052" spans="1:1" x14ac:dyDescent="0.25">
      <c r="A1052" t="s">
        <v>1116</v>
      </c>
    </row>
    <row r="1053" spans="1:1" x14ac:dyDescent="0.25">
      <c r="A1053" t="s">
        <v>1117</v>
      </c>
    </row>
    <row r="1054" spans="1:1" x14ac:dyDescent="0.25">
      <c r="A1054" t="s">
        <v>1118</v>
      </c>
    </row>
    <row r="1055" spans="1:1" x14ac:dyDescent="0.25">
      <c r="A1055" t="s">
        <v>1119</v>
      </c>
    </row>
    <row r="1056" spans="1:1" x14ac:dyDescent="0.25">
      <c r="A1056" t="s">
        <v>1120</v>
      </c>
    </row>
    <row r="1057" spans="1:1" x14ac:dyDescent="0.25">
      <c r="A1057" t="s">
        <v>1121</v>
      </c>
    </row>
    <row r="1058" spans="1:1" x14ac:dyDescent="0.25">
      <c r="A1058" t="s">
        <v>1122</v>
      </c>
    </row>
    <row r="1059" spans="1:1" x14ac:dyDescent="0.25">
      <c r="A1059" t="s">
        <v>1123</v>
      </c>
    </row>
    <row r="1060" spans="1:1" x14ac:dyDescent="0.25">
      <c r="A1060" t="s">
        <v>1124</v>
      </c>
    </row>
    <row r="1061" spans="1:1" x14ac:dyDescent="0.25">
      <c r="A1061" t="s">
        <v>1125</v>
      </c>
    </row>
    <row r="1062" spans="1:1" x14ac:dyDescent="0.25">
      <c r="A1062" t="s">
        <v>1126</v>
      </c>
    </row>
    <row r="1063" spans="1:1" x14ac:dyDescent="0.25">
      <c r="A1063" t="s">
        <v>1127</v>
      </c>
    </row>
    <row r="1064" spans="1:1" x14ac:dyDescent="0.25">
      <c r="A1064" t="s">
        <v>1128</v>
      </c>
    </row>
    <row r="1065" spans="1:1" x14ac:dyDescent="0.25">
      <c r="A1065" t="s">
        <v>1129</v>
      </c>
    </row>
    <row r="1066" spans="1:1" x14ac:dyDescent="0.25">
      <c r="A1066" t="s">
        <v>1130</v>
      </c>
    </row>
    <row r="1067" spans="1:1" x14ac:dyDescent="0.25">
      <c r="A1067" t="s">
        <v>1131</v>
      </c>
    </row>
    <row r="1068" spans="1:1" x14ac:dyDescent="0.25">
      <c r="A1068" t="s">
        <v>1132</v>
      </c>
    </row>
    <row r="1069" spans="1:1" x14ac:dyDescent="0.25">
      <c r="A1069" t="s">
        <v>1133</v>
      </c>
    </row>
    <row r="1070" spans="1:1" x14ac:dyDescent="0.25">
      <c r="A1070" t="s">
        <v>1134</v>
      </c>
    </row>
    <row r="1071" spans="1:1" x14ac:dyDescent="0.25">
      <c r="A1071" t="s">
        <v>1135</v>
      </c>
    </row>
    <row r="1072" spans="1:1" x14ac:dyDescent="0.25">
      <c r="A1072" t="s">
        <v>1136</v>
      </c>
    </row>
    <row r="1073" spans="1:1" x14ac:dyDescent="0.25">
      <c r="A1073" t="s">
        <v>1137</v>
      </c>
    </row>
    <row r="1074" spans="1:1" x14ac:dyDescent="0.25">
      <c r="A1074" t="s">
        <v>1138</v>
      </c>
    </row>
    <row r="1075" spans="1:1" x14ac:dyDescent="0.25">
      <c r="A1075" t="s">
        <v>1139</v>
      </c>
    </row>
    <row r="1076" spans="1:1" x14ac:dyDescent="0.25">
      <c r="A1076" t="s">
        <v>1140</v>
      </c>
    </row>
    <row r="1077" spans="1:1" x14ac:dyDescent="0.25">
      <c r="A1077" t="s">
        <v>1141</v>
      </c>
    </row>
    <row r="1078" spans="1:1" x14ac:dyDescent="0.25">
      <c r="A1078" t="s">
        <v>1142</v>
      </c>
    </row>
    <row r="1079" spans="1:1" x14ac:dyDescent="0.25">
      <c r="A1079" t="s">
        <v>1143</v>
      </c>
    </row>
    <row r="1080" spans="1:1" x14ac:dyDescent="0.25">
      <c r="A1080" t="s">
        <v>1144</v>
      </c>
    </row>
    <row r="1081" spans="1:1" x14ac:dyDescent="0.25">
      <c r="A1081" t="s">
        <v>1145</v>
      </c>
    </row>
    <row r="1082" spans="1:1" x14ac:dyDescent="0.25">
      <c r="A1082" t="s">
        <v>1146</v>
      </c>
    </row>
    <row r="1083" spans="1:1" x14ac:dyDescent="0.25">
      <c r="A1083" t="s">
        <v>1147</v>
      </c>
    </row>
    <row r="1084" spans="1:1" x14ac:dyDescent="0.25">
      <c r="A1084" t="s">
        <v>1148</v>
      </c>
    </row>
    <row r="1085" spans="1:1" x14ac:dyDescent="0.25">
      <c r="A1085" t="s">
        <v>1149</v>
      </c>
    </row>
    <row r="1086" spans="1:1" x14ac:dyDescent="0.25">
      <c r="A1086" t="s">
        <v>1150</v>
      </c>
    </row>
    <row r="1087" spans="1:1" x14ac:dyDescent="0.25">
      <c r="A1087" t="s">
        <v>1151</v>
      </c>
    </row>
    <row r="1088" spans="1:1" x14ac:dyDescent="0.25">
      <c r="A1088" t="s">
        <v>1152</v>
      </c>
    </row>
    <row r="1089" spans="1:1" x14ac:dyDescent="0.25">
      <c r="A1089" t="s">
        <v>1153</v>
      </c>
    </row>
    <row r="1090" spans="1:1" x14ac:dyDescent="0.25">
      <c r="A1090" t="s">
        <v>1154</v>
      </c>
    </row>
    <row r="1091" spans="1:1" x14ac:dyDescent="0.25">
      <c r="A1091" t="s">
        <v>1155</v>
      </c>
    </row>
    <row r="1092" spans="1:1" x14ac:dyDescent="0.25">
      <c r="A1092" t="s">
        <v>1156</v>
      </c>
    </row>
    <row r="1093" spans="1:1" x14ac:dyDescent="0.25">
      <c r="A1093" t="s">
        <v>1157</v>
      </c>
    </row>
    <row r="1094" spans="1:1" x14ac:dyDescent="0.25">
      <c r="A1094" t="s">
        <v>1158</v>
      </c>
    </row>
    <row r="1095" spans="1:1" x14ac:dyDescent="0.25">
      <c r="A1095" t="s">
        <v>1159</v>
      </c>
    </row>
    <row r="1096" spans="1:1" x14ac:dyDescent="0.25">
      <c r="A1096" t="s">
        <v>1160</v>
      </c>
    </row>
    <row r="1097" spans="1:1" x14ac:dyDescent="0.25">
      <c r="A1097" t="s">
        <v>1161</v>
      </c>
    </row>
    <row r="1098" spans="1:1" x14ac:dyDescent="0.25">
      <c r="A1098" t="s">
        <v>1162</v>
      </c>
    </row>
    <row r="1099" spans="1:1" x14ac:dyDescent="0.25">
      <c r="A1099" t="s">
        <v>1163</v>
      </c>
    </row>
    <row r="1100" spans="1:1" x14ac:dyDescent="0.25">
      <c r="A1100" t="s">
        <v>1164</v>
      </c>
    </row>
    <row r="1101" spans="1:1" x14ac:dyDescent="0.25">
      <c r="A1101" t="s">
        <v>1165</v>
      </c>
    </row>
    <row r="1102" spans="1:1" x14ac:dyDescent="0.25">
      <c r="A1102" t="s">
        <v>1166</v>
      </c>
    </row>
    <row r="1103" spans="1:1" x14ac:dyDescent="0.25">
      <c r="A1103" t="s">
        <v>1167</v>
      </c>
    </row>
    <row r="1104" spans="1:1" x14ac:dyDescent="0.25">
      <c r="A1104" t="s">
        <v>1168</v>
      </c>
    </row>
    <row r="1105" spans="1:1" x14ac:dyDescent="0.25">
      <c r="A1105" t="s">
        <v>1169</v>
      </c>
    </row>
    <row r="1106" spans="1:1" x14ac:dyDescent="0.25">
      <c r="A1106" t="s">
        <v>1170</v>
      </c>
    </row>
    <row r="1107" spans="1:1" x14ac:dyDescent="0.25">
      <c r="A1107" t="s">
        <v>1171</v>
      </c>
    </row>
    <row r="1108" spans="1:1" x14ac:dyDescent="0.25">
      <c r="A1108" t="s">
        <v>1172</v>
      </c>
    </row>
    <row r="1109" spans="1:1" x14ac:dyDescent="0.25">
      <c r="A1109" t="s">
        <v>1173</v>
      </c>
    </row>
    <row r="1110" spans="1:1" x14ac:dyDescent="0.25">
      <c r="A1110" t="s">
        <v>1174</v>
      </c>
    </row>
    <row r="1111" spans="1:1" x14ac:dyDescent="0.25">
      <c r="A1111" t="s">
        <v>1175</v>
      </c>
    </row>
    <row r="1112" spans="1:1" x14ac:dyDescent="0.25">
      <c r="A1112" t="s">
        <v>1176</v>
      </c>
    </row>
    <row r="1113" spans="1:1" x14ac:dyDescent="0.25">
      <c r="A1113" t="s">
        <v>1177</v>
      </c>
    </row>
    <row r="1114" spans="1:1" x14ac:dyDescent="0.25">
      <c r="A1114" t="s">
        <v>1178</v>
      </c>
    </row>
    <row r="1115" spans="1:1" x14ac:dyDescent="0.25">
      <c r="A1115" t="s">
        <v>1179</v>
      </c>
    </row>
    <row r="1116" spans="1:1" x14ac:dyDescent="0.25">
      <c r="A1116" t="s">
        <v>1180</v>
      </c>
    </row>
    <row r="1117" spans="1:1" x14ac:dyDescent="0.25">
      <c r="A1117" t="s">
        <v>1181</v>
      </c>
    </row>
    <row r="1118" spans="1:1" x14ac:dyDescent="0.25">
      <c r="A1118" t="s">
        <v>1182</v>
      </c>
    </row>
    <row r="1119" spans="1:1" x14ac:dyDescent="0.25">
      <c r="A1119" t="s">
        <v>1183</v>
      </c>
    </row>
    <row r="1120" spans="1:1" x14ac:dyDescent="0.25">
      <c r="A1120" t="s">
        <v>1184</v>
      </c>
    </row>
    <row r="1121" spans="1:1" x14ac:dyDescent="0.25">
      <c r="A1121" t="s">
        <v>1185</v>
      </c>
    </row>
    <row r="1122" spans="1:1" x14ac:dyDescent="0.25">
      <c r="A1122" t="s">
        <v>1186</v>
      </c>
    </row>
    <row r="1123" spans="1:1" x14ac:dyDescent="0.25">
      <c r="A1123" t="s">
        <v>1187</v>
      </c>
    </row>
    <row r="1124" spans="1:1" x14ac:dyDescent="0.25">
      <c r="A1124" t="s">
        <v>1188</v>
      </c>
    </row>
    <row r="1125" spans="1:1" x14ac:dyDescent="0.25">
      <c r="A1125" t="s">
        <v>1189</v>
      </c>
    </row>
    <row r="1126" spans="1:1" x14ac:dyDescent="0.25">
      <c r="A1126" t="s">
        <v>1190</v>
      </c>
    </row>
    <row r="1127" spans="1:1" x14ac:dyDescent="0.25">
      <c r="A1127" t="s">
        <v>1191</v>
      </c>
    </row>
    <row r="1128" spans="1:1" x14ac:dyDescent="0.25">
      <c r="A1128" t="s">
        <v>1192</v>
      </c>
    </row>
    <row r="1129" spans="1:1" x14ac:dyDescent="0.25">
      <c r="A1129" t="s">
        <v>1193</v>
      </c>
    </row>
    <row r="1130" spans="1:1" x14ac:dyDescent="0.25">
      <c r="A1130" t="s">
        <v>1194</v>
      </c>
    </row>
    <row r="1131" spans="1:1" x14ac:dyDescent="0.25">
      <c r="A1131" t="s">
        <v>1195</v>
      </c>
    </row>
    <row r="1132" spans="1:1" x14ac:dyDescent="0.25">
      <c r="A1132" t="s">
        <v>1196</v>
      </c>
    </row>
    <row r="1133" spans="1:1" x14ac:dyDescent="0.25">
      <c r="A1133" t="s">
        <v>1197</v>
      </c>
    </row>
    <row r="1134" spans="1:1" x14ac:dyDescent="0.25">
      <c r="A1134" t="s">
        <v>1198</v>
      </c>
    </row>
    <row r="1135" spans="1:1" x14ac:dyDescent="0.25">
      <c r="A1135" t="s">
        <v>1199</v>
      </c>
    </row>
    <row r="1136" spans="1:1" x14ac:dyDescent="0.25">
      <c r="A1136" t="s">
        <v>1200</v>
      </c>
    </row>
    <row r="1137" spans="1:1" x14ac:dyDescent="0.25">
      <c r="A1137" t="s">
        <v>1201</v>
      </c>
    </row>
    <row r="1138" spans="1:1" x14ac:dyDescent="0.25">
      <c r="A1138" t="s">
        <v>1202</v>
      </c>
    </row>
    <row r="1139" spans="1:1" x14ac:dyDescent="0.25">
      <c r="A1139" t="s">
        <v>1203</v>
      </c>
    </row>
    <row r="1140" spans="1:1" x14ac:dyDescent="0.25">
      <c r="A1140" t="s">
        <v>1204</v>
      </c>
    </row>
    <row r="1141" spans="1:1" x14ac:dyDescent="0.25">
      <c r="A1141" t="s">
        <v>1205</v>
      </c>
    </row>
    <row r="1142" spans="1:1" x14ac:dyDescent="0.25">
      <c r="A1142" t="s">
        <v>1206</v>
      </c>
    </row>
    <row r="1143" spans="1:1" x14ac:dyDescent="0.25">
      <c r="A1143" t="s">
        <v>1207</v>
      </c>
    </row>
    <row r="1144" spans="1:1" x14ac:dyDescent="0.25">
      <c r="A1144" t="s">
        <v>1208</v>
      </c>
    </row>
    <row r="1145" spans="1:1" x14ac:dyDescent="0.25">
      <c r="A1145" t="s">
        <v>1209</v>
      </c>
    </row>
    <row r="1146" spans="1:1" x14ac:dyDescent="0.25">
      <c r="A1146" t="s">
        <v>1210</v>
      </c>
    </row>
    <row r="1147" spans="1:1" x14ac:dyDescent="0.25">
      <c r="A1147" t="s">
        <v>1211</v>
      </c>
    </row>
    <row r="1148" spans="1:1" x14ac:dyDescent="0.25">
      <c r="A1148" t="s">
        <v>1212</v>
      </c>
    </row>
    <row r="1149" spans="1:1" x14ac:dyDescent="0.25">
      <c r="A1149" t="s">
        <v>1213</v>
      </c>
    </row>
    <row r="1150" spans="1:1" x14ac:dyDescent="0.25">
      <c r="A1150" t="s">
        <v>1214</v>
      </c>
    </row>
    <row r="1151" spans="1:1" x14ac:dyDescent="0.25">
      <c r="A1151" t="s">
        <v>1215</v>
      </c>
    </row>
    <row r="1152" spans="1:1" x14ac:dyDescent="0.25">
      <c r="A1152" t="s">
        <v>1216</v>
      </c>
    </row>
    <row r="1153" spans="1:1" x14ac:dyDescent="0.25">
      <c r="A1153" t="s">
        <v>1217</v>
      </c>
    </row>
    <row r="1154" spans="1:1" x14ac:dyDescent="0.25">
      <c r="A1154" t="s">
        <v>1218</v>
      </c>
    </row>
    <row r="1155" spans="1:1" x14ac:dyDescent="0.25">
      <c r="A1155" t="s">
        <v>1219</v>
      </c>
    </row>
    <row r="1156" spans="1:1" x14ac:dyDescent="0.25">
      <c r="A1156" t="s">
        <v>1220</v>
      </c>
    </row>
    <row r="1157" spans="1:1" x14ac:dyDescent="0.25">
      <c r="A1157" t="s">
        <v>1221</v>
      </c>
    </row>
    <row r="1158" spans="1:1" x14ac:dyDescent="0.25">
      <c r="A1158" t="s">
        <v>1222</v>
      </c>
    </row>
    <row r="1159" spans="1:1" x14ac:dyDescent="0.25">
      <c r="A1159" t="s">
        <v>1223</v>
      </c>
    </row>
    <row r="1160" spans="1:1" x14ac:dyDescent="0.25">
      <c r="A1160" t="s">
        <v>1224</v>
      </c>
    </row>
    <row r="1161" spans="1:1" x14ac:dyDescent="0.25">
      <c r="A1161" t="s">
        <v>1225</v>
      </c>
    </row>
    <row r="1162" spans="1:1" x14ac:dyDescent="0.25">
      <c r="A1162" t="s">
        <v>1226</v>
      </c>
    </row>
    <row r="1163" spans="1:1" x14ac:dyDescent="0.25">
      <c r="A1163" t="s">
        <v>1227</v>
      </c>
    </row>
    <row r="1164" spans="1:1" x14ac:dyDescent="0.25">
      <c r="A1164" t="s">
        <v>1228</v>
      </c>
    </row>
    <row r="1165" spans="1:1" x14ac:dyDescent="0.25">
      <c r="A1165" t="s">
        <v>1229</v>
      </c>
    </row>
    <row r="1166" spans="1:1" x14ac:dyDescent="0.25">
      <c r="A1166" t="s">
        <v>1230</v>
      </c>
    </row>
    <row r="1167" spans="1:1" x14ac:dyDescent="0.25">
      <c r="A1167" t="s">
        <v>1231</v>
      </c>
    </row>
    <row r="1168" spans="1:1" x14ac:dyDescent="0.25">
      <c r="A1168" t="s">
        <v>1232</v>
      </c>
    </row>
    <row r="1169" spans="1:1" x14ac:dyDescent="0.25">
      <c r="A1169" t="s">
        <v>1233</v>
      </c>
    </row>
    <row r="1170" spans="1:1" x14ac:dyDescent="0.25">
      <c r="A1170" t="s">
        <v>1234</v>
      </c>
    </row>
    <row r="1171" spans="1:1" x14ac:dyDescent="0.25">
      <c r="A1171" t="s">
        <v>1235</v>
      </c>
    </row>
    <row r="1172" spans="1:1" x14ac:dyDescent="0.25">
      <c r="A1172" t="s">
        <v>1236</v>
      </c>
    </row>
    <row r="1173" spans="1:1" x14ac:dyDescent="0.25">
      <c r="A1173" t="s">
        <v>1237</v>
      </c>
    </row>
    <row r="1174" spans="1:1" x14ac:dyDescent="0.25">
      <c r="A1174" t="s">
        <v>1238</v>
      </c>
    </row>
    <row r="1175" spans="1:1" x14ac:dyDescent="0.25">
      <c r="A1175" t="s">
        <v>1239</v>
      </c>
    </row>
    <row r="1176" spans="1:1" x14ac:dyDescent="0.25">
      <c r="A1176" t="s">
        <v>1240</v>
      </c>
    </row>
    <row r="1177" spans="1:1" x14ac:dyDescent="0.25">
      <c r="A1177" t="s">
        <v>1241</v>
      </c>
    </row>
    <row r="1178" spans="1:1" x14ac:dyDescent="0.25">
      <c r="A1178" t="s">
        <v>1242</v>
      </c>
    </row>
    <row r="1179" spans="1:1" x14ac:dyDescent="0.25">
      <c r="A1179" t="s">
        <v>1243</v>
      </c>
    </row>
    <row r="1180" spans="1:1" x14ac:dyDescent="0.25">
      <c r="A1180" t="s">
        <v>1244</v>
      </c>
    </row>
    <row r="1181" spans="1:1" x14ac:dyDescent="0.25">
      <c r="A1181" t="s">
        <v>1245</v>
      </c>
    </row>
    <row r="1182" spans="1:1" x14ac:dyDescent="0.25">
      <c r="A1182" t="s">
        <v>1246</v>
      </c>
    </row>
    <row r="1183" spans="1:1" x14ac:dyDescent="0.25">
      <c r="A1183" t="s">
        <v>1247</v>
      </c>
    </row>
    <row r="1184" spans="1:1" x14ac:dyDescent="0.25">
      <c r="A1184" t="s">
        <v>1248</v>
      </c>
    </row>
    <row r="1185" spans="1:1" x14ac:dyDescent="0.25">
      <c r="A1185" t="s">
        <v>1249</v>
      </c>
    </row>
    <row r="1186" spans="1:1" x14ac:dyDescent="0.25">
      <c r="A1186" t="s">
        <v>1250</v>
      </c>
    </row>
    <row r="1187" spans="1:1" x14ac:dyDescent="0.25">
      <c r="A1187" t="s">
        <v>1251</v>
      </c>
    </row>
    <row r="1188" spans="1:1" x14ac:dyDescent="0.25">
      <c r="A1188" t="s">
        <v>1252</v>
      </c>
    </row>
    <row r="1189" spans="1:1" x14ac:dyDescent="0.25">
      <c r="A1189" t="s">
        <v>1253</v>
      </c>
    </row>
    <row r="1190" spans="1:1" x14ac:dyDescent="0.25">
      <c r="A1190" t="s">
        <v>1254</v>
      </c>
    </row>
    <row r="1191" spans="1:1" x14ac:dyDescent="0.25">
      <c r="A1191" t="s">
        <v>1255</v>
      </c>
    </row>
    <row r="1192" spans="1:1" x14ac:dyDescent="0.25">
      <c r="A1192" t="s">
        <v>1256</v>
      </c>
    </row>
    <row r="1193" spans="1:1" x14ac:dyDescent="0.25">
      <c r="A1193" t="s">
        <v>1257</v>
      </c>
    </row>
    <row r="1194" spans="1:1" x14ac:dyDescent="0.25">
      <c r="A1194" t="s">
        <v>1258</v>
      </c>
    </row>
    <row r="1195" spans="1:1" x14ac:dyDescent="0.25">
      <c r="A1195" t="s">
        <v>1259</v>
      </c>
    </row>
    <row r="1196" spans="1:1" x14ac:dyDescent="0.25">
      <c r="A1196" t="s">
        <v>1260</v>
      </c>
    </row>
    <row r="1197" spans="1:1" x14ac:dyDescent="0.25">
      <c r="A1197" t="s">
        <v>1261</v>
      </c>
    </row>
    <row r="1198" spans="1:1" x14ac:dyDescent="0.25">
      <c r="A1198" t="s">
        <v>1262</v>
      </c>
    </row>
    <row r="1199" spans="1:1" x14ac:dyDescent="0.25">
      <c r="A1199" t="s">
        <v>1263</v>
      </c>
    </row>
    <row r="1200" spans="1:1" x14ac:dyDescent="0.25">
      <c r="A1200" t="s">
        <v>1264</v>
      </c>
    </row>
    <row r="1201" spans="1:1" x14ac:dyDescent="0.25">
      <c r="A1201" t="s">
        <v>1265</v>
      </c>
    </row>
    <row r="1202" spans="1:1" x14ac:dyDescent="0.25">
      <c r="A1202" t="s">
        <v>1266</v>
      </c>
    </row>
    <row r="1203" spans="1:1" x14ac:dyDescent="0.25">
      <c r="A1203" t="s">
        <v>1267</v>
      </c>
    </row>
    <row r="1204" spans="1:1" x14ac:dyDescent="0.25">
      <c r="A1204" t="s">
        <v>1268</v>
      </c>
    </row>
    <row r="1205" spans="1:1" x14ac:dyDescent="0.25">
      <c r="A1205" t="s">
        <v>1269</v>
      </c>
    </row>
    <row r="1206" spans="1:1" x14ac:dyDescent="0.25">
      <c r="A1206" t="s">
        <v>1270</v>
      </c>
    </row>
    <row r="1207" spans="1:1" x14ac:dyDescent="0.25">
      <c r="A1207" t="s">
        <v>1271</v>
      </c>
    </row>
    <row r="1208" spans="1:1" x14ac:dyDescent="0.25">
      <c r="A1208" t="s">
        <v>1272</v>
      </c>
    </row>
    <row r="1209" spans="1:1" x14ac:dyDescent="0.25">
      <c r="A1209" t="s">
        <v>1273</v>
      </c>
    </row>
    <row r="1210" spans="1:1" x14ac:dyDescent="0.25">
      <c r="A1210" t="s">
        <v>1274</v>
      </c>
    </row>
    <row r="1211" spans="1:1" x14ac:dyDescent="0.25">
      <c r="A1211" t="s">
        <v>1275</v>
      </c>
    </row>
    <row r="1212" spans="1:1" x14ac:dyDescent="0.25">
      <c r="A1212" t="s">
        <v>1276</v>
      </c>
    </row>
    <row r="1213" spans="1:1" x14ac:dyDescent="0.25">
      <c r="A1213" t="s">
        <v>1277</v>
      </c>
    </row>
    <row r="1214" spans="1:1" x14ac:dyDescent="0.25">
      <c r="A1214" t="s">
        <v>1278</v>
      </c>
    </row>
    <row r="1215" spans="1:1" x14ac:dyDescent="0.25">
      <c r="A1215" t="s">
        <v>1279</v>
      </c>
    </row>
    <row r="1216" spans="1:1" x14ac:dyDescent="0.25">
      <c r="A1216" t="s">
        <v>1280</v>
      </c>
    </row>
    <row r="1217" spans="1:1" x14ac:dyDescent="0.25">
      <c r="A1217" t="s">
        <v>1281</v>
      </c>
    </row>
    <row r="1218" spans="1:1" x14ac:dyDescent="0.25">
      <c r="A1218" t="s">
        <v>1282</v>
      </c>
    </row>
    <row r="1219" spans="1:1" x14ac:dyDescent="0.25">
      <c r="A1219" t="s">
        <v>1283</v>
      </c>
    </row>
    <row r="1220" spans="1:1" x14ac:dyDescent="0.25">
      <c r="A1220" t="s">
        <v>1284</v>
      </c>
    </row>
    <row r="1221" spans="1:1" x14ac:dyDescent="0.25">
      <c r="A1221" t="s">
        <v>1285</v>
      </c>
    </row>
    <row r="1222" spans="1:1" x14ac:dyDescent="0.25">
      <c r="A1222" t="s">
        <v>1286</v>
      </c>
    </row>
    <row r="1223" spans="1:1" x14ac:dyDescent="0.25">
      <c r="A1223" t="s">
        <v>1287</v>
      </c>
    </row>
    <row r="1224" spans="1:1" x14ac:dyDescent="0.25">
      <c r="A1224" t="s">
        <v>1288</v>
      </c>
    </row>
    <row r="1225" spans="1:1" x14ac:dyDescent="0.25">
      <c r="A1225" t="s">
        <v>1289</v>
      </c>
    </row>
    <row r="1226" spans="1:1" x14ac:dyDescent="0.25">
      <c r="A1226" t="s">
        <v>1290</v>
      </c>
    </row>
    <row r="1227" spans="1:1" x14ac:dyDescent="0.25">
      <c r="A1227" t="s">
        <v>1291</v>
      </c>
    </row>
    <row r="1228" spans="1:1" x14ac:dyDescent="0.25">
      <c r="A1228" t="s">
        <v>1292</v>
      </c>
    </row>
    <row r="1229" spans="1:1" x14ac:dyDescent="0.25">
      <c r="A1229" t="s">
        <v>1293</v>
      </c>
    </row>
    <row r="1230" spans="1:1" x14ac:dyDescent="0.25">
      <c r="A1230" t="s">
        <v>1294</v>
      </c>
    </row>
    <row r="1231" spans="1:1" x14ac:dyDescent="0.25">
      <c r="A1231" t="s">
        <v>1295</v>
      </c>
    </row>
    <row r="1232" spans="1:1" x14ac:dyDescent="0.25">
      <c r="A1232" t="s">
        <v>1296</v>
      </c>
    </row>
    <row r="1233" spans="1:1" x14ac:dyDescent="0.25">
      <c r="A1233" t="s">
        <v>1297</v>
      </c>
    </row>
    <row r="1234" spans="1:1" x14ac:dyDescent="0.25">
      <c r="A1234" t="s">
        <v>1298</v>
      </c>
    </row>
    <row r="1235" spans="1:1" x14ac:dyDescent="0.25">
      <c r="A1235" t="s">
        <v>1299</v>
      </c>
    </row>
    <row r="1236" spans="1:1" x14ac:dyDescent="0.25">
      <c r="A1236" t="s">
        <v>1300</v>
      </c>
    </row>
    <row r="1237" spans="1:1" x14ac:dyDescent="0.25">
      <c r="A1237" t="s">
        <v>1301</v>
      </c>
    </row>
    <row r="1238" spans="1:1" x14ac:dyDescent="0.25">
      <c r="A1238" t="s">
        <v>1302</v>
      </c>
    </row>
    <row r="1239" spans="1:1" x14ac:dyDescent="0.25">
      <c r="A1239" t="s">
        <v>1303</v>
      </c>
    </row>
    <row r="1240" spans="1:1" x14ac:dyDescent="0.25">
      <c r="A1240" t="s">
        <v>1304</v>
      </c>
    </row>
    <row r="1241" spans="1:1" x14ac:dyDescent="0.25">
      <c r="A1241" t="s">
        <v>1305</v>
      </c>
    </row>
    <row r="1242" spans="1:1" x14ac:dyDescent="0.25">
      <c r="A1242" t="s">
        <v>1306</v>
      </c>
    </row>
    <row r="1243" spans="1:1" x14ac:dyDescent="0.25">
      <c r="A1243" t="s">
        <v>1307</v>
      </c>
    </row>
    <row r="1244" spans="1:1" x14ac:dyDescent="0.25">
      <c r="A1244" t="s">
        <v>1308</v>
      </c>
    </row>
    <row r="1245" spans="1:1" x14ac:dyDescent="0.25">
      <c r="A1245" t="s">
        <v>1309</v>
      </c>
    </row>
    <row r="1246" spans="1:1" x14ac:dyDescent="0.25">
      <c r="A1246" t="s">
        <v>1310</v>
      </c>
    </row>
    <row r="1247" spans="1:1" x14ac:dyDescent="0.25">
      <c r="A1247" t="s">
        <v>1311</v>
      </c>
    </row>
    <row r="1248" spans="1:1" x14ac:dyDescent="0.25">
      <c r="A1248" t="s">
        <v>1312</v>
      </c>
    </row>
    <row r="1249" spans="1:1" x14ac:dyDescent="0.25">
      <c r="A1249" t="s">
        <v>1313</v>
      </c>
    </row>
    <row r="1250" spans="1:1" x14ac:dyDescent="0.25">
      <c r="A1250" t="s">
        <v>1314</v>
      </c>
    </row>
    <row r="1251" spans="1:1" x14ac:dyDescent="0.25">
      <c r="A1251" t="s">
        <v>1315</v>
      </c>
    </row>
    <row r="1252" spans="1:1" x14ac:dyDescent="0.25">
      <c r="A1252" t="s">
        <v>1316</v>
      </c>
    </row>
    <row r="1253" spans="1:1" x14ac:dyDescent="0.25">
      <c r="A1253" t="s">
        <v>1317</v>
      </c>
    </row>
    <row r="1254" spans="1:1" x14ac:dyDescent="0.25">
      <c r="A1254" t="s">
        <v>1318</v>
      </c>
    </row>
    <row r="1255" spans="1:1" x14ac:dyDescent="0.25">
      <c r="A1255" t="s">
        <v>1319</v>
      </c>
    </row>
    <row r="1256" spans="1:1" x14ac:dyDescent="0.25">
      <c r="A1256" t="s">
        <v>1320</v>
      </c>
    </row>
    <row r="1257" spans="1:1" x14ac:dyDescent="0.25">
      <c r="A1257" t="s">
        <v>1321</v>
      </c>
    </row>
    <row r="1258" spans="1:1" x14ac:dyDescent="0.25">
      <c r="A1258" t="s">
        <v>1322</v>
      </c>
    </row>
    <row r="1259" spans="1:1" x14ac:dyDescent="0.25">
      <c r="A1259" t="s">
        <v>1323</v>
      </c>
    </row>
    <row r="1260" spans="1:1" x14ac:dyDescent="0.25">
      <c r="A1260" t="s">
        <v>1324</v>
      </c>
    </row>
    <row r="1261" spans="1:1" x14ac:dyDescent="0.25">
      <c r="A1261" t="s">
        <v>1325</v>
      </c>
    </row>
    <row r="1262" spans="1:1" x14ac:dyDescent="0.25">
      <c r="A1262" t="s">
        <v>1326</v>
      </c>
    </row>
    <row r="1263" spans="1:1" x14ac:dyDescent="0.25">
      <c r="A1263" t="s">
        <v>1327</v>
      </c>
    </row>
    <row r="1264" spans="1:1" x14ac:dyDescent="0.25">
      <c r="A1264" t="s">
        <v>1328</v>
      </c>
    </row>
    <row r="1265" spans="1:1" x14ac:dyDescent="0.25">
      <c r="A1265" t="s">
        <v>1329</v>
      </c>
    </row>
    <row r="1266" spans="1:1" x14ac:dyDescent="0.25">
      <c r="A1266" t="s">
        <v>1330</v>
      </c>
    </row>
    <row r="1267" spans="1:1" x14ac:dyDescent="0.25">
      <c r="A1267" t="s">
        <v>1331</v>
      </c>
    </row>
    <row r="1268" spans="1:1" x14ac:dyDescent="0.25">
      <c r="A1268" t="s">
        <v>1332</v>
      </c>
    </row>
    <row r="1269" spans="1:1" x14ac:dyDescent="0.25">
      <c r="A1269" t="s">
        <v>1333</v>
      </c>
    </row>
    <row r="1270" spans="1:1" x14ac:dyDescent="0.25">
      <c r="A1270" t="s">
        <v>1334</v>
      </c>
    </row>
    <row r="1271" spans="1:1" x14ac:dyDescent="0.25">
      <c r="A1271" t="s">
        <v>1335</v>
      </c>
    </row>
    <row r="1272" spans="1:1" x14ac:dyDescent="0.25">
      <c r="A1272" t="s">
        <v>1336</v>
      </c>
    </row>
    <row r="1273" spans="1:1" x14ac:dyDescent="0.25">
      <c r="A1273" t="s">
        <v>1337</v>
      </c>
    </row>
    <row r="1274" spans="1:1" x14ac:dyDescent="0.25">
      <c r="A1274" t="s">
        <v>1338</v>
      </c>
    </row>
    <row r="1275" spans="1:1" x14ac:dyDescent="0.25">
      <c r="A1275" t="s">
        <v>1339</v>
      </c>
    </row>
    <row r="1276" spans="1:1" x14ac:dyDescent="0.25">
      <c r="A1276" t="s">
        <v>1340</v>
      </c>
    </row>
    <row r="1277" spans="1:1" x14ac:dyDescent="0.25">
      <c r="A1277" t="s">
        <v>1341</v>
      </c>
    </row>
    <row r="1278" spans="1:1" x14ac:dyDescent="0.25">
      <c r="A1278" t="s">
        <v>1342</v>
      </c>
    </row>
    <row r="1279" spans="1:1" x14ac:dyDescent="0.25">
      <c r="A1279" t="s">
        <v>1343</v>
      </c>
    </row>
    <row r="1280" spans="1:1" x14ac:dyDescent="0.25">
      <c r="A1280" t="s">
        <v>1344</v>
      </c>
    </row>
    <row r="1281" spans="1:1" x14ac:dyDescent="0.25">
      <c r="A1281" t="s">
        <v>1345</v>
      </c>
    </row>
    <row r="1282" spans="1:1" x14ac:dyDescent="0.25">
      <c r="A1282" t="s">
        <v>1346</v>
      </c>
    </row>
    <row r="1283" spans="1:1" x14ac:dyDescent="0.25">
      <c r="A1283" t="s">
        <v>1347</v>
      </c>
    </row>
    <row r="1284" spans="1:1" x14ac:dyDescent="0.25">
      <c r="A1284" t="s">
        <v>1348</v>
      </c>
    </row>
    <row r="1285" spans="1:1" x14ac:dyDescent="0.25">
      <c r="A1285" t="s">
        <v>1349</v>
      </c>
    </row>
    <row r="1286" spans="1:1" x14ac:dyDescent="0.25">
      <c r="A1286" t="s">
        <v>1350</v>
      </c>
    </row>
    <row r="1287" spans="1:1" x14ac:dyDescent="0.25">
      <c r="A1287" t="s">
        <v>1351</v>
      </c>
    </row>
    <row r="1288" spans="1:1" x14ac:dyDescent="0.25">
      <c r="A1288" t="s">
        <v>1352</v>
      </c>
    </row>
    <row r="1289" spans="1:1" x14ac:dyDescent="0.25">
      <c r="A1289" t="s">
        <v>1353</v>
      </c>
    </row>
    <row r="1290" spans="1:1" x14ac:dyDescent="0.25">
      <c r="A1290" t="s">
        <v>1354</v>
      </c>
    </row>
    <row r="1291" spans="1:1" x14ac:dyDescent="0.25">
      <c r="A1291" t="s">
        <v>1355</v>
      </c>
    </row>
    <row r="1292" spans="1:1" x14ac:dyDescent="0.25">
      <c r="A1292" t="s">
        <v>1356</v>
      </c>
    </row>
    <row r="1293" spans="1:1" x14ac:dyDescent="0.25">
      <c r="A1293" t="s">
        <v>1357</v>
      </c>
    </row>
    <row r="1294" spans="1:1" x14ac:dyDescent="0.25">
      <c r="A1294" t="s">
        <v>1358</v>
      </c>
    </row>
    <row r="1295" spans="1:1" x14ac:dyDescent="0.25">
      <c r="A1295" t="s">
        <v>1359</v>
      </c>
    </row>
    <row r="1296" spans="1:1" x14ac:dyDescent="0.25">
      <c r="A1296" t="s">
        <v>1360</v>
      </c>
    </row>
    <row r="1297" spans="1:1" x14ac:dyDescent="0.25">
      <c r="A1297" t="s">
        <v>1361</v>
      </c>
    </row>
    <row r="1298" spans="1:1" x14ac:dyDescent="0.25">
      <c r="A1298" t="s">
        <v>1362</v>
      </c>
    </row>
    <row r="1299" spans="1:1" x14ac:dyDescent="0.25">
      <c r="A1299" t="s">
        <v>1363</v>
      </c>
    </row>
    <row r="1300" spans="1:1" x14ac:dyDescent="0.25">
      <c r="A1300" t="s">
        <v>1364</v>
      </c>
    </row>
    <row r="1301" spans="1:1" x14ac:dyDescent="0.25">
      <c r="A1301" t="s">
        <v>1365</v>
      </c>
    </row>
    <row r="1302" spans="1:1" x14ac:dyDescent="0.25">
      <c r="A1302" t="s">
        <v>1366</v>
      </c>
    </row>
    <row r="1303" spans="1:1" x14ac:dyDescent="0.25">
      <c r="A1303" t="s">
        <v>1367</v>
      </c>
    </row>
    <row r="1304" spans="1:1" x14ac:dyDescent="0.25">
      <c r="A1304" t="s">
        <v>1368</v>
      </c>
    </row>
    <row r="1305" spans="1:1" x14ac:dyDescent="0.25">
      <c r="A1305" t="s">
        <v>1369</v>
      </c>
    </row>
    <row r="1306" spans="1:1" x14ac:dyDescent="0.25">
      <c r="A1306" t="s">
        <v>1370</v>
      </c>
    </row>
    <row r="1307" spans="1:1" x14ac:dyDescent="0.25">
      <c r="A1307" t="s">
        <v>1371</v>
      </c>
    </row>
    <row r="1308" spans="1:1" x14ac:dyDescent="0.25">
      <c r="A1308" t="s">
        <v>1372</v>
      </c>
    </row>
    <row r="1309" spans="1:1" x14ac:dyDescent="0.25">
      <c r="A1309" t="s">
        <v>1373</v>
      </c>
    </row>
    <row r="1310" spans="1:1" x14ac:dyDescent="0.25">
      <c r="A1310" t="s">
        <v>1374</v>
      </c>
    </row>
    <row r="1311" spans="1:1" x14ac:dyDescent="0.25">
      <c r="A1311" t="s">
        <v>1375</v>
      </c>
    </row>
    <row r="1312" spans="1:1" x14ac:dyDescent="0.25">
      <c r="A1312" t="s">
        <v>1376</v>
      </c>
    </row>
    <row r="1313" spans="1:1" x14ac:dyDescent="0.25">
      <c r="A1313" t="s">
        <v>1377</v>
      </c>
    </row>
    <row r="1314" spans="1:1" x14ac:dyDescent="0.25">
      <c r="A1314" t="s">
        <v>1378</v>
      </c>
    </row>
    <row r="1315" spans="1:1" x14ac:dyDescent="0.25">
      <c r="A1315" t="s">
        <v>1379</v>
      </c>
    </row>
    <row r="1316" spans="1:1" x14ac:dyDescent="0.25">
      <c r="A1316" t="s">
        <v>1380</v>
      </c>
    </row>
    <row r="1317" spans="1:1" x14ac:dyDescent="0.25">
      <c r="A1317" t="s">
        <v>1381</v>
      </c>
    </row>
    <row r="1318" spans="1:1" x14ac:dyDescent="0.25">
      <c r="A1318" t="s">
        <v>1382</v>
      </c>
    </row>
    <row r="1319" spans="1:1" x14ac:dyDescent="0.25">
      <c r="A1319" t="s">
        <v>1383</v>
      </c>
    </row>
    <row r="1320" spans="1:1" x14ac:dyDescent="0.25">
      <c r="A1320" t="s">
        <v>1384</v>
      </c>
    </row>
    <row r="1321" spans="1:1" x14ac:dyDescent="0.25">
      <c r="A1321" t="s">
        <v>1385</v>
      </c>
    </row>
    <row r="1322" spans="1:1" x14ac:dyDescent="0.25">
      <c r="A1322" t="s">
        <v>1386</v>
      </c>
    </row>
    <row r="1323" spans="1:1" x14ac:dyDescent="0.25">
      <c r="A1323" t="s">
        <v>1387</v>
      </c>
    </row>
    <row r="1324" spans="1:1" x14ac:dyDescent="0.25">
      <c r="A1324" t="s">
        <v>1388</v>
      </c>
    </row>
    <row r="1325" spans="1:1" x14ac:dyDescent="0.25">
      <c r="A1325" t="s">
        <v>1389</v>
      </c>
    </row>
    <row r="1326" spans="1:1" x14ac:dyDescent="0.25">
      <c r="A1326" t="s">
        <v>1390</v>
      </c>
    </row>
    <row r="1327" spans="1:1" x14ac:dyDescent="0.25">
      <c r="A1327" t="s">
        <v>1391</v>
      </c>
    </row>
    <row r="1328" spans="1:1" x14ac:dyDescent="0.25">
      <c r="A1328" t="s">
        <v>1392</v>
      </c>
    </row>
    <row r="1329" spans="1:1" x14ac:dyDescent="0.25">
      <c r="A1329" t="s">
        <v>1393</v>
      </c>
    </row>
    <row r="1330" spans="1:1" x14ac:dyDescent="0.25">
      <c r="A1330" t="s">
        <v>1394</v>
      </c>
    </row>
    <row r="1331" spans="1:1" x14ac:dyDescent="0.25">
      <c r="A1331" t="s">
        <v>1395</v>
      </c>
    </row>
    <row r="1332" spans="1:1" x14ac:dyDescent="0.25">
      <c r="A1332" t="s">
        <v>1396</v>
      </c>
    </row>
    <row r="1333" spans="1:1" x14ac:dyDescent="0.25">
      <c r="A1333" t="s">
        <v>1397</v>
      </c>
    </row>
    <row r="1334" spans="1:1" x14ac:dyDescent="0.25">
      <c r="A1334" t="s">
        <v>1398</v>
      </c>
    </row>
    <row r="1335" spans="1:1" x14ac:dyDescent="0.25">
      <c r="A1335" t="s">
        <v>1399</v>
      </c>
    </row>
    <row r="1336" spans="1:1" x14ac:dyDescent="0.25">
      <c r="A1336" t="s">
        <v>1400</v>
      </c>
    </row>
    <row r="1337" spans="1:1" x14ac:dyDescent="0.25">
      <c r="A1337" t="s">
        <v>1401</v>
      </c>
    </row>
    <row r="1338" spans="1:1" x14ac:dyDescent="0.25">
      <c r="A1338" t="s">
        <v>1402</v>
      </c>
    </row>
    <row r="1339" spans="1:1" x14ac:dyDescent="0.25">
      <c r="A1339" t="s">
        <v>1403</v>
      </c>
    </row>
    <row r="1340" spans="1:1" x14ac:dyDescent="0.25">
      <c r="A1340" t="s">
        <v>1404</v>
      </c>
    </row>
    <row r="1341" spans="1:1" x14ac:dyDescent="0.25">
      <c r="A1341" t="s">
        <v>1405</v>
      </c>
    </row>
    <row r="1342" spans="1:1" x14ac:dyDescent="0.25">
      <c r="A1342" t="s">
        <v>1406</v>
      </c>
    </row>
    <row r="1343" spans="1:1" x14ac:dyDescent="0.25">
      <c r="A1343" t="s">
        <v>1407</v>
      </c>
    </row>
    <row r="1344" spans="1:1" x14ac:dyDescent="0.25">
      <c r="A1344" t="s">
        <v>1408</v>
      </c>
    </row>
    <row r="1345" spans="1:1" x14ac:dyDescent="0.25">
      <c r="A1345" t="s">
        <v>1409</v>
      </c>
    </row>
    <row r="1346" spans="1:1" x14ac:dyDescent="0.25">
      <c r="A1346" t="s">
        <v>1410</v>
      </c>
    </row>
    <row r="1347" spans="1:1" x14ac:dyDescent="0.25">
      <c r="A1347" t="s">
        <v>1411</v>
      </c>
    </row>
    <row r="1348" spans="1:1" x14ac:dyDescent="0.25">
      <c r="A1348" t="s">
        <v>1412</v>
      </c>
    </row>
    <row r="1349" spans="1:1" x14ac:dyDescent="0.25">
      <c r="A1349" t="s">
        <v>1413</v>
      </c>
    </row>
    <row r="1350" spans="1:1" x14ac:dyDescent="0.25">
      <c r="A1350" t="s">
        <v>1414</v>
      </c>
    </row>
    <row r="1351" spans="1:1" x14ac:dyDescent="0.25">
      <c r="A1351" t="s">
        <v>1415</v>
      </c>
    </row>
    <row r="1352" spans="1:1" x14ac:dyDescent="0.25">
      <c r="A1352" t="s">
        <v>1416</v>
      </c>
    </row>
    <row r="1353" spans="1:1" x14ac:dyDescent="0.25">
      <c r="A1353" t="s">
        <v>1417</v>
      </c>
    </row>
    <row r="1354" spans="1:1" x14ac:dyDescent="0.25">
      <c r="A1354" t="s">
        <v>1418</v>
      </c>
    </row>
    <row r="1355" spans="1:1" x14ac:dyDescent="0.25">
      <c r="A1355" t="s">
        <v>1419</v>
      </c>
    </row>
    <row r="1356" spans="1:1" x14ac:dyDescent="0.25">
      <c r="A1356" t="s">
        <v>1420</v>
      </c>
    </row>
    <row r="1357" spans="1:1" x14ac:dyDescent="0.25">
      <c r="A1357" t="s">
        <v>1421</v>
      </c>
    </row>
    <row r="1358" spans="1:1" x14ac:dyDescent="0.25">
      <c r="A1358" t="s">
        <v>1422</v>
      </c>
    </row>
    <row r="1359" spans="1:1" x14ac:dyDescent="0.25">
      <c r="A1359" t="s">
        <v>1423</v>
      </c>
    </row>
    <row r="1360" spans="1:1" x14ac:dyDescent="0.25">
      <c r="A1360" t="s">
        <v>1424</v>
      </c>
    </row>
    <row r="1361" spans="1:1" x14ac:dyDescent="0.25">
      <c r="A1361" t="s">
        <v>1425</v>
      </c>
    </row>
    <row r="1362" spans="1:1" x14ac:dyDescent="0.25">
      <c r="A1362" t="s">
        <v>1426</v>
      </c>
    </row>
    <row r="1363" spans="1:1" x14ac:dyDescent="0.25">
      <c r="A1363" t="s">
        <v>1427</v>
      </c>
    </row>
    <row r="1364" spans="1:1" x14ac:dyDescent="0.25">
      <c r="A1364" t="s">
        <v>1428</v>
      </c>
    </row>
    <row r="1365" spans="1:1" x14ac:dyDescent="0.25">
      <c r="A1365" t="s">
        <v>1429</v>
      </c>
    </row>
    <row r="1366" spans="1:1" x14ac:dyDescent="0.25">
      <c r="A1366" t="s">
        <v>1430</v>
      </c>
    </row>
    <row r="1367" spans="1:1" x14ac:dyDescent="0.25">
      <c r="A1367" t="s">
        <v>1431</v>
      </c>
    </row>
    <row r="1368" spans="1:1" x14ac:dyDescent="0.25">
      <c r="A1368" t="s">
        <v>1432</v>
      </c>
    </row>
    <row r="1369" spans="1:1" x14ac:dyDescent="0.25">
      <c r="A1369" t="s">
        <v>1433</v>
      </c>
    </row>
    <row r="1370" spans="1:1" x14ac:dyDescent="0.25">
      <c r="A1370" t="s">
        <v>1434</v>
      </c>
    </row>
    <row r="1371" spans="1:1" x14ac:dyDescent="0.25">
      <c r="A1371" t="s">
        <v>1435</v>
      </c>
    </row>
    <row r="1372" spans="1:1" x14ac:dyDescent="0.25">
      <c r="A1372" t="s">
        <v>1436</v>
      </c>
    </row>
    <row r="1373" spans="1:1" x14ac:dyDescent="0.25">
      <c r="A1373" t="s">
        <v>1437</v>
      </c>
    </row>
    <row r="1374" spans="1:1" x14ac:dyDescent="0.25">
      <c r="A1374" t="s">
        <v>1438</v>
      </c>
    </row>
    <row r="1375" spans="1:1" x14ac:dyDescent="0.25">
      <c r="A1375" t="s">
        <v>1439</v>
      </c>
    </row>
    <row r="1376" spans="1:1" x14ac:dyDescent="0.25">
      <c r="A1376" t="s">
        <v>1440</v>
      </c>
    </row>
    <row r="1377" spans="1:1" x14ac:dyDescent="0.25">
      <c r="A1377" t="s">
        <v>1441</v>
      </c>
    </row>
    <row r="1378" spans="1:1" x14ac:dyDescent="0.25">
      <c r="A1378" t="s">
        <v>1442</v>
      </c>
    </row>
    <row r="1379" spans="1:1" x14ac:dyDescent="0.25">
      <c r="A1379" t="s">
        <v>1443</v>
      </c>
    </row>
    <row r="1380" spans="1:1" x14ac:dyDescent="0.25">
      <c r="A1380" t="s">
        <v>1444</v>
      </c>
    </row>
    <row r="1381" spans="1:1" x14ac:dyDescent="0.25">
      <c r="A1381" t="s">
        <v>1445</v>
      </c>
    </row>
    <row r="1382" spans="1:1" x14ac:dyDescent="0.25">
      <c r="A1382" t="s">
        <v>1446</v>
      </c>
    </row>
    <row r="1383" spans="1:1" x14ac:dyDescent="0.25">
      <c r="A1383" t="s">
        <v>1447</v>
      </c>
    </row>
    <row r="1384" spans="1:1" x14ac:dyDescent="0.25">
      <c r="A1384" t="s">
        <v>1448</v>
      </c>
    </row>
    <row r="1385" spans="1:1" x14ac:dyDescent="0.25">
      <c r="A1385" t="s">
        <v>1449</v>
      </c>
    </row>
    <row r="1386" spans="1:1" x14ac:dyDescent="0.25">
      <c r="A1386" t="s">
        <v>1450</v>
      </c>
    </row>
    <row r="1387" spans="1:1" x14ac:dyDescent="0.25">
      <c r="A1387" t="s">
        <v>1451</v>
      </c>
    </row>
    <row r="1388" spans="1:1" x14ac:dyDescent="0.25">
      <c r="A1388" t="s">
        <v>1452</v>
      </c>
    </row>
    <row r="1389" spans="1:1" x14ac:dyDescent="0.25">
      <c r="A1389" t="s">
        <v>1453</v>
      </c>
    </row>
    <row r="1390" spans="1:1" x14ac:dyDescent="0.25">
      <c r="A1390" t="s">
        <v>1454</v>
      </c>
    </row>
    <row r="1391" spans="1:1" x14ac:dyDescent="0.25">
      <c r="A1391" t="s">
        <v>1455</v>
      </c>
    </row>
    <row r="1392" spans="1:1" x14ac:dyDescent="0.25">
      <c r="A1392" t="s">
        <v>1456</v>
      </c>
    </row>
    <row r="1393" spans="1:1" x14ac:dyDescent="0.25">
      <c r="A1393" t="s">
        <v>1457</v>
      </c>
    </row>
    <row r="1394" spans="1:1" x14ac:dyDescent="0.25">
      <c r="A1394" t="s">
        <v>1458</v>
      </c>
    </row>
    <row r="1395" spans="1:1" x14ac:dyDescent="0.25">
      <c r="A1395" t="s">
        <v>1459</v>
      </c>
    </row>
    <row r="1396" spans="1:1" x14ac:dyDescent="0.25">
      <c r="A1396" t="s">
        <v>1460</v>
      </c>
    </row>
    <row r="1397" spans="1:1" x14ac:dyDescent="0.25">
      <c r="A1397" t="s">
        <v>1461</v>
      </c>
    </row>
    <row r="1398" spans="1:1" x14ac:dyDescent="0.25">
      <c r="A1398" t="s">
        <v>1462</v>
      </c>
    </row>
    <row r="1399" spans="1:1" x14ac:dyDescent="0.25">
      <c r="A1399" t="s">
        <v>1463</v>
      </c>
    </row>
    <row r="1400" spans="1:1" x14ac:dyDescent="0.25">
      <c r="A1400" t="s">
        <v>1464</v>
      </c>
    </row>
    <row r="1401" spans="1:1" x14ac:dyDescent="0.25">
      <c r="A1401" t="s">
        <v>1465</v>
      </c>
    </row>
    <row r="1402" spans="1:1" x14ac:dyDescent="0.25">
      <c r="A1402" t="s">
        <v>1466</v>
      </c>
    </row>
    <row r="1403" spans="1:1" x14ac:dyDescent="0.25">
      <c r="A1403" t="s">
        <v>1467</v>
      </c>
    </row>
    <row r="1404" spans="1:1" x14ac:dyDescent="0.25">
      <c r="A1404" t="s">
        <v>1468</v>
      </c>
    </row>
    <row r="1405" spans="1:1" x14ac:dyDescent="0.25">
      <c r="A1405" t="s">
        <v>1469</v>
      </c>
    </row>
    <row r="1406" spans="1:1" x14ac:dyDescent="0.25">
      <c r="A1406" t="s">
        <v>1470</v>
      </c>
    </row>
    <row r="1407" spans="1:1" x14ac:dyDescent="0.25">
      <c r="A1407" t="s">
        <v>1471</v>
      </c>
    </row>
    <row r="1408" spans="1:1" x14ac:dyDescent="0.25">
      <c r="A1408" t="s">
        <v>1472</v>
      </c>
    </row>
    <row r="1409" spans="1:1" x14ac:dyDescent="0.25">
      <c r="A1409" t="s">
        <v>1473</v>
      </c>
    </row>
    <row r="1410" spans="1:1" x14ac:dyDescent="0.25">
      <c r="A1410" t="s">
        <v>1474</v>
      </c>
    </row>
    <row r="1411" spans="1:1" x14ac:dyDescent="0.25">
      <c r="A1411" t="s">
        <v>1475</v>
      </c>
    </row>
    <row r="1412" spans="1:1" x14ac:dyDescent="0.25">
      <c r="A1412" t="s">
        <v>1476</v>
      </c>
    </row>
    <row r="1413" spans="1:1" x14ac:dyDescent="0.25">
      <c r="A1413" t="s">
        <v>1477</v>
      </c>
    </row>
    <row r="1414" spans="1:1" x14ac:dyDescent="0.25">
      <c r="A1414" t="s">
        <v>1478</v>
      </c>
    </row>
    <row r="1415" spans="1:1" x14ac:dyDescent="0.25">
      <c r="A1415" t="s">
        <v>1479</v>
      </c>
    </row>
    <row r="1416" spans="1:1" x14ac:dyDescent="0.25">
      <c r="A1416" t="s">
        <v>1480</v>
      </c>
    </row>
    <row r="1417" spans="1:1" x14ac:dyDescent="0.25">
      <c r="A1417" t="s">
        <v>1481</v>
      </c>
    </row>
    <row r="1418" spans="1:1" x14ac:dyDescent="0.25">
      <c r="A1418" t="s">
        <v>1482</v>
      </c>
    </row>
    <row r="1419" spans="1:1" x14ac:dyDescent="0.25">
      <c r="A1419" t="s">
        <v>1483</v>
      </c>
    </row>
    <row r="1420" spans="1:1" x14ac:dyDescent="0.25">
      <c r="A1420" t="s">
        <v>1484</v>
      </c>
    </row>
    <row r="1421" spans="1:1" x14ac:dyDescent="0.25">
      <c r="A1421" t="s">
        <v>1485</v>
      </c>
    </row>
    <row r="1422" spans="1:1" x14ac:dyDescent="0.25">
      <c r="A1422" t="s">
        <v>1486</v>
      </c>
    </row>
    <row r="1423" spans="1:1" x14ac:dyDescent="0.25">
      <c r="A1423" t="s">
        <v>1487</v>
      </c>
    </row>
    <row r="1424" spans="1:1" x14ac:dyDescent="0.25">
      <c r="A1424" t="s">
        <v>1488</v>
      </c>
    </row>
    <row r="1425" spans="1:1" x14ac:dyDescent="0.25">
      <c r="A1425" t="s">
        <v>1489</v>
      </c>
    </row>
    <row r="1426" spans="1:1" x14ac:dyDescent="0.25">
      <c r="A1426" t="s">
        <v>1490</v>
      </c>
    </row>
    <row r="1427" spans="1:1" x14ac:dyDescent="0.25">
      <c r="A1427" t="s">
        <v>1491</v>
      </c>
    </row>
    <row r="1428" spans="1:1" x14ac:dyDescent="0.25">
      <c r="A1428" t="s">
        <v>1492</v>
      </c>
    </row>
    <row r="1429" spans="1:1" x14ac:dyDescent="0.25">
      <c r="A1429" t="s">
        <v>1493</v>
      </c>
    </row>
    <row r="1430" spans="1:1" x14ac:dyDescent="0.25">
      <c r="A1430" t="s">
        <v>1494</v>
      </c>
    </row>
    <row r="1431" spans="1:1" x14ac:dyDescent="0.25">
      <c r="A1431" t="s">
        <v>1495</v>
      </c>
    </row>
    <row r="1432" spans="1:1" x14ac:dyDescent="0.25">
      <c r="A1432" t="s">
        <v>1496</v>
      </c>
    </row>
    <row r="1433" spans="1:1" x14ac:dyDescent="0.25">
      <c r="A1433" t="s">
        <v>1497</v>
      </c>
    </row>
    <row r="1434" spans="1:1" x14ac:dyDescent="0.25">
      <c r="A1434" t="s">
        <v>1498</v>
      </c>
    </row>
    <row r="1435" spans="1:1" x14ac:dyDescent="0.25">
      <c r="A1435" t="s">
        <v>1499</v>
      </c>
    </row>
    <row r="1436" spans="1:1" x14ac:dyDescent="0.25">
      <c r="A1436" t="s">
        <v>1500</v>
      </c>
    </row>
    <row r="1437" spans="1:1" x14ac:dyDescent="0.25">
      <c r="A1437" t="s">
        <v>1501</v>
      </c>
    </row>
    <row r="1438" spans="1:1" x14ac:dyDescent="0.25">
      <c r="A1438" t="s">
        <v>1502</v>
      </c>
    </row>
    <row r="1439" spans="1:1" x14ac:dyDescent="0.25">
      <c r="A1439" t="s">
        <v>1503</v>
      </c>
    </row>
    <row r="1440" spans="1:1" x14ac:dyDescent="0.25">
      <c r="A1440" t="s">
        <v>1504</v>
      </c>
    </row>
    <row r="1441" spans="1:1" x14ac:dyDescent="0.25">
      <c r="A1441" t="s">
        <v>1505</v>
      </c>
    </row>
    <row r="1442" spans="1:1" x14ac:dyDescent="0.25">
      <c r="A1442" t="s">
        <v>1506</v>
      </c>
    </row>
    <row r="1443" spans="1:1" x14ac:dyDescent="0.25">
      <c r="A1443" t="s">
        <v>1507</v>
      </c>
    </row>
    <row r="1444" spans="1:1" x14ac:dyDescent="0.25">
      <c r="A1444" t="s">
        <v>1508</v>
      </c>
    </row>
    <row r="1445" spans="1:1" x14ac:dyDescent="0.25">
      <c r="A1445" t="s">
        <v>1509</v>
      </c>
    </row>
    <row r="1446" spans="1:1" x14ac:dyDescent="0.25">
      <c r="A1446" t="s">
        <v>1510</v>
      </c>
    </row>
    <row r="1447" spans="1:1" x14ac:dyDescent="0.25">
      <c r="A1447" t="s">
        <v>1511</v>
      </c>
    </row>
    <row r="1448" spans="1:1" x14ac:dyDescent="0.25">
      <c r="A1448" t="s">
        <v>1512</v>
      </c>
    </row>
    <row r="1449" spans="1:1" x14ac:dyDescent="0.25">
      <c r="A1449" t="s">
        <v>1513</v>
      </c>
    </row>
    <row r="1450" spans="1:1" x14ac:dyDescent="0.25">
      <c r="A1450" t="s">
        <v>1514</v>
      </c>
    </row>
    <row r="1451" spans="1:1" x14ac:dyDescent="0.25">
      <c r="A1451" t="s">
        <v>1515</v>
      </c>
    </row>
    <row r="1452" spans="1:1" x14ac:dyDescent="0.25">
      <c r="A1452" t="s">
        <v>1516</v>
      </c>
    </row>
    <row r="1453" spans="1:1" x14ac:dyDescent="0.25">
      <c r="A1453" t="s">
        <v>1517</v>
      </c>
    </row>
    <row r="1454" spans="1:1" x14ac:dyDescent="0.25">
      <c r="A1454" t="s">
        <v>1518</v>
      </c>
    </row>
    <row r="1455" spans="1:1" x14ac:dyDescent="0.25">
      <c r="A1455" t="s">
        <v>1519</v>
      </c>
    </row>
    <row r="1456" spans="1:1" x14ac:dyDescent="0.25">
      <c r="A1456" t="s">
        <v>1520</v>
      </c>
    </row>
    <row r="1457" spans="1:1" x14ac:dyDescent="0.25">
      <c r="A1457" t="s">
        <v>1521</v>
      </c>
    </row>
    <row r="1458" spans="1:1" x14ac:dyDescent="0.25">
      <c r="A1458" t="s">
        <v>1522</v>
      </c>
    </row>
    <row r="1459" spans="1:1" x14ac:dyDescent="0.25">
      <c r="A1459" t="s">
        <v>1523</v>
      </c>
    </row>
    <row r="1460" spans="1:1" x14ac:dyDescent="0.25">
      <c r="A1460" t="s">
        <v>1524</v>
      </c>
    </row>
    <row r="1461" spans="1:1" x14ac:dyDescent="0.25">
      <c r="A1461" t="s">
        <v>1525</v>
      </c>
    </row>
    <row r="1462" spans="1:1" x14ac:dyDescent="0.25">
      <c r="A1462" t="s">
        <v>1526</v>
      </c>
    </row>
    <row r="1463" spans="1:1" x14ac:dyDescent="0.25">
      <c r="A1463" t="s">
        <v>1527</v>
      </c>
    </row>
    <row r="1464" spans="1:1" x14ac:dyDescent="0.25">
      <c r="A1464" t="s">
        <v>1528</v>
      </c>
    </row>
    <row r="1465" spans="1:1" x14ac:dyDescent="0.25">
      <c r="A1465" t="s">
        <v>1529</v>
      </c>
    </row>
    <row r="1466" spans="1:1" x14ac:dyDescent="0.25">
      <c r="A1466" t="s">
        <v>1530</v>
      </c>
    </row>
    <row r="1467" spans="1:1" x14ac:dyDescent="0.25">
      <c r="A1467" t="s">
        <v>1531</v>
      </c>
    </row>
    <row r="1468" spans="1:1" x14ac:dyDescent="0.25">
      <c r="A1468" t="s">
        <v>1532</v>
      </c>
    </row>
    <row r="1469" spans="1:1" x14ac:dyDescent="0.25">
      <c r="A1469" t="s">
        <v>1533</v>
      </c>
    </row>
    <row r="1470" spans="1:1" x14ac:dyDescent="0.25">
      <c r="A1470" t="s">
        <v>1534</v>
      </c>
    </row>
    <row r="1471" spans="1:1" x14ac:dyDescent="0.25">
      <c r="A1471" t="s">
        <v>1535</v>
      </c>
    </row>
    <row r="1472" spans="1:1" x14ac:dyDescent="0.25">
      <c r="A1472" t="s">
        <v>1536</v>
      </c>
    </row>
    <row r="1473" spans="1:1" x14ac:dyDescent="0.25">
      <c r="A1473" t="s">
        <v>1537</v>
      </c>
    </row>
    <row r="1474" spans="1:1" x14ac:dyDescent="0.25">
      <c r="A1474" t="s">
        <v>1538</v>
      </c>
    </row>
    <row r="1475" spans="1:1" x14ac:dyDescent="0.25">
      <c r="A1475" t="s">
        <v>1539</v>
      </c>
    </row>
    <row r="1476" spans="1:1" x14ac:dyDescent="0.25">
      <c r="A1476" t="s">
        <v>1540</v>
      </c>
    </row>
    <row r="1477" spans="1:1" x14ac:dyDescent="0.25">
      <c r="A1477" t="s">
        <v>1541</v>
      </c>
    </row>
    <row r="1478" spans="1:1" x14ac:dyDescent="0.25">
      <c r="A1478" t="s">
        <v>1542</v>
      </c>
    </row>
    <row r="1479" spans="1:1" x14ac:dyDescent="0.25">
      <c r="A1479" t="s">
        <v>1543</v>
      </c>
    </row>
    <row r="1480" spans="1:1" x14ac:dyDescent="0.25">
      <c r="A1480" t="s">
        <v>1544</v>
      </c>
    </row>
    <row r="1481" spans="1:1" x14ac:dyDescent="0.25">
      <c r="A1481" t="s">
        <v>1545</v>
      </c>
    </row>
    <row r="1482" spans="1:1" x14ac:dyDescent="0.25">
      <c r="A1482" t="s">
        <v>1546</v>
      </c>
    </row>
    <row r="1483" spans="1:1" x14ac:dyDescent="0.25">
      <c r="A1483" t="s">
        <v>1547</v>
      </c>
    </row>
    <row r="1484" spans="1:1" x14ac:dyDescent="0.25">
      <c r="A1484" t="s">
        <v>1548</v>
      </c>
    </row>
    <row r="1485" spans="1:1" x14ac:dyDescent="0.25">
      <c r="A1485" t="s">
        <v>1549</v>
      </c>
    </row>
    <row r="1486" spans="1:1" x14ac:dyDescent="0.25">
      <c r="A1486" t="s">
        <v>1550</v>
      </c>
    </row>
    <row r="1487" spans="1:1" x14ac:dyDescent="0.25">
      <c r="A1487" t="s">
        <v>1551</v>
      </c>
    </row>
    <row r="1488" spans="1:1" x14ac:dyDescent="0.25">
      <c r="A1488" t="s">
        <v>1552</v>
      </c>
    </row>
    <row r="1489" spans="1:1" x14ac:dyDescent="0.25">
      <c r="A1489" t="s">
        <v>1553</v>
      </c>
    </row>
    <row r="1490" spans="1:1" x14ac:dyDescent="0.25">
      <c r="A1490" t="s">
        <v>1554</v>
      </c>
    </row>
    <row r="1491" spans="1:1" x14ac:dyDescent="0.25">
      <c r="A1491" t="s">
        <v>1555</v>
      </c>
    </row>
    <row r="1492" spans="1:1" x14ac:dyDescent="0.25">
      <c r="A1492" t="s">
        <v>1556</v>
      </c>
    </row>
    <row r="1493" spans="1:1" x14ac:dyDescent="0.25">
      <c r="A1493" t="s">
        <v>1557</v>
      </c>
    </row>
    <row r="1494" spans="1:1" x14ac:dyDescent="0.25">
      <c r="A1494" t="s">
        <v>1558</v>
      </c>
    </row>
    <row r="1495" spans="1:1" x14ac:dyDescent="0.25">
      <c r="A1495" t="s">
        <v>1559</v>
      </c>
    </row>
    <row r="1496" spans="1:1" x14ac:dyDescent="0.25">
      <c r="A1496" t="s">
        <v>1560</v>
      </c>
    </row>
    <row r="1497" spans="1:1" x14ac:dyDescent="0.25">
      <c r="A1497" t="s">
        <v>1561</v>
      </c>
    </row>
    <row r="1498" spans="1:1" x14ac:dyDescent="0.25">
      <c r="A1498" t="s">
        <v>1562</v>
      </c>
    </row>
    <row r="1499" spans="1:1" x14ac:dyDescent="0.25">
      <c r="A1499" t="s">
        <v>1563</v>
      </c>
    </row>
    <row r="1500" spans="1:1" x14ac:dyDescent="0.25">
      <c r="A1500" t="s">
        <v>1564</v>
      </c>
    </row>
    <row r="1501" spans="1:1" x14ac:dyDescent="0.25">
      <c r="A1501" t="s">
        <v>1565</v>
      </c>
    </row>
    <row r="1502" spans="1:1" x14ac:dyDescent="0.25">
      <c r="A1502" t="s">
        <v>1566</v>
      </c>
    </row>
    <row r="1503" spans="1:1" x14ac:dyDescent="0.25">
      <c r="A1503" t="s">
        <v>1567</v>
      </c>
    </row>
    <row r="1504" spans="1:1" x14ac:dyDescent="0.25">
      <c r="A1504" t="s">
        <v>1568</v>
      </c>
    </row>
    <row r="1505" spans="1:1" x14ac:dyDescent="0.25">
      <c r="A1505" t="s">
        <v>1569</v>
      </c>
    </row>
    <row r="1506" spans="1:1" x14ac:dyDescent="0.25">
      <c r="A1506" t="s">
        <v>1570</v>
      </c>
    </row>
    <row r="1507" spans="1:1" x14ac:dyDescent="0.25">
      <c r="A1507" t="s">
        <v>1571</v>
      </c>
    </row>
    <row r="1508" spans="1:1" x14ac:dyDescent="0.25">
      <c r="A1508" t="s">
        <v>1572</v>
      </c>
    </row>
    <row r="1509" spans="1:1" x14ac:dyDescent="0.25">
      <c r="A1509" t="s">
        <v>1573</v>
      </c>
    </row>
    <row r="1510" spans="1:1" x14ac:dyDescent="0.25">
      <c r="A1510" t="s">
        <v>1574</v>
      </c>
    </row>
    <row r="1511" spans="1:1" x14ac:dyDescent="0.25">
      <c r="A1511" t="s">
        <v>1575</v>
      </c>
    </row>
    <row r="1512" spans="1:1" x14ac:dyDescent="0.25">
      <c r="A1512" t="s">
        <v>1576</v>
      </c>
    </row>
    <row r="1513" spans="1:1" x14ac:dyDescent="0.25">
      <c r="A1513" t="s">
        <v>1577</v>
      </c>
    </row>
    <row r="1514" spans="1:1" x14ac:dyDescent="0.25">
      <c r="A1514" t="s">
        <v>1578</v>
      </c>
    </row>
    <row r="1515" spans="1:1" x14ac:dyDescent="0.25">
      <c r="A1515" t="s">
        <v>1579</v>
      </c>
    </row>
    <row r="1516" spans="1:1" x14ac:dyDescent="0.25">
      <c r="A1516" t="s">
        <v>1580</v>
      </c>
    </row>
    <row r="1517" spans="1:1" x14ac:dyDescent="0.25">
      <c r="A1517" t="s">
        <v>1581</v>
      </c>
    </row>
    <row r="1518" spans="1:1" x14ac:dyDescent="0.25">
      <c r="A1518" t="s">
        <v>1582</v>
      </c>
    </row>
    <row r="1519" spans="1:1" x14ac:dyDescent="0.25">
      <c r="A1519" t="s">
        <v>1583</v>
      </c>
    </row>
    <row r="1520" spans="1:1" x14ac:dyDescent="0.25">
      <c r="A1520" t="s">
        <v>1584</v>
      </c>
    </row>
    <row r="1521" spans="1:1" x14ac:dyDescent="0.25">
      <c r="A1521" t="s">
        <v>1585</v>
      </c>
    </row>
    <row r="1522" spans="1:1" x14ac:dyDescent="0.25">
      <c r="A1522" t="s">
        <v>1586</v>
      </c>
    </row>
    <row r="1523" spans="1:1" x14ac:dyDescent="0.25">
      <c r="A1523" t="s">
        <v>1587</v>
      </c>
    </row>
    <row r="1524" spans="1:1" x14ac:dyDescent="0.25">
      <c r="A1524" t="s">
        <v>1588</v>
      </c>
    </row>
    <row r="1525" spans="1:1" x14ac:dyDescent="0.25">
      <c r="A1525" t="s">
        <v>1589</v>
      </c>
    </row>
    <row r="1526" spans="1:1" x14ac:dyDescent="0.25">
      <c r="A1526" t="s">
        <v>1590</v>
      </c>
    </row>
    <row r="1527" spans="1:1" x14ac:dyDescent="0.25">
      <c r="A1527" t="s">
        <v>1591</v>
      </c>
    </row>
    <row r="1528" spans="1:1" x14ac:dyDescent="0.25">
      <c r="A1528" t="s">
        <v>1592</v>
      </c>
    </row>
    <row r="1529" spans="1:1" x14ac:dyDescent="0.25">
      <c r="A1529" t="s">
        <v>1593</v>
      </c>
    </row>
    <row r="1530" spans="1:1" x14ac:dyDescent="0.25">
      <c r="A1530" t="s">
        <v>1594</v>
      </c>
    </row>
    <row r="1531" spans="1:1" x14ac:dyDescent="0.25">
      <c r="A1531" t="s">
        <v>1595</v>
      </c>
    </row>
    <row r="1532" spans="1:1" x14ac:dyDescent="0.25">
      <c r="A1532" t="s">
        <v>1596</v>
      </c>
    </row>
    <row r="1533" spans="1:1" x14ac:dyDescent="0.25">
      <c r="A1533" t="s">
        <v>1597</v>
      </c>
    </row>
    <row r="1534" spans="1:1" x14ac:dyDescent="0.25">
      <c r="A1534" t="s">
        <v>1598</v>
      </c>
    </row>
    <row r="1535" spans="1:1" x14ac:dyDescent="0.25">
      <c r="A1535" t="s">
        <v>1599</v>
      </c>
    </row>
    <row r="1536" spans="1:1" x14ac:dyDescent="0.25">
      <c r="A1536" t="s">
        <v>1600</v>
      </c>
    </row>
    <row r="1537" spans="1:1" x14ac:dyDescent="0.25">
      <c r="A1537" t="s">
        <v>1601</v>
      </c>
    </row>
    <row r="1538" spans="1:1" x14ac:dyDescent="0.25">
      <c r="A1538" t="s">
        <v>1602</v>
      </c>
    </row>
    <row r="1539" spans="1:1" x14ac:dyDescent="0.25">
      <c r="A1539" t="s">
        <v>1603</v>
      </c>
    </row>
    <row r="1540" spans="1:1" x14ac:dyDescent="0.25">
      <c r="A1540" t="s">
        <v>1604</v>
      </c>
    </row>
    <row r="1541" spans="1:1" x14ac:dyDescent="0.25">
      <c r="A1541" t="s">
        <v>1605</v>
      </c>
    </row>
    <row r="1542" spans="1:1" x14ac:dyDescent="0.25">
      <c r="A1542" t="s">
        <v>1606</v>
      </c>
    </row>
    <row r="1543" spans="1:1" x14ac:dyDescent="0.25">
      <c r="A1543" t="s">
        <v>1607</v>
      </c>
    </row>
    <row r="1544" spans="1:1" x14ac:dyDescent="0.25">
      <c r="A1544" t="s">
        <v>1608</v>
      </c>
    </row>
    <row r="1545" spans="1:1" x14ac:dyDescent="0.25">
      <c r="A1545" t="s">
        <v>1609</v>
      </c>
    </row>
    <row r="1546" spans="1:1" x14ac:dyDescent="0.25">
      <c r="A1546" t="s">
        <v>1610</v>
      </c>
    </row>
    <row r="1547" spans="1:1" x14ac:dyDescent="0.25">
      <c r="A1547" t="s">
        <v>1611</v>
      </c>
    </row>
    <row r="1548" spans="1:1" x14ac:dyDescent="0.25">
      <c r="A1548" t="s">
        <v>1612</v>
      </c>
    </row>
    <row r="1549" spans="1:1" x14ac:dyDescent="0.25">
      <c r="A1549" t="s">
        <v>1613</v>
      </c>
    </row>
    <row r="1550" spans="1:1" x14ac:dyDescent="0.25">
      <c r="A1550" t="s">
        <v>1614</v>
      </c>
    </row>
    <row r="1551" spans="1:1" x14ac:dyDescent="0.25">
      <c r="A1551" t="s">
        <v>1615</v>
      </c>
    </row>
    <row r="1552" spans="1:1" x14ac:dyDescent="0.25">
      <c r="A1552" t="s">
        <v>1616</v>
      </c>
    </row>
    <row r="1553" spans="1:1" x14ac:dyDescent="0.25">
      <c r="A1553" t="s">
        <v>1617</v>
      </c>
    </row>
    <row r="1554" spans="1:1" x14ac:dyDescent="0.25">
      <c r="A1554" t="s">
        <v>1618</v>
      </c>
    </row>
    <row r="1555" spans="1:1" x14ac:dyDescent="0.25">
      <c r="A1555" t="s">
        <v>1619</v>
      </c>
    </row>
    <row r="1556" spans="1:1" x14ac:dyDescent="0.25">
      <c r="A1556" t="s">
        <v>1620</v>
      </c>
    </row>
    <row r="1557" spans="1:1" x14ac:dyDescent="0.25">
      <c r="A1557" t="s">
        <v>1621</v>
      </c>
    </row>
    <row r="1558" spans="1:1" x14ac:dyDescent="0.25">
      <c r="A1558" t="s">
        <v>1622</v>
      </c>
    </row>
    <row r="1559" spans="1:1" x14ac:dyDescent="0.25">
      <c r="A1559" t="s">
        <v>1623</v>
      </c>
    </row>
    <row r="1560" spans="1:1" x14ac:dyDescent="0.25">
      <c r="A1560" t="s">
        <v>1624</v>
      </c>
    </row>
    <row r="1561" spans="1:1" x14ac:dyDescent="0.25">
      <c r="A1561" t="s">
        <v>1625</v>
      </c>
    </row>
    <row r="1562" spans="1:1" x14ac:dyDescent="0.25">
      <c r="A1562" t="s">
        <v>1626</v>
      </c>
    </row>
    <row r="1563" spans="1:1" x14ac:dyDescent="0.25">
      <c r="A1563" t="s">
        <v>1627</v>
      </c>
    </row>
    <row r="1564" spans="1:1" x14ac:dyDescent="0.25">
      <c r="A1564" t="s">
        <v>1628</v>
      </c>
    </row>
    <row r="1565" spans="1:1" x14ac:dyDescent="0.25">
      <c r="A1565" t="s">
        <v>1629</v>
      </c>
    </row>
    <row r="1566" spans="1:1" x14ac:dyDescent="0.25">
      <c r="A1566" t="s">
        <v>1630</v>
      </c>
    </row>
    <row r="1567" spans="1:1" x14ac:dyDescent="0.25">
      <c r="A1567" t="s">
        <v>1631</v>
      </c>
    </row>
    <row r="1568" spans="1:1" x14ac:dyDescent="0.25">
      <c r="A1568" t="s">
        <v>1632</v>
      </c>
    </row>
    <row r="1569" spans="1:1" x14ac:dyDescent="0.25">
      <c r="A1569" t="s">
        <v>1633</v>
      </c>
    </row>
    <row r="1570" spans="1:1" x14ac:dyDescent="0.25">
      <c r="A1570" t="s">
        <v>1634</v>
      </c>
    </row>
    <row r="1571" spans="1:1" x14ac:dyDescent="0.25">
      <c r="A1571" t="s">
        <v>1635</v>
      </c>
    </row>
    <row r="1572" spans="1:1" x14ac:dyDescent="0.25">
      <c r="A1572" t="s">
        <v>1636</v>
      </c>
    </row>
    <row r="1573" spans="1:1" x14ac:dyDescent="0.25">
      <c r="A1573" t="s">
        <v>1637</v>
      </c>
    </row>
    <row r="1574" spans="1:1" x14ac:dyDescent="0.25">
      <c r="A1574" t="s">
        <v>1638</v>
      </c>
    </row>
    <row r="1575" spans="1:1" x14ac:dyDescent="0.25">
      <c r="A1575" t="s">
        <v>1639</v>
      </c>
    </row>
    <row r="1576" spans="1:1" x14ac:dyDescent="0.25">
      <c r="A1576" t="s">
        <v>1640</v>
      </c>
    </row>
    <row r="1577" spans="1:1" x14ac:dyDescent="0.25">
      <c r="A1577" t="s">
        <v>1641</v>
      </c>
    </row>
    <row r="1578" spans="1:1" x14ac:dyDescent="0.25">
      <c r="A1578" t="s">
        <v>1642</v>
      </c>
    </row>
    <row r="1579" spans="1:1" x14ac:dyDescent="0.25">
      <c r="A1579" t="s">
        <v>1643</v>
      </c>
    </row>
    <row r="1580" spans="1:1" x14ac:dyDescent="0.25">
      <c r="A1580" t="s">
        <v>1644</v>
      </c>
    </row>
    <row r="1581" spans="1:1" x14ac:dyDescent="0.25">
      <c r="A1581" t="s">
        <v>1645</v>
      </c>
    </row>
    <row r="1582" spans="1:1" x14ac:dyDescent="0.25">
      <c r="A1582" t="s">
        <v>1646</v>
      </c>
    </row>
    <row r="1583" spans="1:1" x14ac:dyDescent="0.25">
      <c r="A1583" t="s">
        <v>1647</v>
      </c>
    </row>
    <row r="1584" spans="1:1" x14ac:dyDescent="0.25">
      <c r="A1584" t="s">
        <v>1648</v>
      </c>
    </row>
    <row r="1585" spans="1:1" x14ac:dyDescent="0.25">
      <c r="A1585" t="s">
        <v>1649</v>
      </c>
    </row>
    <row r="1586" spans="1:1" x14ac:dyDescent="0.25">
      <c r="A1586" t="s">
        <v>1650</v>
      </c>
    </row>
    <row r="1587" spans="1:1" x14ac:dyDescent="0.25">
      <c r="A1587" t="s">
        <v>1651</v>
      </c>
    </row>
    <row r="1588" spans="1:1" x14ac:dyDescent="0.25">
      <c r="A1588" t="s">
        <v>1652</v>
      </c>
    </row>
    <row r="1589" spans="1:1" x14ac:dyDescent="0.25">
      <c r="A1589" t="s">
        <v>1653</v>
      </c>
    </row>
    <row r="1590" spans="1:1" x14ac:dyDescent="0.25">
      <c r="A1590" t="s">
        <v>1654</v>
      </c>
    </row>
    <row r="1591" spans="1:1" x14ac:dyDescent="0.25">
      <c r="A1591" t="s">
        <v>1655</v>
      </c>
    </row>
    <row r="1592" spans="1:1" x14ac:dyDescent="0.25">
      <c r="A1592" t="s">
        <v>1656</v>
      </c>
    </row>
    <row r="1593" spans="1:1" x14ac:dyDescent="0.25">
      <c r="A1593" t="s">
        <v>1657</v>
      </c>
    </row>
    <row r="1594" spans="1:1" x14ac:dyDescent="0.25">
      <c r="A1594" t="s">
        <v>1658</v>
      </c>
    </row>
    <row r="1595" spans="1:1" x14ac:dyDescent="0.25">
      <c r="A1595" t="s">
        <v>1659</v>
      </c>
    </row>
    <row r="1596" spans="1:1" x14ac:dyDescent="0.25">
      <c r="A1596" t="s">
        <v>1660</v>
      </c>
    </row>
    <row r="1597" spans="1:1" x14ac:dyDescent="0.25">
      <c r="A1597" t="s">
        <v>1661</v>
      </c>
    </row>
    <row r="1598" spans="1:1" x14ac:dyDescent="0.25">
      <c r="A1598" t="s">
        <v>1662</v>
      </c>
    </row>
    <row r="1599" spans="1:1" x14ac:dyDescent="0.25">
      <c r="A1599" t="s">
        <v>1663</v>
      </c>
    </row>
    <row r="1600" spans="1:1" x14ac:dyDescent="0.25">
      <c r="A1600" t="s">
        <v>1664</v>
      </c>
    </row>
    <row r="1601" spans="1:1" x14ac:dyDescent="0.25">
      <c r="A1601" t="s">
        <v>1665</v>
      </c>
    </row>
    <row r="1602" spans="1:1" x14ac:dyDescent="0.25">
      <c r="A1602" t="s">
        <v>1666</v>
      </c>
    </row>
    <row r="1603" spans="1:1" x14ac:dyDescent="0.25">
      <c r="A1603" t="s">
        <v>1667</v>
      </c>
    </row>
    <row r="1604" spans="1:1" x14ac:dyDescent="0.25">
      <c r="A1604" t="s">
        <v>1668</v>
      </c>
    </row>
    <row r="1605" spans="1:1" x14ac:dyDescent="0.25">
      <c r="A1605" t="s">
        <v>1669</v>
      </c>
    </row>
    <row r="1606" spans="1:1" x14ac:dyDescent="0.25">
      <c r="A1606" t="s">
        <v>1670</v>
      </c>
    </row>
    <row r="1607" spans="1:1" x14ac:dyDescent="0.25">
      <c r="A1607" t="s">
        <v>1671</v>
      </c>
    </row>
    <row r="1608" spans="1:1" x14ac:dyDescent="0.25">
      <c r="A1608" t="s">
        <v>1672</v>
      </c>
    </row>
    <row r="1609" spans="1:1" x14ac:dyDescent="0.25">
      <c r="A1609" t="s">
        <v>1673</v>
      </c>
    </row>
    <row r="1610" spans="1:1" x14ac:dyDescent="0.25">
      <c r="A1610" t="s">
        <v>1674</v>
      </c>
    </row>
    <row r="1611" spans="1:1" x14ac:dyDescent="0.25">
      <c r="A1611" t="s">
        <v>1675</v>
      </c>
    </row>
    <row r="1612" spans="1:1" x14ac:dyDescent="0.25">
      <c r="A1612" t="s">
        <v>1676</v>
      </c>
    </row>
    <row r="1613" spans="1:1" x14ac:dyDescent="0.25">
      <c r="A1613" t="s">
        <v>1677</v>
      </c>
    </row>
    <row r="1614" spans="1:1" x14ac:dyDescent="0.25">
      <c r="A1614" t="s">
        <v>1678</v>
      </c>
    </row>
    <row r="1615" spans="1:1" x14ac:dyDescent="0.25">
      <c r="A1615" t="s">
        <v>1679</v>
      </c>
    </row>
    <row r="1616" spans="1:1" x14ac:dyDescent="0.25">
      <c r="A1616" t="s">
        <v>1680</v>
      </c>
    </row>
    <row r="1617" spans="1:1" x14ac:dyDescent="0.25">
      <c r="A1617" t="s">
        <v>1681</v>
      </c>
    </row>
    <row r="1618" spans="1:1" x14ac:dyDescent="0.25">
      <c r="A1618" t="s">
        <v>1682</v>
      </c>
    </row>
    <row r="1619" spans="1:1" x14ac:dyDescent="0.25">
      <c r="A1619" t="s">
        <v>1683</v>
      </c>
    </row>
    <row r="1620" spans="1:1" x14ac:dyDescent="0.25">
      <c r="A1620" t="s">
        <v>1684</v>
      </c>
    </row>
    <row r="1621" spans="1:1" x14ac:dyDescent="0.25">
      <c r="A1621" t="s">
        <v>1685</v>
      </c>
    </row>
    <row r="1622" spans="1:1" x14ac:dyDescent="0.25">
      <c r="A1622" t="s">
        <v>1686</v>
      </c>
    </row>
    <row r="1623" spans="1:1" x14ac:dyDescent="0.25">
      <c r="A1623" t="s">
        <v>1687</v>
      </c>
    </row>
    <row r="1624" spans="1:1" x14ac:dyDescent="0.25">
      <c r="A1624" t="s">
        <v>1688</v>
      </c>
    </row>
    <row r="1625" spans="1:1" x14ac:dyDescent="0.25">
      <c r="A1625" t="s">
        <v>1689</v>
      </c>
    </row>
    <row r="1626" spans="1:1" x14ac:dyDescent="0.25">
      <c r="A1626" t="s">
        <v>1690</v>
      </c>
    </row>
    <row r="1627" spans="1:1" x14ac:dyDescent="0.25">
      <c r="A1627" t="s">
        <v>1691</v>
      </c>
    </row>
    <row r="1628" spans="1:1" x14ac:dyDescent="0.25">
      <c r="A1628" t="s">
        <v>1692</v>
      </c>
    </row>
    <row r="1629" spans="1:1" x14ac:dyDescent="0.25">
      <c r="A1629" t="s">
        <v>1693</v>
      </c>
    </row>
    <row r="1630" spans="1:1" x14ac:dyDescent="0.25">
      <c r="A1630" t="s">
        <v>1694</v>
      </c>
    </row>
    <row r="1631" spans="1:1" x14ac:dyDescent="0.25">
      <c r="A1631" t="s">
        <v>1695</v>
      </c>
    </row>
    <row r="1632" spans="1:1" x14ac:dyDescent="0.25">
      <c r="A1632" t="s">
        <v>1696</v>
      </c>
    </row>
    <row r="1633" spans="1:1" x14ac:dyDescent="0.25">
      <c r="A1633" t="s">
        <v>1697</v>
      </c>
    </row>
    <row r="1634" spans="1:1" x14ac:dyDescent="0.25">
      <c r="A1634" t="s">
        <v>1698</v>
      </c>
    </row>
    <row r="1635" spans="1:1" x14ac:dyDescent="0.25">
      <c r="A1635" t="s">
        <v>1699</v>
      </c>
    </row>
    <row r="1636" spans="1:1" x14ac:dyDescent="0.25">
      <c r="A1636" t="s">
        <v>1700</v>
      </c>
    </row>
    <row r="1637" spans="1:1" x14ac:dyDescent="0.25">
      <c r="A1637" t="s">
        <v>1701</v>
      </c>
    </row>
    <row r="1638" spans="1:1" x14ac:dyDescent="0.25">
      <c r="A1638" t="s">
        <v>1702</v>
      </c>
    </row>
    <row r="1639" spans="1:1" x14ac:dyDescent="0.25">
      <c r="A1639" t="s">
        <v>1703</v>
      </c>
    </row>
    <row r="1640" spans="1:1" x14ac:dyDescent="0.25">
      <c r="A1640" t="s">
        <v>1704</v>
      </c>
    </row>
    <row r="1641" spans="1:1" x14ac:dyDescent="0.25">
      <c r="A1641" t="s">
        <v>1705</v>
      </c>
    </row>
    <row r="1642" spans="1:1" x14ac:dyDescent="0.25">
      <c r="A1642" t="s">
        <v>1706</v>
      </c>
    </row>
    <row r="1643" spans="1:1" x14ac:dyDescent="0.25">
      <c r="A1643" t="s">
        <v>1707</v>
      </c>
    </row>
    <row r="1644" spans="1:1" x14ac:dyDescent="0.25">
      <c r="A1644" t="s">
        <v>1708</v>
      </c>
    </row>
    <row r="1645" spans="1:1" x14ac:dyDescent="0.25">
      <c r="A1645" t="s">
        <v>1709</v>
      </c>
    </row>
    <row r="1646" spans="1:1" x14ac:dyDescent="0.25">
      <c r="A1646" t="s">
        <v>1710</v>
      </c>
    </row>
    <row r="1647" spans="1:1" x14ac:dyDescent="0.25">
      <c r="A1647" t="s">
        <v>1711</v>
      </c>
    </row>
    <row r="1648" spans="1:1" x14ac:dyDescent="0.25">
      <c r="A1648" t="s">
        <v>1712</v>
      </c>
    </row>
    <row r="1649" spans="1:1" x14ac:dyDescent="0.25">
      <c r="A1649" t="s">
        <v>1713</v>
      </c>
    </row>
    <row r="1650" spans="1:1" x14ac:dyDescent="0.25">
      <c r="A1650" t="s">
        <v>1714</v>
      </c>
    </row>
    <row r="1651" spans="1:1" x14ac:dyDescent="0.25">
      <c r="A1651" t="s">
        <v>1715</v>
      </c>
    </row>
    <row r="1652" spans="1:1" x14ac:dyDescent="0.25">
      <c r="A1652" t="s">
        <v>1716</v>
      </c>
    </row>
    <row r="1653" spans="1:1" x14ac:dyDescent="0.25">
      <c r="A1653" t="s">
        <v>1717</v>
      </c>
    </row>
    <row r="1654" spans="1:1" x14ac:dyDescent="0.25">
      <c r="A1654" t="s">
        <v>1718</v>
      </c>
    </row>
    <row r="1655" spans="1:1" x14ac:dyDescent="0.25">
      <c r="A1655" t="s">
        <v>1719</v>
      </c>
    </row>
    <row r="1656" spans="1:1" x14ac:dyDescent="0.25">
      <c r="A1656" t="s">
        <v>1720</v>
      </c>
    </row>
    <row r="1657" spans="1:1" x14ac:dyDescent="0.25">
      <c r="A1657" t="s">
        <v>1721</v>
      </c>
    </row>
    <row r="1658" spans="1:1" x14ac:dyDescent="0.25">
      <c r="A1658" t="s">
        <v>1722</v>
      </c>
    </row>
    <row r="1659" spans="1:1" x14ac:dyDescent="0.25">
      <c r="A1659" t="s">
        <v>1723</v>
      </c>
    </row>
    <row r="1660" spans="1:1" x14ac:dyDescent="0.25">
      <c r="A1660" t="s">
        <v>1724</v>
      </c>
    </row>
    <row r="1661" spans="1:1" x14ac:dyDescent="0.25">
      <c r="A1661" t="s">
        <v>1725</v>
      </c>
    </row>
    <row r="1662" spans="1:1" x14ac:dyDescent="0.25">
      <c r="A1662" t="s">
        <v>1726</v>
      </c>
    </row>
    <row r="1663" spans="1:1" x14ac:dyDescent="0.25">
      <c r="A1663" t="s">
        <v>1727</v>
      </c>
    </row>
    <row r="1664" spans="1:1" x14ac:dyDescent="0.25">
      <c r="A1664" t="s">
        <v>1728</v>
      </c>
    </row>
    <row r="1665" spans="1:1" x14ac:dyDescent="0.25">
      <c r="A1665" t="s">
        <v>1729</v>
      </c>
    </row>
    <row r="1666" spans="1:1" x14ac:dyDescent="0.25">
      <c r="A1666" t="s">
        <v>1730</v>
      </c>
    </row>
    <row r="1667" spans="1:1" x14ac:dyDescent="0.25">
      <c r="A1667" t="s">
        <v>1731</v>
      </c>
    </row>
    <row r="1668" spans="1:1" x14ac:dyDescent="0.25">
      <c r="A1668" t="s">
        <v>1732</v>
      </c>
    </row>
    <row r="1669" spans="1:1" x14ac:dyDescent="0.25">
      <c r="A1669" t="s">
        <v>1733</v>
      </c>
    </row>
    <row r="1670" spans="1:1" x14ac:dyDescent="0.25">
      <c r="A1670" t="s">
        <v>1734</v>
      </c>
    </row>
    <row r="1671" spans="1:1" x14ac:dyDescent="0.25">
      <c r="A1671" t="s">
        <v>1735</v>
      </c>
    </row>
    <row r="1672" spans="1:1" x14ac:dyDescent="0.25">
      <c r="A1672" t="s">
        <v>1736</v>
      </c>
    </row>
    <row r="1673" spans="1:1" x14ac:dyDescent="0.25">
      <c r="A1673" t="s">
        <v>1737</v>
      </c>
    </row>
    <row r="1674" spans="1:1" x14ac:dyDescent="0.25">
      <c r="A1674" t="s">
        <v>1738</v>
      </c>
    </row>
    <row r="1675" spans="1:1" x14ac:dyDescent="0.25">
      <c r="A1675" t="s">
        <v>1739</v>
      </c>
    </row>
    <row r="1676" spans="1:1" x14ac:dyDescent="0.25">
      <c r="A1676" t="s">
        <v>1740</v>
      </c>
    </row>
    <row r="1677" spans="1:1" x14ac:dyDescent="0.25">
      <c r="A1677" t="s">
        <v>1741</v>
      </c>
    </row>
    <row r="1678" spans="1:1" x14ac:dyDescent="0.25">
      <c r="A1678" t="s">
        <v>1742</v>
      </c>
    </row>
    <row r="1679" spans="1:1" x14ac:dyDescent="0.25">
      <c r="A1679" t="s">
        <v>1743</v>
      </c>
    </row>
    <row r="1680" spans="1:1" x14ac:dyDescent="0.25">
      <c r="A1680" t="s">
        <v>1744</v>
      </c>
    </row>
    <row r="1681" spans="1:1" x14ac:dyDescent="0.25">
      <c r="A1681" t="s">
        <v>1745</v>
      </c>
    </row>
    <row r="1682" spans="1:1" x14ac:dyDescent="0.25">
      <c r="A1682" t="s">
        <v>1746</v>
      </c>
    </row>
    <row r="1683" spans="1:1" x14ac:dyDescent="0.25">
      <c r="A1683" t="s">
        <v>1747</v>
      </c>
    </row>
    <row r="1684" spans="1:1" x14ac:dyDescent="0.25">
      <c r="A1684" t="s">
        <v>1748</v>
      </c>
    </row>
    <row r="1685" spans="1:1" x14ac:dyDescent="0.25">
      <c r="A1685" t="s">
        <v>1749</v>
      </c>
    </row>
    <row r="1686" spans="1:1" x14ac:dyDescent="0.25">
      <c r="A1686" t="s">
        <v>1750</v>
      </c>
    </row>
    <row r="1687" spans="1:1" x14ac:dyDescent="0.25">
      <c r="A1687" t="s">
        <v>1751</v>
      </c>
    </row>
    <row r="1688" spans="1:1" x14ac:dyDescent="0.25">
      <c r="A1688" t="s">
        <v>1752</v>
      </c>
    </row>
    <row r="1689" spans="1:1" x14ac:dyDescent="0.25">
      <c r="A1689" t="s">
        <v>1753</v>
      </c>
    </row>
    <row r="1690" spans="1:1" x14ac:dyDescent="0.25">
      <c r="A1690" t="s">
        <v>1754</v>
      </c>
    </row>
    <row r="1691" spans="1:1" x14ac:dyDescent="0.25">
      <c r="A1691" t="s">
        <v>1755</v>
      </c>
    </row>
    <row r="1692" spans="1:1" x14ac:dyDescent="0.25">
      <c r="A1692" t="s">
        <v>1756</v>
      </c>
    </row>
    <row r="1693" spans="1:1" x14ac:dyDescent="0.25">
      <c r="A1693" t="s">
        <v>1757</v>
      </c>
    </row>
    <row r="1694" spans="1:1" x14ac:dyDescent="0.25">
      <c r="A1694" t="s">
        <v>1758</v>
      </c>
    </row>
    <row r="1695" spans="1:1" x14ac:dyDescent="0.25">
      <c r="A1695" t="s">
        <v>1759</v>
      </c>
    </row>
    <row r="1696" spans="1:1" x14ac:dyDescent="0.25">
      <c r="A1696" t="s">
        <v>1760</v>
      </c>
    </row>
    <row r="1697" spans="1:1" x14ac:dyDescent="0.25">
      <c r="A1697" t="s">
        <v>1761</v>
      </c>
    </row>
    <row r="1698" spans="1:1" x14ac:dyDescent="0.25">
      <c r="A1698" t="s">
        <v>1762</v>
      </c>
    </row>
    <row r="1699" spans="1:1" x14ac:dyDescent="0.25">
      <c r="A1699" t="s">
        <v>1763</v>
      </c>
    </row>
    <row r="1700" spans="1:1" x14ac:dyDescent="0.25">
      <c r="A1700" t="s">
        <v>1764</v>
      </c>
    </row>
    <row r="1701" spans="1:1" x14ac:dyDescent="0.25">
      <c r="A1701" t="s">
        <v>1765</v>
      </c>
    </row>
    <row r="1702" spans="1:1" x14ac:dyDescent="0.25">
      <c r="A1702" t="s">
        <v>1766</v>
      </c>
    </row>
    <row r="1703" spans="1:1" x14ac:dyDescent="0.25">
      <c r="A1703" t="s">
        <v>1767</v>
      </c>
    </row>
    <row r="1704" spans="1:1" x14ac:dyDescent="0.25">
      <c r="A1704" t="s">
        <v>1768</v>
      </c>
    </row>
    <row r="1705" spans="1:1" x14ac:dyDescent="0.25">
      <c r="A1705" t="s">
        <v>1769</v>
      </c>
    </row>
    <row r="1706" spans="1:1" x14ac:dyDescent="0.25">
      <c r="A1706" t="s">
        <v>1770</v>
      </c>
    </row>
    <row r="1707" spans="1:1" x14ac:dyDescent="0.25">
      <c r="A1707" t="s">
        <v>1771</v>
      </c>
    </row>
    <row r="1708" spans="1:1" x14ac:dyDescent="0.25">
      <c r="A1708" t="s">
        <v>1772</v>
      </c>
    </row>
    <row r="1709" spans="1:1" x14ac:dyDescent="0.25">
      <c r="A1709" t="s">
        <v>1773</v>
      </c>
    </row>
    <row r="1710" spans="1:1" x14ac:dyDescent="0.25">
      <c r="A1710" t="s">
        <v>1774</v>
      </c>
    </row>
    <row r="1711" spans="1:1" x14ac:dyDescent="0.25">
      <c r="A1711" t="s">
        <v>1775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FA3F7-9260-48AF-988B-87347ACBAFDF}">
  <sheetPr codeName="Sheet2"/>
  <dimension ref="A1:P46"/>
  <sheetViews>
    <sheetView workbookViewId="0">
      <selection activeCell="B5" sqref="B5"/>
    </sheetView>
  </sheetViews>
  <sheetFormatPr defaultRowHeight="15" x14ac:dyDescent="0.25"/>
  <cols>
    <col min="1" max="1" width="17.7109375" style="3" bestFit="1" customWidth="1"/>
    <col min="2" max="13" width="11.7109375" bestFit="1" customWidth="1"/>
    <col min="15" max="16" width="0" hidden="1" customWidth="1"/>
  </cols>
  <sheetData>
    <row r="1" spans="1:16" ht="15.75" thickBot="1" x14ac:dyDescent="0.3">
      <c r="B1" s="26" t="s">
        <v>10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8"/>
    </row>
    <row r="2" spans="1:16" ht="15.75" thickBot="1" x14ac:dyDescent="0.3">
      <c r="B2" s="26" t="s">
        <v>9</v>
      </c>
      <c r="C2" s="27"/>
      <c r="D2" s="27"/>
      <c r="E2" s="27"/>
      <c r="F2" s="27"/>
      <c r="G2" s="28"/>
      <c r="H2" s="26" t="s">
        <v>13</v>
      </c>
      <c r="I2" s="27"/>
      <c r="J2" s="27"/>
      <c r="K2" s="27"/>
      <c r="L2" s="27"/>
      <c r="M2" s="28"/>
    </row>
    <row r="3" spans="1:16" ht="15.75" thickBot="1" x14ac:dyDescent="0.3">
      <c r="B3" s="26" t="s">
        <v>11</v>
      </c>
      <c r="C3" s="27"/>
      <c r="D3" s="28"/>
      <c r="E3" s="26" t="s">
        <v>12</v>
      </c>
      <c r="F3" s="27"/>
      <c r="G3" s="28"/>
      <c r="H3" s="26" t="s">
        <v>11</v>
      </c>
      <c r="I3" s="27"/>
      <c r="J3" s="28"/>
      <c r="K3" s="26" t="s">
        <v>12</v>
      </c>
      <c r="L3" s="27"/>
      <c r="M3" s="28"/>
    </row>
    <row r="4" spans="1:16" ht="15.75" thickBot="1" x14ac:dyDescent="0.3">
      <c r="B4" s="7" t="s">
        <v>0</v>
      </c>
      <c r="C4" s="7" t="s">
        <v>1</v>
      </c>
      <c r="D4" s="7" t="s">
        <v>2</v>
      </c>
      <c r="E4" s="7" t="s">
        <v>0</v>
      </c>
      <c r="F4" s="7" t="s">
        <v>1</v>
      </c>
      <c r="G4" s="7" t="s">
        <v>2</v>
      </c>
      <c r="H4" s="7" t="s">
        <v>0</v>
      </c>
      <c r="I4" s="7" t="s">
        <v>1</v>
      </c>
      <c r="J4" s="7" t="s">
        <v>2</v>
      </c>
      <c r="K4" s="7" t="s">
        <v>0</v>
      </c>
      <c r="L4" s="7" t="s">
        <v>1</v>
      </c>
      <c r="M4" s="7" t="s">
        <v>2</v>
      </c>
    </row>
    <row r="5" spans="1:16" x14ac:dyDescent="0.25">
      <c r="A5" s="4" t="s">
        <v>14</v>
      </c>
      <c r="B5" s="6">
        <f>COUNTIFS(Breakdown!A:A,"&gt;"&amp;O5,Breakdown!A:A,"&lt;"&amp;P5,Breakdown!B:B,"(10.152.26.30)",Breakdown!C:C,"record_type=QUR")</f>
        <v>4</v>
      </c>
      <c r="C5" s="6">
        <f>COUNTIFS(Breakdown!A:A,"&gt;"&amp;O5,Breakdown!A:A,"&lt;"&amp;P5,Breakdown!B:B,"(10.152.26.31)",Breakdown!C:C,"record_type=QUR")</f>
        <v>3</v>
      </c>
      <c r="D5" s="6">
        <f>COUNTIFS(Breakdown!A:A,"&gt;"&amp;O5,Breakdown!A:A,"&lt;"&amp;P5,Breakdown!B:B,"(10.152.26.32)",Breakdown!C:C,"record_type=QUR")</f>
        <v>5</v>
      </c>
      <c r="E5" s="6">
        <f>COUNTIFS(Breakdown!A:A,"&gt;"&amp;O5,Breakdown!A:A,"&lt;"&amp;P5,Breakdown!B:B,"(10.152.26.30)",Breakdown!C:C,"record_type=DER")</f>
        <v>0</v>
      </c>
      <c r="F5" s="6">
        <f>COUNTIFS(Breakdown!A:A,"&gt;"&amp;O5,Breakdown!A:A,"&lt;"&amp;P5,Breakdown!B:B,"(10.152.26.31)",Breakdown!C:C,"record_type=DER")</f>
        <v>0</v>
      </c>
      <c r="G5" s="6">
        <f>COUNTIFS(Breakdown!A:A,"&gt;"&amp;O5,Breakdown!A:A,"&lt;"&amp;P5,Breakdown!B:B,"(10.152.26.32)",Breakdown!C:C,"record_type=DER")</f>
        <v>1</v>
      </c>
      <c r="H5" s="6" t="e">
        <f>COUNTIFS(#REF!,"&gt;"&amp;O5,#REF!,"&lt;"&amp;P5,#REF!,"(10.152.26.30)",#REF!,"record_type=QUR")</f>
        <v>#REF!</v>
      </c>
      <c r="I5" s="6" t="e">
        <f>COUNTIFS(#REF!,"&gt;"&amp;O5,#REF!,"&lt;"&amp;P5,#REF!,"(10.152.26.31)",#REF!,"record_type=QUR")</f>
        <v>#REF!</v>
      </c>
      <c r="J5" s="6" t="e">
        <f>COUNTIFS(#REF!,"&gt;"&amp;O5,#REF!,"&lt;"&amp;P5,#REF!,"(10.152.26.32)",#REF!,"record_type=QUR")</f>
        <v>#REF!</v>
      </c>
      <c r="K5" s="6" t="e">
        <f>COUNTIFS(#REF!,"&gt;"&amp;O5,#REF!,"&lt;"&amp;P5,#REF!,"(10.152.26.30)",#REF!,"record_type=DER")</f>
        <v>#REF!</v>
      </c>
      <c r="L5" s="6" t="e">
        <f>COUNTIFS(#REF!,"&gt;"&amp;O5,#REF!,"&lt;"&amp;P5,#REF!,"(10.152.26.31)",#REF!,"record_type=DER")</f>
        <v>#REF!</v>
      </c>
      <c r="M5" s="6" t="e">
        <f>COUNTIFS(#REF!,"&gt;"&amp;O5,#REF!,"&lt;"&amp;P5,#REF!,"(10.152.26.32)",#REF!,"record_type=DER")</f>
        <v>#REF!</v>
      </c>
      <c r="O5" t="str">
        <f>LEFT(A5,8)</f>
        <v>08:00:00</v>
      </c>
      <c r="P5" t="str">
        <f>RIGHT(A5,8)</f>
        <v>08:00:10</v>
      </c>
    </row>
    <row r="6" spans="1:16" x14ac:dyDescent="0.25">
      <c r="A6" s="4" t="s">
        <v>15</v>
      </c>
      <c r="B6" s="5">
        <f>COUNTIFS(Breakdown!A:A,"&gt;"&amp;O6,Breakdown!A:A,"&lt;"&amp;P6,Breakdown!B:B,"(10.152.26.30)",Breakdown!C:C,"record_type=QUR")</f>
        <v>5</v>
      </c>
      <c r="C6" s="5">
        <f>COUNTIFS(Breakdown!A:A,"&gt;"&amp;O6,Breakdown!A:A,"&lt;"&amp;P6,Breakdown!B:B,"(10.152.26.31)",Breakdown!C:C,"record_type=QUR")</f>
        <v>4</v>
      </c>
      <c r="D6" s="5">
        <f>COUNTIFS(Breakdown!A:A,"&gt;"&amp;O6,Breakdown!A:A,"&lt;"&amp;P6,Breakdown!B:B,"(10.152.26.32)",Breakdown!C:C,"record_type=QUR")</f>
        <v>4</v>
      </c>
      <c r="E6" s="5">
        <f>COUNTIFS(Breakdown!A:A,"&gt;"&amp;O6,Breakdown!A:A,"&lt;"&amp;P6,Breakdown!B:B,"(10.152.26.30)",Breakdown!C:C,"record_type=DER")</f>
        <v>2</v>
      </c>
      <c r="F6" s="5">
        <f>COUNTIFS(Breakdown!A:A,"&gt;"&amp;O6,Breakdown!A:A,"&lt;"&amp;P6,Breakdown!B:B,"(10.152.26.31)",Breakdown!C:C,"record_type=DER")</f>
        <v>1</v>
      </c>
      <c r="G6" s="5">
        <f>COUNTIFS(Breakdown!A:A,"&gt;"&amp;O6,Breakdown!A:A,"&lt;"&amp;P6,Breakdown!B:B,"(10.152.26.32)",Breakdown!C:C,"record_type=DER")</f>
        <v>1</v>
      </c>
      <c r="H6" s="5" t="e">
        <f>COUNTIFS(#REF!,"&gt;"&amp;O6,#REF!,"&lt;"&amp;P6,#REF!,"(10.152.26.30)",#REF!,"record_type=QUR")</f>
        <v>#REF!</v>
      </c>
      <c r="I6" s="5" t="e">
        <f>COUNTIFS(#REF!,"&gt;"&amp;O6,#REF!,"&lt;"&amp;P6,#REF!,"(10.152.26.31)",#REF!,"record_type=QUR")</f>
        <v>#REF!</v>
      </c>
      <c r="J6" s="5" t="e">
        <f>COUNTIFS(#REF!,"&gt;"&amp;O6,#REF!,"&lt;"&amp;P6,#REF!,"(10.152.26.32)",#REF!,"record_type=QUR")</f>
        <v>#REF!</v>
      </c>
      <c r="K6" s="5" t="e">
        <f>COUNTIFS(#REF!,"&gt;"&amp;O6,#REF!,"&lt;"&amp;P6,#REF!,"(10.152.26.30)",#REF!,"record_type=DER")</f>
        <v>#REF!</v>
      </c>
      <c r="L6" s="5" t="e">
        <f>COUNTIFS(#REF!,"&gt;"&amp;O6,#REF!,"&lt;"&amp;P6,#REF!,"(10.152.26.31)",#REF!,"record_type=DER")</f>
        <v>#REF!</v>
      </c>
      <c r="M6" s="5" t="e">
        <f>COUNTIFS(#REF!,"&gt;"&amp;O6,#REF!,"&lt;"&amp;P6,#REF!,"(10.152.26.32)",#REF!,"record_type=DER")</f>
        <v>#REF!</v>
      </c>
      <c r="O6" t="str">
        <f t="shared" ref="O6:O27" si="0">LEFT(A6,8)</f>
        <v>08:00:11</v>
      </c>
      <c r="P6" t="str">
        <f t="shared" ref="P6:P27" si="1">RIGHT(A6,8)</f>
        <v>08:00:20</v>
      </c>
    </row>
    <row r="7" spans="1:16" x14ac:dyDescent="0.25">
      <c r="A7" s="4" t="s">
        <v>16</v>
      </c>
      <c r="B7" s="5">
        <f>COUNTIFS(Breakdown!A:A,"&gt;"&amp;O7,Breakdown!A:A,"&lt;"&amp;P7,Breakdown!B:B,"(10.152.26.30)",Breakdown!C:C,"record_type=QUR")</f>
        <v>3</v>
      </c>
      <c r="C7" s="5">
        <f>COUNTIFS(Breakdown!A:A,"&gt;"&amp;O7,Breakdown!A:A,"&lt;"&amp;P7,Breakdown!B:B,"(10.152.26.31)",Breakdown!C:C,"record_type=QUR")</f>
        <v>4</v>
      </c>
      <c r="D7" s="5">
        <f>COUNTIFS(Breakdown!A:A,"&gt;"&amp;O7,Breakdown!A:A,"&lt;"&amp;P7,Breakdown!B:B,"(10.152.26.32)",Breakdown!C:C,"record_type=QUR")</f>
        <v>3</v>
      </c>
      <c r="E7" s="5">
        <f>COUNTIFS(Breakdown!A:A,"&gt;"&amp;O7,Breakdown!A:A,"&lt;"&amp;P7,Breakdown!B:B,"(10.152.26.30)",Breakdown!C:C,"record_type=DER")</f>
        <v>1</v>
      </c>
      <c r="F7" s="5">
        <f>COUNTIFS(Breakdown!A:A,"&gt;"&amp;O7,Breakdown!A:A,"&lt;"&amp;P7,Breakdown!B:B,"(10.152.26.31)",Breakdown!C:C,"record_type=DER")</f>
        <v>0</v>
      </c>
      <c r="G7" s="5">
        <f>COUNTIFS(Breakdown!A:A,"&gt;"&amp;O7,Breakdown!A:A,"&lt;"&amp;P7,Breakdown!B:B,"(10.152.26.32)",Breakdown!C:C,"record_type=DER")</f>
        <v>1</v>
      </c>
      <c r="H7" s="5" t="e">
        <f>COUNTIFS(#REF!,"&gt;"&amp;O7,#REF!,"&lt;"&amp;P7,#REF!,"(10.152.26.30)",#REF!,"record_type=QUR")</f>
        <v>#REF!</v>
      </c>
      <c r="I7" s="5" t="e">
        <f>COUNTIFS(#REF!,"&gt;"&amp;O7,#REF!,"&lt;"&amp;P7,#REF!,"(10.152.26.31)",#REF!,"record_type=QUR")</f>
        <v>#REF!</v>
      </c>
      <c r="J7" s="5" t="e">
        <f>COUNTIFS(#REF!,"&gt;"&amp;O7,#REF!,"&lt;"&amp;P7,#REF!,"(10.152.26.32)",#REF!,"record_type=QUR")</f>
        <v>#REF!</v>
      </c>
      <c r="K7" s="5" t="e">
        <f>COUNTIFS(#REF!,"&gt;"&amp;O7,#REF!,"&lt;"&amp;P7,#REF!,"(10.152.26.30)",#REF!,"record_type=DER")</f>
        <v>#REF!</v>
      </c>
      <c r="L7" s="5" t="e">
        <f>COUNTIFS(#REF!,"&gt;"&amp;O7,#REF!,"&lt;"&amp;P7,#REF!,"(10.152.26.31)",#REF!,"record_type=DER")</f>
        <v>#REF!</v>
      </c>
      <c r="M7" s="5" t="e">
        <f>COUNTIFS(#REF!,"&gt;"&amp;O7,#REF!,"&lt;"&amp;P7,#REF!,"(10.152.26.32)",#REF!,"record_type=DER")</f>
        <v>#REF!</v>
      </c>
      <c r="O7" t="str">
        <f t="shared" si="0"/>
        <v>08:00:21</v>
      </c>
      <c r="P7" t="str">
        <f t="shared" si="1"/>
        <v>08:00:30</v>
      </c>
    </row>
    <row r="8" spans="1:16" x14ac:dyDescent="0.25">
      <c r="A8" s="4" t="s">
        <v>17</v>
      </c>
      <c r="B8" s="5">
        <f>COUNTIFS(Breakdown!A:A,"&gt;"&amp;O8,Breakdown!A:A,"&lt;"&amp;P8,Breakdown!B:B,"(10.152.26.30)",Breakdown!C:C,"record_type=QUR")</f>
        <v>2</v>
      </c>
      <c r="C8" s="5">
        <f>COUNTIFS(Breakdown!A:A,"&gt;"&amp;O8,Breakdown!A:A,"&lt;"&amp;P8,Breakdown!B:B,"(10.152.26.31)",Breakdown!C:C,"record_type=QUR")</f>
        <v>1</v>
      </c>
      <c r="D8" s="5">
        <f>COUNTIFS(Breakdown!A:A,"&gt;"&amp;O8,Breakdown!A:A,"&lt;"&amp;P8,Breakdown!B:B,"(10.152.26.32)",Breakdown!C:C,"record_type=QUR")</f>
        <v>1</v>
      </c>
      <c r="E8" s="5">
        <f>COUNTIFS(Breakdown!A:A,"&gt;"&amp;O8,Breakdown!A:A,"&lt;"&amp;P8,Breakdown!B:B,"(10.152.26.30)",Breakdown!C:C,"record_type=DER")</f>
        <v>0</v>
      </c>
      <c r="F8" s="5">
        <f>COUNTIFS(Breakdown!A:A,"&gt;"&amp;O8,Breakdown!A:A,"&lt;"&amp;P8,Breakdown!B:B,"(10.152.26.31)",Breakdown!C:C,"record_type=DER")</f>
        <v>1</v>
      </c>
      <c r="G8" s="5">
        <f>COUNTIFS(Breakdown!A:A,"&gt;"&amp;O8,Breakdown!A:A,"&lt;"&amp;P8,Breakdown!B:B,"(10.152.26.32)",Breakdown!C:C,"record_type=DER")</f>
        <v>0</v>
      </c>
      <c r="H8" s="5" t="e">
        <f>COUNTIFS(#REF!,"&gt;"&amp;O8,#REF!,"&lt;"&amp;P8,#REF!,"(10.152.26.30)",#REF!,"record_type=QUR")</f>
        <v>#REF!</v>
      </c>
      <c r="I8" s="5" t="e">
        <f>COUNTIFS(#REF!,"&gt;"&amp;O8,#REF!,"&lt;"&amp;P8,#REF!,"(10.152.26.31)",#REF!,"record_type=QUR")</f>
        <v>#REF!</v>
      </c>
      <c r="J8" s="5" t="e">
        <f>COUNTIFS(#REF!,"&gt;"&amp;O8,#REF!,"&lt;"&amp;P8,#REF!,"(10.152.26.32)",#REF!,"record_type=QUR")</f>
        <v>#REF!</v>
      </c>
      <c r="K8" s="5" t="e">
        <f>COUNTIFS(#REF!,"&gt;"&amp;O8,#REF!,"&lt;"&amp;P8,#REF!,"(10.152.26.30)",#REF!,"record_type=DER")</f>
        <v>#REF!</v>
      </c>
      <c r="L8" s="5" t="e">
        <f>COUNTIFS(#REF!,"&gt;"&amp;O8,#REF!,"&lt;"&amp;P8,#REF!,"(10.152.26.31)",#REF!,"record_type=DER")</f>
        <v>#REF!</v>
      </c>
      <c r="M8" s="5" t="e">
        <f>COUNTIFS(#REF!,"&gt;"&amp;O8,#REF!,"&lt;"&amp;P8,#REF!,"(10.152.26.32)",#REF!,"record_type=DER")</f>
        <v>#REF!</v>
      </c>
      <c r="O8" t="str">
        <f t="shared" si="0"/>
        <v>08:00:31</v>
      </c>
      <c r="P8" t="str">
        <f t="shared" si="1"/>
        <v>08:00:40</v>
      </c>
    </row>
    <row r="9" spans="1:16" x14ac:dyDescent="0.25">
      <c r="A9" s="4" t="s">
        <v>18</v>
      </c>
      <c r="B9" s="5">
        <f>COUNTIFS(Breakdown!A:A,"&gt;"&amp;O9,Breakdown!A:A,"&lt;"&amp;P9,Breakdown!B:B,"(10.152.26.30)",Breakdown!C:C,"record_type=QUR")</f>
        <v>1</v>
      </c>
      <c r="C9" s="5">
        <f>COUNTIFS(Breakdown!A:A,"&gt;"&amp;O9,Breakdown!A:A,"&lt;"&amp;P9,Breakdown!B:B,"(10.152.26.31)",Breakdown!C:C,"record_type=QUR")</f>
        <v>5</v>
      </c>
      <c r="D9" s="5">
        <f>COUNTIFS(Breakdown!A:A,"&gt;"&amp;O9,Breakdown!A:A,"&lt;"&amp;P9,Breakdown!B:B,"(10.152.26.32)",Breakdown!C:C,"record_type=QUR")</f>
        <v>5</v>
      </c>
      <c r="E9" s="5">
        <f>COUNTIFS(Breakdown!A:A,"&gt;"&amp;O9,Breakdown!A:A,"&lt;"&amp;P9,Breakdown!B:B,"(10.152.26.30)",Breakdown!C:C,"record_type=DER")</f>
        <v>0</v>
      </c>
      <c r="F9" s="5">
        <f>COUNTIFS(Breakdown!A:A,"&gt;"&amp;O9,Breakdown!A:A,"&lt;"&amp;P9,Breakdown!B:B,"(10.152.26.31)",Breakdown!C:C,"record_type=DER")</f>
        <v>0</v>
      </c>
      <c r="G9" s="5">
        <f>COUNTIFS(Breakdown!A:A,"&gt;"&amp;O9,Breakdown!A:A,"&lt;"&amp;P9,Breakdown!B:B,"(10.152.26.32)",Breakdown!C:C,"record_type=DER")</f>
        <v>0</v>
      </c>
      <c r="H9" s="5" t="e">
        <f>COUNTIFS(#REF!,"&gt;"&amp;O9,#REF!,"&lt;"&amp;P9,#REF!,"(10.152.26.30)",#REF!,"record_type=QUR")</f>
        <v>#REF!</v>
      </c>
      <c r="I9" s="5" t="e">
        <f>COUNTIFS(#REF!,"&gt;"&amp;O9,#REF!,"&lt;"&amp;P9,#REF!,"(10.152.26.31)",#REF!,"record_type=QUR")</f>
        <v>#REF!</v>
      </c>
      <c r="J9" s="5" t="e">
        <f>COUNTIFS(#REF!,"&gt;"&amp;O9,#REF!,"&lt;"&amp;P9,#REF!,"(10.152.26.32)",#REF!,"record_type=QUR")</f>
        <v>#REF!</v>
      </c>
      <c r="K9" s="5" t="e">
        <f>COUNTIFS(#REF!,"&gt;"&amp;O9,#REF!,"&lt;"&amp;P9,#REF!,"(10.152.26.30)",#REF!,"record_type=DER")</f>
        <v>#REF!</v>
      </c>
      <c r="L9" s="5" t="e">
        <f>COUNTIFS(#REF!,"&gt;"&amp;O9,#REF!,"&lt;"&amp;P9,#REF!,"(10.152.26.31)",#REF!,"record_type=DER")</f>
        <v>#REF!</v>
      </c>
      <c r="M9" s="5" t="e">
        <f>COUNTIFS(#REF!,"&gt;"&amp;O9,#REF!,"&lt;"&amp;P9,#REF!,"(10.152.26.32)",#REF!,"record_type=DER")</f>
        <v>#REF!</v>
      </c>
      <c r="O9" t="str">
        <f t="shared" si="0"/>
        <v>08:00:41</v>
      </c>
      <c r="P9" t="str">
        <f t="shared" si="1"/>
        <v>08:00:50</v>
      </c>
    </row>
    <row r="10" spans="1:16" x14ac:dyDescent="0.25">
      <c r="A10" s="4" t="s">
        <v>19</v>
      </c>
      <c r="B10" s="5">
        <f>COUNTIFS(Breakdown!A:A,"&gt;"&amp;O10,Breakdown!A:A,"&lt;"&amp;P10,Breakdown!B:B,"(10.152.26.30)",Breakdown!C:C,"record_type=QUR")</f>
        <v>2</v>
      </c>
      <c r="C10" s="5">
        <f>COUNTIFS(Breakdown!A:A,"&gt;"&amp;O10,Breakdown!A:A,"&lt;"&amp;P10,Breakdown!B:B,"(10.152.26.31)",Breakdown!C:C,"record_type=QUR")</f>
        <v>3</v>
      </c>
      <c r="D10" s="5">
        <f>COUNTIFS(Breakdown!A:A,"&gt;"&amp;O10,Breakdown!A:A,"&lt;"&amp;P10,Breakdown!B:B,"(10.152.26.32)",Breakdown!C:C,"record_type=QUR")</f>
        <v>3</v>
      </c>
      <c r="E10" s="5">
        <f>COUNTIFS(Breakdown!A:A,"&gt;"&amp;O10,Breakdown!A:A,"&lt;"&amp;P10,Breakdown!B:B,"(10.152.26.30)",Breakdown!C:C,"record_type=DER")</f>
        <v>1</v>
      </c>
      <c r="F10" s="5">
        <f>COUNTIFS(Breakdown!A:A,"&gt;"&amp;O10,Breakdown!A:A,"&lt;"&amp;P10,Breakdown!B:B,"(10.152.26.31)",Breakdown!C:C,"record_type=DER")</f>
        <v>1</v>
      </c>
      <c r="G10" s="5">
        <f>COUNTIFS(Breakdown!A:A,"&gt;"&amp;O10,Breakdown!A:A,"&lt;"&amp;P10,Breakdown!B:B,"(10.152.26.32)",Breakdown!C:C,"record_type=DER")</f>
        <v>0</v>
      </c>
      <c r="H10" s="5" t="e">
        <f>COUNTIFS(#REF!,"&gt;"&amp;O10,#REF!,"&lt;"&amp;P10,#REF!,"(10.152.26.30)",#REF!,"record_type=QUR")</f>
        <v>#REF!</v>
      </c>
      <c r="I10" s="5" t="e">
        <f>COUNTIFS(#REF!,"&gt;"&amp;O10,#REF!,"&lt;"&amp;P10,#REF!,"(10.152.26.31)",#REF!,"record_type=QUR")</f>
        <v>#REF!</v>
      </c>
      <c r="J10" s="5" t="e">
        <f>COUNTIFS(#REF!,"&gt;"&amp;O10,#REF!,"&lt;"&amp;P10,#REF!,"(10.152.26.32)",#REF!,"record_type=QUR")</f>
        <v>#REF!</v>
      </c>
      <c r="K10" s="5" t="e">
        <f>COUNTIFS(#REF!,"&gt;"&amp;O10,#REF!,"&lt;"&amp;P10,#REF!,"(10.152.26.30)",#REF!,"record_type=DER")</f>
        <v>#REF!</v>
      </c>
      <c r="L10" s="5" t="e">
        <f>COUNTIFS(#REF!,"&gt;"&amp;O10,#REF!,"&lt;"&amp;P10,#REF!,"(10.152.26.31)",#REF!,"record_type=DER")</f>
        <v>#REF!</v>
      </c>
      <c r="M10" s="5" t="e">
        <f>COUNTIFS(#REF!,"&gt;"&amp;O10,#REF!,"&lt;"&amp;P10,#REF!,"(10.152.26.32)",#REF!,"record_type=DER")</f>
        <v>#REF!</v>
      </c>
      <c r="O10" t="str">
        <f t="shared" si="0"/>
        <v>08:00:51</v>
      </c>
      <c r="P10" t="str">
        <f t="shared" si="1"/>
        <v>08:01:00</v>
      </c>
    </row>
    <row r="11" spans="1:16" x14ac:dyDescent="0.25">
      <c r="A11" s="4" t="s">
        <v>55</v>
      </c>
      <c r="B11" s="5">
        <f>COUNTIFS(Breakdown!A:A,"&gt;"&amp;O11,Breakdown!A:A,"&lt;"&amp;P11,Breakdown!B:B,"(10.152.26.30)",Breakdown!C:C,"record_type=QUR")</f>
        <v>4</v>
      </c>
      <c r="C11" s="5">
        <f>COUNTIFS(Breakdown!A:A,"&gt;"&amp;O11,Breakdown!A:A,"&lt;"&amp;P11,Breakdown!B:B,"(10.152.26.31)",Breakdown!C:C,"record_type=QUR")</f>
        <v>3</v>
      </c>
      <c r="D11" s="5">
        <f>COUNTIFS(Breakdown!A:A,"&gt;"&amp;O11,Breakdown!A:A,"&lt;"&amp;P11,Breakdown!B:B,"(10.152.26.32)",Breakdown!C:C,"record_type=QUR")</f>
        <v>4</v>
      </c>
      <c r="E11" s="5">
        <f>COUNTIFS(Breakdown!A:A,"&gt;"&amp;O11,Breakdown!A:A,"&lt;"&amp;P11,Breakdown!B:B,"(10.152.26.30)",Breakdown!C:C,"record_type=DER")</f>
        <v>0</v>
      </c>
      <c r="F11" s="5">
        <f>COUNTIFS(Breakdown!A:A,"&gt;"&amp;O11,Breakdown!A:A,"&lt;"&amp;P11,Breakdown!B:B,"(10.152.26.31)",Breakdown!C:C,"record_type=DER")</f>
        <v>0</v>
      </c>
      <c r="G11" s="5">
        <f>COUNTIFS(Breakdown!A:A,"&gt;"&amp;O11,Breakdown!A:A,"&lt;"&amp;P11,Breakdown!B:B,"(10.152.26.32)",Breakdown!C:C,"record_type=DER")</f>
        <v>0</v>
      </c>
      <c r="H11" s="5" t="e">
        <f>COUNTIFS(#REF!,"&gt;"&amp;O11,#REF!,"&lt;"&amp;P11,#REF!,"(10.152.26.30)",#REF!,"record_type=QUR")</f>
        <v>#REF!</v>
      </c>
      <c r="I11" s="5" t="e">
        <f>COUNTIFS(#REF!,"&gt;"&amp;O11,#REF!,"&lt;"&amp;P11,#REF!,"(10.152.26.31)",#REF!,"record_type=QUR")</f>
        <v>#REF!</v>
      </c>
      <c r="J11" s="5" t="e">
        <f>COUNTIFS(#REF!,"&gt;"&amp;O11,#REF!,"&lt;"&amp;P11,#REF!,"(10.152.26.32)",#REF!,"record_type=QUR")</f>
        <v>#REF!</v>
      </c>
      <c r="K11" s="5" t="e">
        <f>COUNTIFS(#REF!,"&gt;"&amp;O11,#REF!,"&lt;"&amp;P11,#REF!,"(10.152.26.30)",#REF!,"record_type=DER")</f>
        <v>#REF!</v>
      </c>
      <c r="L11" s="5" t="e">
        <f>COUNTIFS(#REF!,"&gt;"&amp;O11,#REF!,"&lt;"&amp;P11,#REF!,"(10.152.26.31)",#REF!,"record_type=DER")</f>
        <v>#REF!</v>
      </c>
      <c r="M11" s="5" t="e">
        <f>COUNTIFS(#REF!,"&gt;"&amp;O11,#REF!,"&lt;"&amp;P11,#REF!,"(10.152.26.32)",#REF!,"record_type=DER")</f>
        <v>#REF!</v>
      </c>
      <c r="O11" t="str">
        <f t="shared" si="0"/>
        <v>08:01:01</v>
      </c>
      <c r="P11" t="str">
        <f t="shared" si="1"/>
        <v>08:01:10</v>
      </c>
    </row>
    <row r="12" spans="1:16" x14ac:dyDescent="0.25">
      <c r="A12" s="4" t="s">
        <v>20</v>
      </c>
      <c r="B12" s="5">
        <f>COUNTIFS(Breakdown!A:A,"&gt;"&amp;O12,Breakdown!A:A,"&lt;"&amp;P12,Breakdown!B:B,"(10.152.26.30)",Breakdown!C:C,"record_type=QUR")</f>
        <v>4</v>
      </c>
      <c r="C12" s="5">
        <f>COUNTIFS(Breakdown!A:A,"&gt;"&amp;O12,Breakdown!A:A,"&lt;"&amp;P12,Breakdown!B:B,"(10.152.26.31)",Breakdown!C:C,"record_type=QUR")</f>
        <v>2</v>
      </c>
      <c r="D12" s="5">
        <f>COUNTIFS(Breakdown!A:A,"&gt;"&amp;O12,Breakdown!A:A,"&lt;"&amp;P12,Breakdown!B:B,"(10.152.26.32)",Breakdown!C:C,"record_type=QUR")</f>
        <v>4</v>
      </c>
      <c r="E12" s="5">
        <f>COUNTIFS(Breakdown!A:A,"&gt;"&amp;O12,Breakdown!A:A,"&lt;"&amp;P12,Breakdown!B:B,"(10.152.26.30)",Breakdown!C:C,"record_type=DER")</f>
        <v>1</v>
      </c>
      <c r="F12" s="5">
        <f>COUNTIFS(Breakdown!A:A,"&gt;"&amp;O12,Breakdown!A:A,"&lt;"&amp;P12,Breakdown!B:B,"(10.152.26.31)",Breakdown!C:C,"record_type=DER")</f>
        <v>0</v>
      </c>
      <c r="G12" s="5">
        <f>COUNTIFS(Breakdown!A:A,"&gt;"&amp;O12,Breakdown!A:A,"&lt;"&amp;P12,Breakdown!B:B,"(10.152.26.32)",Breakdown!C:C,"record_type=DER")</f>
        <v>0</v>
      </c>
      <c r="H12" s="5" t="e">
        <f>COUNTIFS(#REF!,"&gt;"&amp;O12,#REF!,"&lt;"&amp;P12,#REF!,"(10.152.26.30)",#REF!,"record_type=QUR")</f>
        <v>#REF!</v>
      </c>
      <c r="I12" s="5" t="e">
        <f>COUNTIFS(#REF!,"&gt;"&amp;O12,#REF!,"&lt;"&amp;P12,#REF!,"(10.152.26.31)",#REF!,"record_type=QUR")</f>
        <v>#REF!</v>
      </c>
      <c r="J12" s="5" t="e">
        <f>COUNTIFS(#REF!,"&gt;"&amp;O12,#REF!,"&lt;"&amp;P12,#REF!,"(10.152.26.32)",#REF!,"record_type=QUR")</f>
        <v>#REF!</v>
      </c>
      <c r="K12" s="5" t="e">
        <f>COUNTIFS(#REF!,"&gt;"&amp;O12,#REF!,"&lt;"&amp;P12,#REF!,"(10.152.26.30)",#REF!,"record_type=DER")</f>
        <v>#REF!</v>
      </c>
      <c r="L12" s="5" t="e">
        <f>COUNTIFS(#REF!,"&gt;"&amp;O12,#REF!,"&lt;"&amp;P12,#REF!,"(10.152.26.31)",#REF!,"record_type=DER")</f>
        <v>#REF!</v>
      </c>
      <c r="M12" s="5" t="e">
        <f>COUNTIFS(#REF!,"&gt;"&amp;O12,#REF!,"&lt;"&amp;P12,#REF!,"(10.152.26.32)",#REF!,"record_type=DER")</f>
        <v>#REF!</v>
      </c>
      <c r="O12" t="str">
        <f t="shared" si="0"/>
        <v>08:01:11</v>
      </c>
      <c r="P12" t="str">
        <f t="shared" si="1"/>
        <v>08:01:20</v>
      </c>
    </row>
    <row r="13" spans="1:16" x14ac:dyDescent="0.25">
      <c r="A13" s="4" t="s">
        <v>21</v>
      </c>
      <c r="B13" s="5">
        <f>COUNTIFS(Breakdown!A:A,"&gt;"&amp;O13,Breakdown!A:A,"&lt;"&amp;P13,Breakdown!B:B,"(10.152.26.30)",Breakdown!C:C,"record_type=QUR")</f>
        <v>4</v>
      </c>
      <c r="C13" s="5">
        <f>COUNTIFS(Breakdown!A:A,"&gt;"&amp;O13,Breakdown!A:A,"&lt;"&amp;P13,Breakdown!B:B,"(10.152.26.31)",Breakdown!C:C,"record_type=QUR")</f>
        <v>2</v>
      </c>
      <c r="D13" s="5">
        <f>COUNTIFS(Breakdown!A:A,"&gt;"&amp;O13,Breakdown!A:A,"&lt;"&amp;P13,Breakdown!B:B,"(10.152.26.32)",Breakdown!C:C,"record_type=QUR")</f>
        <v>3</v>
      </c>
      <c r="E13" s="5">
        <f>COUNTIFS(Breakdown!A:A,"&gt;"&amp;O13,Breakdown!A:A,"&lt;"&amp;P13,Breakdown!B:B,"(10.152.26.30)",Breakdown!C:C,"record_type=DER")</f>
        <v>0</v>
      </c>
      <c r="F13" s="5">
        <f>COUNTIFS(Breakdown!A:A,"&gt;"&amp;O13,Breakdown!A:A,"&lt;"&amp;P13,Breakdown!B:B,"(10.152.26.31)",Breakdown!C:C,"record_type=DER")</f>
        <v>0</v>
      </c>
      <c r="G13" s="5">
        <f>COUNTIFS(Breakdown!A:A,"&gt;"&amp;O13,Breakdown!A:A,"&lt;"&amp;P13,Breakdown!B:B,"(10.152.26.32)",Breakdown!C:C,"record_type=DER")</f>
        <v>2</v>
      </c>
      <c r="H13" s="5" t="e">
        <f>COUNTIFS(#REF!,"&gt;"&amp;O13,#REF!,"&lt;"&amp;P13,#REF!,"(10.152.26.30)",#REF!,"record_type=QUR")</f>
        <v>#REF!</v>
      </c>
      <c r="I13" s="5" t="e">
        <f>COUNTIFS(#REF!,"&gt;"&amp;O13,#REF!,"&lt;"&amp;P13,#REF!,"(10.152.26.31)",#REF!,"record_type=QUR")</f>
        <v>#REF!</v>
      </c>
      <c r="J13" s="5" t="e">
        <f>COUNTIFS(#REF!,"&gt;"&amp;O13,#REF!,"&lt;"&amp;P13,#REF!,"(10.152.26.32)",#REF!,"record_type=QUR")</f>
        <v>#REF!</v>
      </c>
      <c r="K13" s="5" t="e">
        <f>COUNTIFS(#REF!,"&gt;"&amp;O13,#REF!,"&lt;"&amp;P13,#REF!,"(10.152.26.30)",#REF!,"record_type=DER")</f>
        <v>#REF!</v>
      </c>
      <c r="L13" s="5" t="e">
        <f>COUNTIFS(#REF!,"&gt;"&amp;O13,#REF!,"&lt;"&amp;P13,#REF!,"(10.152.26.31)",#REF!,"record_type=DER")</f>
        <v>#REF!</v>
      </c>
      <c r="M13" s="5" t="e">
        <f>COUNTIFS(#REF!,"&gt;"&amp;O13,#REF!,"&lt;"&amp;P13,#REF!,"(10.152.26.32)",#REF!,"record_type=DER")</f>
        <v>#REF!</v>
      </c>
      <c r="O13" t="str">
        <f t="shared" si="0"/>
        <v>08:01:21</v>
      </c>
      <c r="P13" t="str">
        <f t="shared" si="1"/>
        <v>08:01:30</v>
      </c>
    </row>
    <row r="14" spans="1:16" x14ac:dyDescent="0.25">
      <c r="A14" s="4" t="s">
        <v>22</v>
      </c>
      <c r="B14" s="5">
        <f>COUNTIFS(Breakdown!A:A,"&gt;"&amp;O14,Breakdown!A:A,"&lt;"&amp;P14,Breakdown!B:B,"(10.152.26.30)",Breakdown!C:C,"record_type=QUR")</f>
        <v>3</v>
      </c>
      <c r="C14" s="5">
        <f>COUNTIFS(Breakdown!A:A,"&gt;"&amp;O14,Breakdown!A:A,"&lt;"&amp;P14,Breakdown!B:B,"(10.152.26.31)",Breakdown!C:C,"record_type=QUR")</f>
        <v>3</v>
      </c>
      <c r="D14" s="5">
        <f>COUNTIFS(Breakdown!A:A,"&gt;"&amp;O14,Breakdown!A:A,"&lt;"&amp;P14,Breakdown!B:B,"(10.152.26.32)",Breakdown!C:C,"record_type=QUR")</f>
        <v>4</v>
      </c>
      <c r="E14" s="5">
        <f>COUNTIFS(Breakdown!A:A,"&gt;"&amp;O14,Breakdown!A:A,"&lt;"&amp;P14,Breakdown!B:B,"(10.152.26.30)",Breakdown!C:C,"record_type=DER")</f>
        <v>0</v>
      </c>
      <c r="F14" s="5">
        <f>COUNTIFS(Breakdown!A:A,"&gt;"&amp;O14,Breakdown!A:A,"&lt;"&amp;P14,Breakdown!B:B,"(10.152.26.31)",Breakdown!C:C,"record_type=DER")</f>
        <v>1</v>
      </c>
      <c r="G14" s="5">
        <f>COUNTIFS(Breakdown!A:A,"&gt;"&amp;O14,Breakdown!A:A,"&lt;"&amp;P14,Breakdown!B:B,"(10.152.26.32)",Breakdown!C:C,"record_type=DER")</f>
        <v>1</v>
      </c>
      <c r="H14" s="5" t="e">
        <f>COUNTIFS(#REF!,"&gt;"&amp;O14,#REF!,"&lt;"&amp;P14,#REF!,"(10.152.26.30)",#REF!,"record_type=QUR")</f>
        <v>#REF!</v>
      </c>
      <c r="I14" s="5" t="e">
        <f>COUNTIFS(#REF!,"&gt;"&amp;O14,#REF!,"&lt;"&amp;P14,#REF!,"(10.152.26.31)",#REF!,"record_type=QUR")</f>
        <v>#REF!</v>
      </c>
      <c r="J14" s="5" t="e">
        <f>COUNTIFS(#REF!,"&gt;"&amp;O14,#REF!,"&lt;"&amp;P14,#REF!,"(10.152.26.32)",#REF!,"record_type=QUR")</f>
        <v>#REF!</v>
      </c>
      <c r="K14" s="5" t="e">
        <f>COUNTIFS(#REF!,"&gt;"&amp;O14,#REF!,"&lt;"&amp;P14,#REF!,"(10.152.26.30)",#REF!,"record_type=DER")</f>
        <v>#REF!</v>
      </c>
      <c r="L14" s="5" t="e">
        <f>COUNTIFS(#REF!,"&gt;"&amp;O14,#REF!,"&lt;"&amp;P14,#REF!,"(10.152.26.31)",#REF!,"record_type=DER")</f>
        <v>#REF!</v>
      </c>
      <c r="M14" s="5" t="e">
        <f>COUNTIFS(#REF!,"&gt;"&amp;O14,#REF!,"&lt;"&amp;P14,#REF!,"(10.152.26.32)",#REF!,"record_type=DER")</f>
        <v>#REF!</v>
      </c>
      <c r="O14" t="str">
        <f t="shared" si="0"/>
        <v>08:01:31</v>
      </c>
      <c r="P14" t="str">
        <f t="shared" si="1"/>
        <v>08:01:40</v>
      </c>
    </row>
    <row r="15" spans="1:16" x14ac:dyDescent="0.25">
      <c r="A15" s="4" t="s">
        <v>23</v>
      </c>
      <c r="B15" s="5">
        <f>COUNTIFS(Breakdown!A:A,"&gt;"&amp;O15,Breakdown!A:A,"&lt;"&amp;P15,Breakdown!B:B,"(10.152.26.30)",Breakdown!C:C,"record_type=QUR")</f>
        <v>2</v>
      </c>
      <c r="C15" s="5">
        <f>COUNTIFS(Breakdown!A:A,"&gt;"&amp;O15,Breakdown!A:A,"&lt;"&amp;P15,Breakdown!B:B,"(10.152.26.31)",Breakdown!C:C,"record_type=QUR")</f>
        <v>3</v>
      </c>
      <c r="D15" s="5">
        <f>COUNTIFS(Breakdown!A:A,"&gt;"&amp;O15,Breakdown!A:A,"&lt;"&amp;P15,Breakdown!B:B,"(10.152.26.32)",Breakdown!C:C,"record_type=QUR")</f>
        <v>3</v>
      </c>
      <c r="E15" s="5">
        <f>COUNTIFS(Breakdown!A:A,"&gt;"&amp;O15,Breakdown!A:A,"&lt;"&amp;P15,Breakdown!B:B,"(10.152.26.30)",Breakdown!C:C,"record_type=DER")</f>
        <v>1</v>
      </c>
      <c r="F15" s="5">
        <f>COUNTIFS(Breakdown!A:A,"&gt;"&amp;O15,Breakdown!A:A,"&lt;"&amp;P15,Breakdown!B:B,"(10.152.26.31)",Breakdown!C:C,"record_type=DER")</f>
        <v>0</v>
      </c>
      <c r="G15" s="5">
        <f>COUNTIFS(Breakdown!A:A,"&gt;"&amp;O15,Breakdown!A:A,"&lt;"&amp;P15,Breakdown!B:B,"(10.152.26.32)",Breakdown!C:C,"record_type=DER")</f>
        <v>0</v>
      </c>
      <c r="H15" s="5" t="e">
        <f>COUNTIFS(#REF!,"&gt;"&amp;O15,#REF!,"&lt;"&amp;P15,#REF!,"(10.152.26.30)",#REF!,"record_type=QUR")</f>
        <v>#REF!</v>
      </c>
      <c r="I15" s="5" t="e">
        <f>COUNTIFS(#REF!,"&gt;"&amp;O15,#REF!,"&lt;"&amp;P15,#REF!,"(10.152.26.31)",#REF!,"record_type=QUR")</f>
        <v>#REF!</v>
      </c>
      <c r="J15" s="5" t="e">
        <f>COUNTIFS(#REF!,"&gt;"&amp;O15,#REF!,"&lt;"&amp;P15,#REF!,"(10.152.26.32)",#REF!,"record_type=QUR")</f>
        <v>#REF!</v>
      </c>
      <c r="K15" s="5" t="e">
        <f>COUNTIFS(#REF!,"&gt;"&amp;O15,#REF!,"&lt;"&amp;P15,#REF!,"(10.152.26.30)",#REF!,"record_type=DER")</f>
        <v>#REF!</v>
      </c>
      <c r="L15" s="5" t="e">
        <f>COUNTIFS(#REF!,"&gt;"&amp;O15,#REF!,"&lt;"&amp;P15,#REF!,"(10.152.26.31)",#REF!,"record_type=DER")</f>
        <v>#REF!</v>
      </c>
      <c r="M15" s="5" t="e">
        <f>COUNTIFS(#REF!,"&gt;"&amp;O15,#REF!,"&lt;"&amp;P15,#REF!,"(10.152.26.32)",#REF!,"record_type=DER")</f>
        <v>#REF!</v>
      </c>
      <c r="O15" t="str">
        <f t="shared" si="0"/>
        <v>08:01:41</v>
      </c>
      <c r="P15" t="str">
        <f t="shared" si="1"/>
        <v>08:01:50</v>
      </c>
    </row>
    <row r="16" spans="1:16" x14ac:dyDescent="0.25">
      <c r="A16" s="4" t="s">
        <v>24</v>
      </c>
      <c r="B16" s="5">
        <f>COUNTIFS(Breakdown!A:A,"&gt;"&amp;O16,Breakdown!A:A,"&lt;"&amp;P16,Breakdown!B:B,"(10.152.26.30)",Breakdown!C:C,"record_type=QUR")</f>
        <v>2</v>
      </c>
      <c r="C16" s="5">
        <f>COUNTIFS(Breakdown!A:A,"&gt;"&amp;O16,Breakdown!A:A,"&lt;"&amp;P16,Breakdown!B:B,"(10.152.26.31)",Breakdown!C:C,"record_type=QUR")</f>
        <v>3</v>
      </c>
      <c r="D16" s="5">
        <f>COUNTIFS(Breakdown!A:A,"&gt;"&amp;O16,Breakdown!A:A,"&lt;"&amp;P16,Breakdown!B:B,"(10.152.26.32)",Breakdown!C:C,"record_type=QUR")</f>
        <v>4</v>
      </c>
      <c r="E16" s="5">
        <f>COUNTIFS(Breakdown!A:A,"&gt;"&amp;O16,Breakdown!A:A,"&lt;"&amp;P16,Breakdown!B:B,"(10.152.26.30)",Breakdown!C:C,"record_type=DER")</f>
        <v>1</v>
      </c>
      <c r="F16" s="5">
        <f>COUNTIFS(Breakdown!A:A,"&gt;"&amp;O16,Breakdown!A:A,"&lt;"&amp;P16,Breakdown!B:B,"(10.152.26.31)",Breakdown!C:C,"record_type=DER")</f>
        <v>0</v>
      </c>
      <c r="G16" s="5">
        <f>COUNTIFS(Breakdown!A:A,"&gt;"&amp;O16,Breakdown!A:A,"&lt;"&amp;P16,Breakdown!B:B,"(10.152.26.32)",Breakdown!C:C,"record_type=DER")</f>
        <v>0</v>
      </c>
      <c r="H16" s="5" t="e">
        <f>COUNTIFS(#REF!,"&gt;"&amp;O16,#REF!,"&lt;"&amp;P16,#REF!,"(10.152.26.30)",#REF!,"record_type=QUR")</f>
        <v>#REF!</v>
      </c>
      <c r="I16" s="5" t="e">
        <f>COUNTIFS(#REF!,"&gt;"&amp;O16,#REF!,"&lt;"&amp;P16,#REF!,"(10.152.26.31)",#REF!,"record_type=QUR")</f>
        <v>#REF!</v>
      </c>
      <c r="J16" s="5" t="e">
        <f>COUNTIFS(#REF!,"&gt;"&amp;O16,#REF!,"&lt;"&amp;P16,#REF!,"(10.152.26.32)",#REF!,"record_type=QUR")</f>
        <v>#REF!</v>
      </c>
      <c r="K16" s="5" t="e">
        <f>COUNTIFS(#REF!,"&gt;"&amp;O16,#REF!,"&lt;"&amp;P16,#REF!,"(10.152.26.30)",#REF!,"record_type=DER")</f>
        <v>#REF!</v>
      </c>
      <c r="L16" s="5" t="e">
        <f>COUNTIFS(#REF!,"&gt;"&amp;O16,#REF!,"&lt;"&amp;P16,#REF!,"(10.152.26.31)",#REF!,"record_type=DER")</f>
        <v>#REF!</v>
      </c>
      <c r="M16" s="5" t="e">
        <f>COUNTIFS(#REF!,"&gt;"&amp;O16,#REF!,"&lt;"&amp;P16,#REF!,"(10.152.26.32)",#REF!,"record_type=DER")</f>
        <v>#REF!</v>
      </c>
      <c r="O16" t="str">
        <f t="shared" si="0"/>
        <v>08:01:51</v>
      </c>
      <c r="P16" t="str">
        <f t="shared" si="1"/>
        <v>08:02:00</v>
      </c>
    </row>
    <row r="17" spans="1:16" x14ac:dyDescent="0.25">
      <c r="A17" s="4" t="s">
        <v>25</v>
      </c>
      <c r="B17" s="5">
        <f>COUNTIFS(Breakdown!A:A,"&gt;"&amp;O17,Breakdown!A:A,"&lt;"&amp;P17,Breakdown!B:B,"(10.152.26.30)",Breakdown!C:C,"record_type=QUR")</f>
        <v>4</v>
      </c>
      <c r="C17" s="5">
        <f>COUNTIFS(Breakdown!A:A,"&gt;"&amp;O17,Breakdown!A:A,"&lt;"&amp;P17,Breakdown!B:B,"(10.152.26.31)",Breakdown!C:C,"record_type=QUR")</f>
        <v>4</v>
      </c>
      <c r="D17" s="5">
        <f>COUNTIFS(Breakdown!A:A,"&gt;"&amp;O17,Breakdown!A:A,"&lt;"&amp;P17,Breakdown!B:B,"(10.152.26.32)",Breakdown!C:C,"record_type=QUR")</f>
        <v>4</v>
      </c>
      <c r="E17" s="5">
        <f>COUNTIFS(Breakdown!A:A,"&gt;"&amp;O17,Breakdown!A:A,"&lt;"&amp;P17,Breakdown!B:B,"(10.152.26.30)",Breakdown!C:C,"record_type=DER")</f>
        <v>0</v>
      </c>
      <c r="F17" s="5">
        <f>COUNTIFS(Breakdown!A:A,"&gt;"&amp;O17,Breakdown!A:A,"&lt;"&amp;P17,Breakdown!B:B,"(10.152.26.31)",Breakdown!C:C,"record_type=DER")</f>
        <v>0</v>
      </c>
      <c r="G17" s="5">
        <f>COUNTIFS(Breakdown!A:A,"&gt;"&amp;O17,Breakdown!A:A,"&lt;"&amp;P17,Breakdown!B:B,"(10.152.26.32)",Breakdown!C:C,"record_type=DER")</f>
        <v>1</v>
      </c>
      <c r="H17" s="5" t="e">
        <f>COUNTIFS(#REF!,"&gt;"&amp;O17,#REF!,"&lt;"&amp;P17,#REF!,"(10.152.26.30)",#REF!,"record_type=QUR")</f>
        <v>#REF!</v>
      </c>
      <c r="I17" s="5" t="e">
        <f>COUNTIFS(#REF!,"&gt;"&amp;O17,#REF!,"&lt;"&amp;P17,#REF!,"(10.152.26.31)",#REF!,"record_type=QUR")</f>
        <v>#REF!</v>
      </c>
      <c r="J17" s="5" t="e">
        <f>COUNTIFS(#REF!,"&gt;"&amp;O17,#REF!,"&lt;"&amp;P17,#REF!,"(10.152.26.32)",#REF!,"record_type=QUR")</f>
        <v>#REF!</v>
      </c>
      <c r="K17" s="5" t="e">
        <f>COUNTIFS(#REF!,"&gt;"&amp;O17,#REF!,"&lt;"&amp;P17,#REF!,"(10.152.26.30)",#REF!,"record_type=DER")</f>
        <v>#REF!</v>
      </c>
      <c r="L17" s="5" t="e">
        <f>COUNTIFS(#REF!,"&gt;"&amp;O17,#REF!,"&lt;"&amp;P17,#REF!,"(10.152.26.31)",#REF!,"record_type=DER")</f>
        <v>#REF!</v>
      </c>
      <c r="M17" s="5" t="e">
        <f>COUNTIFS(#REF!,"&gt;"&amp;O17,#REF!,"&lt;"&amp;P17,#REF!,"(10.152.26.32)",#REF!,"record_type=DER")</f>
        <v>#REF!</v>
      </c>
      <c r="O17" t="str">
        <f t="shared" si="0"/>
        <v>08:02:00</v>
      </c>
      <c r="P17" t="str">
        <f t="shared" si="1"/>
        <v>08:02:10</v>
      </c>
    </row>
    <row r="18" spans="1:16" x14ac:dyDescent="0.25">
      <c r="A18" s="4" t="s">
        <v>26</v>
      </c>
      <c r="B18" s="5">
        <f>COUNTIFS(Breakdown!A:A,"&gt;"&amp;O18,Breakdown!A:A,"&lt;"&amp;P18,Breakdown!B:B,"(10.152.26.30)",Breakdown!C:C,"record_type=QUR")</f>
        <v>1</v>
      </c>
      <c r="C18" s="5">
        <f>COUNTIFS(Breakdown!A:A,"&gt;"&amp;O18,Breakdown!A:A,"&lt;"&amp;P18,Breakdown!B:B,"(10.152.26.31)",Breakdown!C:C,"record_type=QUR")</f>
        <v>3</v>
      </c>
      <c r="D18" s="5">
        <f>COUNTIFS(Breakdown!A:A,"&gt;"&amp;O18,Breakdown!A:A,"&lt;"&amp;P18,Breakdown!B:B,"(10.152.26.32)",Breakdown!C:C,"record_type=QUR")</f>
        <v>2</v>
      </c>
      <c r="E18" s="5">
        <f>COUNTIFS(Breakdown!A:A,"&gt;"&amp;O18,Breakdown!A:A,"&lt;"&amp;P18,Breakdown!B:B,"(10.152.26.30)",Breakdown!C:C,"record_type=DER")</f>
        <v>0</v>
      </c>
      <c r="F18" s="5">
        <f>COUNTIFS(Breakdown!A:A,"&gt;"&amp;O18,Breakdown!A:A,"&lt;"&amp;P18,Breakdown!B:B,"(10.152.26.31)",Breakdown!C:C,"record_type=DER")</f>
        <v>0</v>
      </c>
      <c r="G18" s="5">
        <f>COUNTIFS(Breakdown!A:A,"&gt;"&amp;O18,Breakdown!A:A,"&lt;"&amp;P18,Breakdown!B:B,"(10.152.26.32)",Breakdown!C:C,"record_type=DER")</f>
        <v>0</v>
      </c>
      <c r="H18" s="5" t="e">
        <f>COUNTIFS(#REF!,"&gt;"&amp;O18,#REF!,"&lt;"&amp;P18,#REF!,"(10.152.26.30)",#REF!,"record_type=QUR")</f>
        <v>#REF!</v>
      </c>
      <c r="I18" s="5" t="e">
        <f>COUNTIFS(#REF!,"&gt;"&amp;O18,#REF!,"&lt;"&amp;P18,#REF!,"(10.152.26.31)",#REF!,"record_type=QUR")</f>
        <v>#REF!</v>
      </c>
      <c r="J18" s="5" t="e">
        <f>COUNTIFS(#REF!,"&gt;"&amp;O18,#REF!,"&lt;"&amp;P18,#REF!,"(10.152.26.32)",#REF!,"record_type=QUR")</f>
        <v>#REF!</v>
      </c>
      <c r="K18" s="5" t="e">
        <f>COUNTIFS(#REF!,"&gt;"&amp;O18,#REF!,"&lt;"&amp;P18,#REF!,"(10.152.26.30)",#REF!,"record_type=DER")</f>
        <v>#REF!</v>
      </c>
      <c r="L18" s="5" t="e">
        <f>COUNTIFS(#REF!,"&gt;"&amp;O18,#REF!,"&lt;"&amp;P18,#REF!,"(10.152.26.31)",#REF!,"record_type=DER")</f>
        <v>#REF!</v>
      </c>
      <c r="M18" s="5" t="e">
        <f>COUNTIFS(#REF!,"&gt;"&amp;O18,#REF!,"&lt;"&amp;P18,#REF!,"(10.152.26.32)",#REF!,"record_type=DER")</f>
        <v>#REF!</v>
      </c>
      <c r="O18" t="str">
        <f t="shared" si="0"/>
        <v>08:02:11</v>
      </c>
      <c r="P18" t="str">
        <f t="shared" si="1"/>
        <v>08:02:20</v>
      </c>
    </row>
    <row r="19" spans="1:16" x14ac:dyDescent="0.25">
      <c r="A19" s="4" t="s">
        <v>27</v>
      </c>
      <c r="B19" s="5">
        <f>COUNTIFS(Breakdown!A:A,"&gt;"&amp;O19,Breakdown!A:A,"&lt;"&amp;P19,Breakdown!B:B,"(10.152.26.30)",Breakdown!C:C,"record_type=QUR")</f>
        <v>3</v>
      </c>
      <c r="C19" s="5">
        <f>COUNTIFS(Breakdown!A:A,"&gt;"&amp;O19,Breakdown!A:A,"&lt;"&amp;P19,Breakdown!B:B,"(10.152.26.31)",Breakdown!C:C,"record_type=QUR")</f>
        <v>3</v>
      </c>
      <c r="D19" s="5">
        <f>COUNTIFS(Breakdown!A:A,"&gt;"&amp;O19,Breakdown!A:A,"&lt;"&amp;P19,Breakdown!B:B,"(10.152.26.32)",Breakdown!C:C,"record_type=QUR")</f>
        <v>6</v>
      </c>
      <c r="E19" s="5">
        <f>COUNTIFS(Breakdown!A:A,"&gt;"&amp;O19,Breakdown!A:A,"&lt;"&amp;P19,Breakdown!B:B,"(10.152.26.30)",Breakdown!C:C,"record_type=DER")</f>
        <v>0</v>
      </c>
      <c r="F19" s="5">
        <f>COUNTIFS(Breakdown!A:A,"&gt;"&amp;O19,Breakdown!A:A,"&lt;"&amp;P19,Breakdown!B:B,"(10.152.26.31)",Breakdown!C:C,"record_type=DER")</f>
        <v>0</v>
      </c>
      <c r="G19" s="5">
        <f>COUNTIFS(Breakdown!A:A,"&gt;"&amp;O19,Breakdown!A:A,"&lt;"&amp;P19,Breakdown!B:B,"(10.152.26.32)",Breakdown!C:C,"record_type=DER")</f>
        <v>0</v>
      </c>
      <c r="H19" s="5" t="e">
        <f>COUNTIFS(#REF!,"&gt;"&amp;O19,#REF!,"&lt;"&amp;P19,#REF!,"(10.152.26.30)",#REF!,"record_type=QUR")</f>
        <v>#REF!</v>
      </c>
      <c r="I19" s="5" t="e">
        <f>COUNTIFS(#REF!,"&gt;"&amp;O19,#REF!,"&lt;"&amp;P19,#REF!,"(10.152.26.31)",#REF!,"record_type=QUR")</f>
        <v>#REF!</v>
      </c>
      <c r="J19" s="5" t="e">
        <f>COUNTIFS(#REF!,"&gt;"&amp;O19,#REF!,"&lt;"&amp;P19,#REF!,"(10.152.26.32)",#REF!,"record_type=QUR")</f>
        <v>#REF!</v>
      </c>
      <c r="K19" s="5" t="e">
        <f>COUNTIFS(#REF!,"&gt;"&amp;O19,#REF!,"&lt;"&amp;P19,#REF!,"(10.152.26.30)",#REF!,"record_type=DER")</f>
        <v>#REF!</v>
      </c>
      <c r="L19" s="5" t="e">
        <f>COUNTIFS(#REF!,"&gt;"&amp;O19,#REF!,"&lt;"&amp;P19,#REF!,"(10.152.26.31)",#REF!,"record_type=DER")</f>
        <v>#REF!</v>
      </c>
      <c r="M19" s="5" t="e">
        <f>COUNTIFS(#REF!,"&gt;"&amp;O19,#REF!,"&lt;"&amp;P19,#REF!,"(10.152.26.32)",#REF!,"record_type=DER")</f>
        <v>#REF!</v>
      </c>
      <c r="O19" t="str">
        <f t="shared" si="0"/>
        <v>08:02:21</v>
      </c>
      <c r="P19" t="str">
        <f t="shared" si="1"/>
        <v>08:02:30</v>
      </c>
    </row>
    <row r="20" spans="1:16" x14ac:dyDescent="0.25">
      <c r="A20" s="4" t="s">
        <v>28</v>
      </c>
      <c r="B20" s="5">
        <f>COUNTIFS(Breakdown!A:A,"&gt;"&amp;O20,Breakdown!A:A,"&lt;"&amp;P20,Breakdown!B:B,"(10.152.26.30)",Breakdown!C:C,"record_type=QUR")</f>
        <v>5</v>
      </c>
      <c r="C20" s="5">
        <f>COUNTIFS(Breakdown!A:A,"&gt;"&amp;O20,Breakdown!A:A,"&lt;"&amp;P20,Breakdown!B:B,"(10.152.26.31)",Breakdown!C:C,"record_type=QUR")</f>
        <v>3</v>
      </c>
      <c r="D20" s="5">
        <f>COUNTIFS(Breakdown!A:A,"&gt;"&amp;O20,Breakdown!A:A,"&lt;"&amp;P20,Breakdown!B:B,"(10.152.26.32)",Breakdown!C:C,"record_type=QUR")</f>
        <v>1</v>
      </c>
      <c r="E20" s="5">
        <f>COUNTIFS(Breakdown!A:A,"&gt;"&amp;O20,Breakdown!A:A,"&lt;"&amp;P20,Breakdown!B:B,"(10.152.26.30)",Breakdown!C:C,"record_type=DER")</f>
        <v>1</v>
      </c>
      <c r="F20" s="5">
        <f>COUNTIFS(Breakdown!A:A,"&gt;"&amp;O20,Breakdown!A:A,"&lt;"&amp;P20,Breakdown!B:B,"(10.152.26.31)",Breakdown!C:C,"record_type=DER")</f>
        <v>2</v>
      </c>
      <c r="G20" s="5">
        <f>COUNTIFS(Breakdown!A:A,"&gt;"&amp;O20,Breakdown!A:A,"&lt;"&amp;P20,Breakdown!B:B,"(10.152.26.32)",Breakdown!C:C,"record_type=DER")</f>
        <v>1</v>
      </c>
      <c r="H20" s="5" t="e">
        <f>COUNTIFS(#REF!,"&gt;"&amp;O20,#REF!,"&lt;"&amp;P20,#REF!,"(10.152.26.30)",#REF!,"record_type=QUR")</f>
        <v>#REF!</v>
      </c>
      <c r="I20" s="5" t="e">
        <f>COUNTIFS(#REF!,"&gt;"&amp;O20,#REF!,"&lt;"&amp;P20,#REF!,"(10.152.26.31)",#REF!,"record_type=QUR")</f>
        <v>#REF!</v>
      </c>
      <c r="J20" s="5" t="e">
        <f>COUNTIFS(#REF!,"&gt;"&amp;O20,#REF!,"&lt;"&amp;P20,#REF!,"(10.152.26.32)",#REF!,"record_type=QUR")</f>
        <v>#REF!</v>
      </c>
      <c r="K20" s="5" t="e">
        <f>COUNTIFS(#REF!,"&gt;"&amp;O20,#REF!,"&lt;"&amp;P20,#REF!,"(10.152.26.30)",#REF!,"record_type=DER")</f>
        <v>#REF!</v>
      </c>
      <c r="L20" s="5" t="e">
        <f>COUNTIFS(#REF!,"&gt;"&amp;O20,#REF!,"&lt;"&amp;P20,#REF!,"(10.152.26.31)",#REF!,"record_type=DER")</f>
        <v>#REF!</v>
      </c>
      <c r="M20" s="5" t="e">
        <f>COUNTIFS(#REF!,"&gt;"&amp;O20,#REF!,"&lt;"&amp;P20,#REF!,"(10.152.26.32)",#REF!,"record_type=DER")</f>
        <v>#REF!</v>
      </c>
      <c r="O20" t="str">
        <f t="shared" si="0"/>
        <v>08:02:31</v>
      </c>
      <c r="P20" t="str">
        <f t="shared" si="1"/>
        <v>08:02:40</v>
      </c>
    </row>
    <row r="21" spans="1:16" x14ac:dyDescent="0.25">
      <c r="A21" s="4" t="s">
        <v>29</v>
      </c>
      <c r="B21" s="5">
        <f>COUNTIFS(Breakdown!A:A,"&gt;"&amp;O21,Breakdown!A:A,"&lt;"&amp;P21,Breakdown!B:B,"(10.152.26.30)",Breakdown!C:C,"record_type=QUR")</f>
        <v>8</v>
      </c>
      <c r="C21" s="5">
        <f>COUNTIFS(Breakdown!A:A,"&gt;"&amp;O21,Breakdown!A:A,"&lt;"&amp;P21,Breakdown!B:B,"(10.152.26.31)",Breakdown!C:C,"record_type=QUR")</f>
        <v>4</v>
      </c>
      <c r="D21" s="5">
        <f>COUNTIFS(Breakdown!A:A,"&gt;"&amp;O21,Breakdown!A:A,"&lt;"&amp;P21,Breakdown!B:B,"(10.152.26.32)",Breakdown!C:C,"record_type=QUR")</f>
        <v>5</v>
      </c>
      <c r="E21" s="5">
        <f>COUNTIFS(Breakdown!A:A,"&gt;"&amp;O21,Breakdown!A:A,"&lt;"&amp;P21,Breakdown!B:B,"(10.152.26.30)",Breakdown!C:C,"record_type=DER")</f>
        <v>1</v>
      </c>
      <c r="F21" s="5">
        <f>COUNTIFS(Breakdown!A:A,"&gt;"&amp;O21,Breakdown!A:A,"&lt;"&amp;P21,Breakdown!B:B,"(10.152.26.31)",Breakdown!C:C,"record_type=DER")</f>
        <v>1</v>
      </c>
      <c r="G21" s="5">
        <f>COUNTIFS(Breakdown!A:A,"&gt;"&amp;O21,Breakdown!A:A,"&lt;"&amp;P21,Breakdown!B:B,"(10.152.26.32)",Breakdown!C:C,"record_type=DER")</f>
        <v>0</v>
      </c>
      <c r="H21" s="5" t="e">
        <f>COUNTIFS(#REF!,"&gt;"&amp;O21,#REF!,"&lt;"&amp;P21,#REF!,"(10.152.26.30)",#REF!,"record_type=QUR")</f>
        <v>#REF!</v>
      </c>
      <c r="I21" s="5" t="e">
        <f>COUNTIFS(#REF!,"&gt;"&amp;O21,#REF!,"&lt;"&amp;P21,#REF!,"(10.152.26.31)",#REF!,"record_type=QUR")</f>
        <v>#REF!</v>
      </c>
      <c r="J21" s="5" t="e">
        <f>COUNTIFS(#REF!,"&gt;"&amp;O21,#REF!,"&lt;"&amp;P21,#REF!,"(10.152.26.32)",#REF!,"record_type=QUR")</f>
        <v>#REF!</v>
      </c>
      <c r="K21" s="5" t="e">
        <f>COUNTIFS(#REF!,"&gt;"&amp;O21,#REF!,"&lt;"&amp;P21,#REF!,"(10.152.26.30)",#REF!,"record_type=DER")</f>
        <v>#REF!</v>
      </c>
      <c r="L21" s="5" t="e">
        <f>COUNTIFS(#REF!,"&gt;"&amp;O21,#REF!,"&lt;"&amp;P21,#REF!,"(10.152.26.31)",#REF!,"record_type=DER")</f>
        <v>#REF!</v>
      </c>
      <c r="M21" s="5" t="e">
        <f>COUNTIFS(#REF!,"&gt;"&amp;O21,#REF!,"&lt;"&amp;P21,#REF!,"(10.152.26.32)",#REF!,"record_type=DER")</f>
        <v>#REF!</v>
      </c>
      <c r="O21" t="str">
        <f t="shared" si="0"/>
        <v>08:02:41</v>
      </c>
      <c r="P21" t="str">
        <f t="shared" si="1"/>
        <v>08:02:50</v>
      </c>
    </row>
    <row r="22" spans="1:16" x14ac:dyDescent="0.25">
      <c r="A22" s="4" t="s">
        <v>30</v>
      </c>
      <c r="B22" s="5">
        <f>COUNTIFS(Breakdown!A:A,"&gt;"&amp;O22,Breakdown!A:A,"&lt;"&amp;P22,Breakdown!B:B,"(10.152.26.30)",Breakdown!C:C,"record_type=QUR")</f>
        <v>2</v>
      </c>
      <c r="C22" s="5">
        <f>COUNTIFS(Breakdown!A:A,"&gt;"&amp;O22,Breakdown!A:A,"&lt;"&amp;P22,Breakdown!B:B,"(10.152.26.31)",Breakdown!C:C,"record_type=QUR")</f>
        <v>3</v>
      </c>
      <c r="D22" s="5">
        <f>COUNTIFS(Breakdown!A:A,"&gt;"&amp;O22,Breakdown!A:A,"&lt;"&amp;P22,Breakdown!B:B,"(10.152.26.32)",Breakdown!C:C,"record_type=QUR")</f>
        <v>5</v>
      </c>
      <c r="E22" s="5">
        <f>COUNTIFS(Breakdown!A:A,"&gt;"&amp;O22,Breakdown!A:A,"&lt;"&amp;P22,Breakdown!B:B,"(10.152.26.30)",Breakdown!C:C,"record_type=DER")</f>
        <v>0</v>
      </c>
      <c r="F22" s="5">
        <f>COUNTIFS(Breakdown!A:A,"&gt;"&amp;O22,Breakdown!A:A,"&lt;"&amp;P22,Breakdown!B:B,"(10.152.26.31)",Breakdown!C:C,"record_type=DER")</f>
        <v>1</v>
      </c>
      <c r="G22" s="5">
        <f>COUNTIFS(Breakdown!A:A,"&gt;"&amp;O22,Breakdown!A:A,"&lt;"&amp;P22,Breakdown!B:B,"(10.152.26.32)",Breakdown!C:C,"record_type=DER")</f>
        <v>0</v>
      </c>
      <c r="H22" s="5" t="e">
        <f>COUNTIFS(#REF!,"&gt;"&amp;O22,#REF!,"&lt;"&amp;P22,#REF!,"(10.152.26.30)",#REF!,"record_type=QUR")</f>
        <v>#REF!</v>
      </c>
      <c r="I22" s="5" t="e">
        <f>COUNTIFS(#REF!,"&gt;"&amp;O22,#REF!,"&lt;"&amp;P22,#REF!,"(10.152.26.31)",#REF!,"record_type=QUR")</f>
        <v>#REF!</v>
      </c>
      <c r="J22" s="5" t="e">
        <f>COUNTIFS(#REF!,"&gt;"&amp;O22,#REF!,"&lt;"&amp;P22,#REF!,"(10.152.26.32)",#REF!,"record_type=QUR")</f>
        <v>#REF!</v>
      </c>
      <c r="K22" s="5" t="e">
        <f>COUNTIFS(#REF!,"&gt;"&amp;O22,#REF!,"&lt;"&amp;P22,#REF!,"(10.152.26.30)",#REF!,"record_type=DER")</f>
        <v>#REF!</v>
      </c>
      <c r="L22" s="5" t="e">
        <f>COUNTIFS(#REF!,"&gt;"&amp;O22,#REF!,"&lt;"&amp;P22,#REF!,"(10.152.26.31)",#REF!,"record_type=DER")</f>
        <v>#REF!</v>
      </c>
      <c r="M22" s="5" t="e">
        <f>COUNTIFS(#REF!,"&gt;"&amp;O22,#REF!,"&lt;"&amp;P22,#REF!,"(10.152.26.32)",#REF!,"record_type=DER")</f>
        <v>#REF!</v>
      </c>
      <c r="O22" t="str">
        <f t="shared" si="0"/>
        <v>08:02:51</v>
      </c>
      <c r="P22" t="str">
        <f t="shared" si="1"/>
        <v>08:03:00</v>
      </c>
    </row>
    <row r="23" spans="1:16" x14ac:dyDescent="0.25">
      <c r="A23" s="4" t="s">
        <v>31</v>
      </c>
      <c r="B23" s="5">
        <f>COUNTIFS(Breakdown!A:A,"&gt;"&amp;O23,Breakdown!A:A,"&lt;"&amp;P23,Breakdown!B:B,"(10.152.26.30)",Breakdown!C:C,"record_type=QUR")</f>
        <v>6</v>
      </c>
      <c r="C23" s="5">
        <f>COUNTIFS(Breakdown!A:A,"&gt;"&amp;O23,Breakdown!A:A,"&lt;"&amp;P23,Breakdown!B:B,"(10.152.26.31)",Breakdown!C:C,"record_type=QUR")</f>
        <v>4</v>
      </c>
      <c r="D23" s="5">
        <f>COUNTIFS(Breakdown!A:A,"&gt;"&amp;O23,Breakdown!A:A,"&lt;"&amp;P23,Breakdown!B:B,"(10.152.26.32)",Breakdown!C:C,"record_type=QUR")</f>
        <v>3</v>
      </c>
      <c r="E23" s="5">
        <f>COUNTIFS(Breakdown!A:A,"&gt;"&amp;O23,Breakdown!A:A,"&lt;"&amp;P23,Breakdown!B:B,"(10.152.26.30)",Breakdown!C:C,"record_type=DER")</f>
        <v>0</v>
      </c>
      <c r="F23" s="5">
        <f>COUNTIFS(Breakdown!A:A,"&gt;"&amp;O23,Breakdown!A:A,"&lt;"&amp;P23,Breakdown!B:B,"(10.152.26.31)",Breakdown!C:C,"record_type=DER")</f>
        <v>1</v>
      </c>
      <c r="G23" s="5">
        <f>COUNTIFS(Breakdown!A:A,"&gt;"&amp;O23,Breakdown!A:A,"&lt;"&amp;P23,Breakdown!B:B,"(10.152.26.32)",Breakdown!C:C,"record_type=DER")</f>
        <v>0</v>
      </c>
      <c r="H23" s="5" t="e">
        <f>COUNTIFS(#REF!,"&gt;"&amp;O23,#REF!,"&lt;"&amp;P23,#REF!,"(10.152.26.30)",#REF!,"record_type=QUR")</f>
        <v>#REF!</v>
      </c>
      <c r="I23" s="5" t="e">
        <f>COUNTIFS(#REF!,"&gt;"&amp;O23,#REF!,"&lt;"&amp;P23,#REF!,"(10.152.26.31)",#REF!,"record_type=QUR")</f>
        <v>#REF!</v>
      </c>
      <c r="J23" s="5" t="e">
        <f>COUNTIFS(#REF!,"&gt;"&amp;O23,#REF!,"&lt;"&amp;P23,#REF!,"(10.152.26.32)",#REF!,"record_type=QUR")</f>
        <v>#REF!</v>
      </c>
      <c r="K23" s="5" t="e">
        <f>COUNTIFS(#REF!,"&gt;"&amp;O23,#REF!,"&lt;"&amp;P23,#REF!,"(10.152.26.30)",#REF!,"record_type=DER")</f>
        <v>#REF!</v>
      </c>
      <c r="L23" s="5" t="e">
        <f>COUNTIFS(#REF!,"&gt;"&amp;O23,#REF!,"&lt;"&amp;P23,#REF!,"(10.152.26.31)",#REF!,"record_type=DER")</f>
        <v>#REF!</v>
      </c>
      <c r="M23" s="5" t="e">
        <f>COUNTIFS(#REF!,"&gt;"&amp;O23,#REF!,"&lt;"&amp;P23,#REF!,"(10.152.26.32)",#REF!,"record_type=DER")</f>
        <v>#REF!</v>
      </c>
      <c r="O23" t="str">
        <f t="shared" si="0"/>
        <v>08:03:00</v>
      </c>
      <c r="P23" t="str">
        <f t="shared" si="1"/>
        <v>08:03:10</v>
      </c>
    </row>
    <row r="24" spans="1:16" x14ac:dyDescent="0.25">
      <c r="A24" s="4" t="s">
        <v>32</v>
      </c>
      <c r="B24" s="5">
        <f>COUNTIFS(Breakdown!A:A,"&gt;"&amp;O24,Breakdown!A:A,"&lt;"&amp;P24,Breakdown!B:B,"(10.152.26.30)",Breakdown!C:C,"record_type=QUR")</f>
        <v>2</v>
      </c>
      <c r="C24" s="5">
        <f>COUNTIFS(Breakdown!A:A,"&gt;"&amp;O24,Breakdown!A:A,"&lt;"&amp;P24,Breakdown!B:B,"(10.152.26.31)",Breakdown!C:C,"record_type=QUR")</f>
        <v>3</v>
      </c>
      <c r="D24" s="5">
        <f>COUNTIFS(Breakdown!A:A,"&gt;"&amp;O24,Breakdown!A:A,"&lt;"&amp;P24,Breakdown!B:B,"(10.152.26.32)",Breakdown!C:C,"record_type=QUR")</f>
        <v>2</v>
      </c>
      <c r="E24" s="5">
        <f>COUNTIFS(Breakdown!A:A,"&gt;"&amp;O24,Breakdown!A:A,"&lt;"&amp;P24,Breakdown!B:B,"(10.152.26.30)",Breakdown!C:C,"record_type=DER")</f>
        <v>0</v>
      </c>
      <c r="F24" s="5">
        <f>COUNTIFS(Breakdown!A:A,"&gt;"&amp;O24,Breakdown!A:A,"&lt;"&amp;P24,Breakdown!B:B,"(10.152.26.31)",Breakdown!C:C,"record_type=DER")</f>
        <v>0</v>
      </c>
      <c r="G24" s="5">
        <f>COUNTIFS(Breakdown!A:A,"&gt;"&amp;O24,Breakdown!A:A,"&lt;"&amp;P24,Breakdown!B:B,"(10.152.26.32)",Breakdown!C:C,"record_type=DER")</f>
        <v>0</v>
      </c>
      <c r="H24" s="5" t="e">
        <f>COUNTIFS(#REF!,"&gt;"&amp;O24,#REF!,"&lt;"&amp;P24,#REF!,"(10.152.26.30)",#REF!,"record_type=QUR")</f>
        <v>#REF!</v>
      </c>
      <c r="I24" s="5" t="e">
        <f>COUNTIFS(#REF!,"&gt;"&amp;O24,#REF!,"&lt;"&amp;P24,#REF!,"(10.152.26.31)",#REF!,"record_type=QUR")</f>
        <v>#REF!</v>
      </c>
      <c r="J24" s="5" t="e">
        <f>COUNTIFS(#REF!,"&gt;"&amp;O24,#REF!,"&lt;"&amp;P24,#REF!,"(10.152.26.32)",#REF!,"record_type=QUR")</f>
        <v>#REF!</v>
      </c>
      <c r="K24" s="5" t="e">
        <f>COUNTIFS(#REF!,"&gt;"&amp;O24,#REF!,"&lt;"&amp;P24,#REF!,"(10.152.26.30)",#REF!,"record_type=DER")</f>
        <v>#REF!</v>
      </c>
      <c r="L24" s="5" t="e">
        <f>COUNTIFS(#REF!,"&gt;"&amp;O24,#REF!,"&lt;"&amp;P24,#REF!,"(10.152.26.31)",#REF!,"record_type=DER")</f>
        <v>#REF!</v>
      </c>
      <c r="M24" s="5" t="e">
        <f>COUNTIFS(#REF!,"&gt;"&amp;O24,#REF!,"&lt;"&amp;P24,#REF!,"(10.152.26.32)",#REF!,"record_type=DER")</f>
        <v>#REF!</v>
      </c>
      <c r="O24" t="str">
        <f t="shared" si="0"/>
        <v>08:03:11</v>
      </c>
      <c r="P24" t="str">
        <f t="shared" si="1"/>
        <v>08:03:20</v>
      </c>
    </row>
    <row r="25" spans="1:16" x14ac:dyDescent="0.25">
      <c r="A25" s="4" t="s">
        <v>33</v>
      </c>
      <c r="B25" s="5">
        <f>COUNTIFS(Breakdown!A:A,"&gt;"&amp;O25,Breakdown!A:A,"&lt;"&amp;P25,Breakdown!B:B,"(10.152.26.30)",Breakdown!C:C,"record_type=QUR")</f>
        <v>4</v>
      </c>
      <c r="C25" s="5">
        <f>COUNTIFS(Breakdown!A:A,"&gt;"&amp;O25,Breakdown!A:A,"&lt;"&amp;P25,Breakdown!B:B,"(10.152.26.31)",Breakdown!C:C,"record_type=QUR")</f>
        <v>1</v>
      </c>
      <c r="D25" s="5">
        <f>COUNTIFS(Breakdown!A:A,"&gt;"&amp;O25,Breakdown!A:A,"&lt;"&amp;P25,Breakdown!B:B,"(10.152.26.32)",Breakdown!C:C,"record_type=QUR")</f>
        <v>5</v>
      </c>
      <c r="E25" s="5">
        <f>COUNTIFS(Breakdown!A:A,"&gt;"&amp;O25,Breakdown!A:A,"&lt;"&amp;P25,Breakdown!B:B,"(10.152.26.30)",Breakdown!C:C,"record_type=DER")</f>
        <v>0</v>
      </c>
      <c r="F25" s="5">
        <f>COUNTIFS(Breakdown!A:A,"&gt;"&amp;O25,Breakdown!A:A,"&lt;"&amp;P25,Breakdown!B:B,"(10.152.26.31)",Breakdown!C:C,"record_type=DER")</f>
        <v>1</v>
      </c>
      <c r="G25" s="5">
        <f>COUNTIFS(Breakdown!A:A,"&gt;"&amp;O25,Breakdown!A:A,"&lt;"&amp;P25,Breakdown!B:B,"(10.152.26.32)",Breakdown!C:C,"record_type=DER")</f>
        <v>0</v>
      </c>
      <c r="H25" s="5" t="e">
        <f>COUNTIFS(#REF!,"&gt;"&amp;O25,#REF!,"&lt;"&amp;P25,#REF!,"(10.152.26.30)",#REF!,"record_type=QUR")</f>
        <v>#REF!</v>
      </c>
      <c r="I25" s="5" t="e">
        <f>COUNTIFS(#REF!,"&gt;"&amp;O25,#REF!,"&lt;"&amp;P25,#REF!,"(10.152.26.31)",#REF!,"record_type=QUR")</f>
        <v>#REF!</v>
      </c>
      <c r="J25" s="5" t="e">
        <f>COUNTIFS(#REF!,"&gt;"&amp;O25,#REF!,"&lt;"&amp;P25,#REF!,"(10.152.26.32)",#REF!,"record_type=QUR")</f>
        <v>#REF!</v>
      </c>
      <c r="K25" s="5" t="e">
        <f>COUNTIFS(#REF!,"&gt;"&amp;O25,#REF!,"&lt;"&amp;P25,#REF!,"(10.152.26.30)",#REF!,"record_type=DER")</f>
        <v>#REF!</v>
      </c>
      <c r="L25" s="5" t="e">
        <f>COUNTIFS(#REF!,"&gt;"&amp;O25,#REF!,"&lt;"&amp;P25,#REF!,"(10.152.26.31)",#REF!,"record_type=DER")</f>
        <v>#REF!</v>
      </c>
      <c r="M25" s="5" t="e">
        <f>COUNTIFS(#REF!,"&gt;"&amp;O25,#REF!,"&lt;"&amp;P25,#REF!,"(10.152.26.32)",#REF!,"record_type=DER")</f>
        <v>#REF!</v>
      </c>
      <c r="O25" t="str">
        <f t="shared" si="0"/>
        <v>08:03:21</v>
      </c>
      <c r="P25" t="str">
        <f t="shared" si="1"/>
        <v>08:03:30</v>
      </c>
    </row>
    <row r="26" spans="1:16" x14ac:dyDescent="0.25">
      <c r="A26" s="4" t="s">
        <v>34</v>
      </c>
      <c r="B26" s="5">
        <f>COUNTIFS(Breakdown!A:A,"&gt;"&amp;O26,Breakdown!A:A,"&lt;"&amp;P26,Breakdown!B:B,"(10.152.26.30)",Breakdown!C:C,"record_type=QUR")</f>
        <v>3</v>
      </c>
      <c r="C26" s="5">
        <f>COUNTIFS(Breakdown!A:A,"&gt;"&amp;O26,Breakdown!A:A,"&lt;"&amp;P26,Breakdown!B:B,"(10.152.26.31)",Breakdown!C:C,"record_type=QUR")</f>
        <v>4</v>
      </c>
      <c r="D26" s="5">
        <f>COUNTIFS(Breakdown!A:A,"&gt;"&amp;O26,Breakdown!A:A,"&lt;"&amp;P26,Breakdown!B:B,"(10.152.26.32)",Breakdown!C:C,"record_type=QUR")</f>
        <v>0</v>
      </c>
      <c r="E26" s="5">
        <f>COUNTIFS(Breakdown!A:A,"&gt;"&amp;O26,Breakdown!A:A,"&lt;"&amp;P26,Breakdown!B:B,"(10.152.26.30)",Breakdown!C:C,"record_type=DER")</f>
        <v>0</v>
      </c>
      <c r="F26" s="5">
        <f>COUNTIFS(Breakdown!A:A,"&gt;"&amp;O26,Breakdown!A:A,"&lt;"&amp;P26,Breakdown!B:B,"(10.152.26.31)",Breakdown!C:C,"record_type=DER")</f>
        <v>0</v>
      </c>
      <c r="G26" s="5">
        <f>COUNTIFS(Breakdown!A:A,"&gt;"&amp;O26,Breakdown!A:A,"&lt;"&amp;P26,Breakdown!B:B,"(10.152.26.32)",Breakdown!C:C,"record_type=DER")</f>
        <v>0</v>
      </c>
      <c r="H26" s="5" t="e">
        <f>COUNTIFS(#REF!,"&gt;"&amp;O26,#REF!,"&lt;"&amp;P26,#REF!,"(10.152.26.30)",#REF!,"record_type=QUR")</f>
        <v>#REF!</v>
      </c>
      <c r="I26" s="5" t="e">
        <f>COUNTIFS(#REF!,"&gt;"&amp;O26,#REF!,"&lt;"&amp;P26,#REF!,"(10.152.26.31)",#REF!,"record_type=QUR")</f>
        <v>#REF!</v>
      </c>
      <c r="J26" s="5" t="e">
        <f>COUNTIFS(#REF!,"&gt;"&amp;O26,#REF!,"&lt;"&amp;P26,#REF!,"(10.152.26.32)",#REF!,"record_type=QUR")</f>
        <v>#REF!</v>
      </c>
      <c r="K26" s="5" t="e">
        <f>COUNTIFS(#REF!,"&gt;"&amp;O26,#REF!,"&lt;"&amp;P26,#REF!,"(10.152.26.30)",#REF!,"record_type=DER")</f>
        <v>#REF!</v>
      </c>
      <c r="L26" s="5" t="e">
        <f>COUNTIFS(#REF!,"&gt;"&amp;O26,#REF!,"&lt;"&amp;P26,#REF!,"(10.152.26.31)",#REF!,"record_type=DER")</f>
        <v>#REF!</v>
      </c>
      <c r="M26" s="5" t="e">
        <f>COUNTIFS(#REF!,"&gt;"&amp;O26,#REF!,"&lt;"&amp;P26,#REF!,"(10.152.26.32)",#REF!,"record_type=DER")</f>
        <v>#REF!</v>
      </c>
      <c r="O26" t="str">
        <f t="shared" si="0"/>
        <v>08:03:31</v>
      </c>
      <c r="P26" t="str">
        <f t="shared" si="1"/>
        <v>08:03:40</v>
      </c>
    </row>
    <row r="27" spans="1:16" x14ac:dyDescent="0.25">
      <c r="A27" s="4" t="s">
        <v>35</v>
      </c>
      <c r="B27" s="5">
        <f>COUNTIFS(Breakdown!A:A,"&gt;"&amp;O27,Breakdown!A:A,"&lt;"&amp;P27,Breakdown!B:B,"(10.152.26.30)",Breakdown!C:C,"record_type=QUR")</f>
        <v>4</v>
      </c>
      <c r="C27" s="5">
        <f>COUNTIFS(Breakdown!A:A,"&gt;"&amp;O27,Breakdown!A:A,"&lt;"&amp;P27,Breakdown!B:B,"(10.152.26.31)",Breakdown!C:C,"record_type=QUR")</f>
        <v>1</v>
      </c>
      <c r="D27" s="5">
        <f>COUNTIFS(Breakdown!A:A,"&gt;"&amp;O27,Breakdown!A:A,"&lt;"&amp;P27,Breakdown!B:B,"(10.152.26.32)",Breakdown!C:C,"record_type=QUR")</f>
        <v>4</v>
      </c>
      <c r="E27" s="5">
        <f>COUNTIFS(Breakdown!A:A,"&gt;"&amp;O27,Breakdown!A:A,"&lt;"&amp;P27,Breakdown!B:B,"(10.152.26.30)",Breakdown!C:C,"record_type=DER")</f>
        <v>0</v>
      </c>
      <c r="F27" s="5">
        <f>COUNTIFS(Breakdown!A:A,"&gt;"&amp;O27,Breakdown!A:A,"&lt;"&amp;P27,Breakdown!B:B,"(10.152.26.31)",Breakdown!C:C,"record_type=DER")</f>
        <v>0</v>
      </c>
      <c r="G27" s="5">
        <f>COUNTIFS(Breakdown!A:A,"&gt;"&amp;O27,Breakdown!A:A,"&lt;"&amp;P27,Breakdown!B:B,"(10.152.26.32)",Breakdown!C:C,"record_type=DER")</f>
        <v>0</v>
      </c>
      <c r="H27" s="5" t="e">
        <f>COUNTIFS(#REF!,"&gt;"&amp;O27,#REF!,"&lt;"&amp;P27,#REF!,"(10.152.26.30)",#REF!,"record_type=QUR")</f>
        <v>#REF!</v>
      </c>
      <c r="I27" s="5" t="e">
        <f>COUNTIFS(#REF!,"&gt;"&amp;O27,#REF!,"&lt;"&amp;P27,#REF!,"(10.152.26.31)",#REF!,"record_type=QUR")</f>
        <v>#REF!</v>
      </c>
      <c r="J27" s="5" t="e">
        <f>COUNTIFS(#REF!,"&gt;"&amp;O27,#REF!,"&lt;"&amp;P27,#REF!,"(10.152.26.32)",#REF!,"record_type=QUR")</f>
        <v>#REF!</v>
      </c>
      <c r="K27" s="5" t="e">
        <f>COUNTIFS(#REF!,"&gt;"&amp;O27,#REF!,"&lt;"&amp;P27,#REF!,"(10.152.26.30)",#REF!,"record_type=DER")</f>
        <v>#REF!</v>
      </c>
      <c r="L27" s="5" t="e">
        <f>COUNTIFS(#REF!,"&gt;"&amp;O27,#REF!,"&lt;"&amp;P27,#REF!,"(10.152.26.31)",#REF!,"record_type=DER")</f>
        <v>#REF!</v>
      </c>
      <c r="M27" s="5" t="e">
        <f>COUNTIFS(#REF!,"&gt;"&amp;O27,#REF!,"&lt;"&amp;P27,#REF!,"(10.152.26.32)",#REF!,"record_type=DER")</f>
        <v>#REF!</v>
      </c>
      <c r="O27" t="str">
        <f t="shared" si="0"/>
        <v>08:03:41</v>
      </c>
      <c r="P27" t="str">
        <f t="shared" si="1"/>
        <v>08:03:50</v>
      </c>
    </row>
    <row r="28" spans="1:16" x14ac:dyDescent="0.25">
      <c r="A28" s="4" t="s">
        <v>36</v>
      </c>
      <c r="B28" s="5">
        <f>COUNTIFS(Breakdown!A:A,"&gt;"&amp;O28,Breakdown!A:A,"&lt;"&amp;P28,Breakdown!B:B,"(10.152.26.30)",Breakdown!C:C,"record_type=QUR")</f>
        <v>4</v>
      </c>
      <c r="C28" s="5">
        <f>COUNTIFS(Breakdown!A:A,"&gt;"&amp;O28,Breakdown!A:A,"&lt;"&amp;P28,Breakdown!B:B,"(10.152.26.31)",Breakdown!C:C,"record_type=QUR")</f>
        <v>2</v>
      </c>
      <c r="D28" s="5">
        <f>COUNTIFS(Breakdown!A:A,"&gt;"&amp;O28,Breakdown!A:A,"&lt;"&amp;P28,Breakdown!B:B,"(10.152.26.32)",Breakdown!C:C,"record_type=QUR")</f>
        <v>2</v>
      </c>
      <c r="E28" s="5">
        <f>COUNTIFS(Breakdown!A:A,"&gt;"&amp;O28,Breakdown!A:A,"&lt;"&amp;P28,Breakdown!B:B,"(10.152.26.30)",Breakdown!C:C,"record_type=DER")</f>
        <v>1</v>
      </c>
      <c r="F28" s="5">
        <f>COUNTIFS(Breakdown!A:A,"&gt;"&amp;O28,Breakdown!A:A,"&lt;"&amp;P28,Breakdown!B:B,"(10.152.26.31)",Breakdown!C:C,"record_type=DER")</f>
        <v>0</v>
      </c>
      <c r="G28" s="5">
        <f>COUNTIFS(Breakdown!A:A,"&gt;"&amp;O28,Breakdown!A:A,"&lt;"&amp;P28,Breakdown!B:B,"(10.152.26.32)",Breakdown!C:C,"record_type=DER")</f>
        <v>0</v>
      </c>
      <c r="H28" s="5" t="e">
        <f>COUNTIFS(#REF!,"&gt;"&amp;O28,#REF!,"&lt;"&amp;P28,#REF!,"(10.152.26.30)",#REF!,"record_type=QUR")</f>
        <v>#REF!</v>
      </c>
      <c r="I28" s="5" t="e">
        <f>COUNTIFS(#REF!,"&gt;"&amp;O28,#REF!,"&lt;"&amp;P28,#REF!,"(10.152.26.31)",#REF!,"record_type=QUR")</f>
        <v>#REF!</v>
      </c>
      <c r="J28" s="5" t="e">
        <f>COUNTIFS(#REF!,"&gt;"&amp;O28,#REF!,"&lt;"&amp;P28,#REF!,"(10.152.26.32)",#REF!,"record_type=QUR")</f>
        <v>#REF!</v>
      </c>
      <c r="K28" s="5" t="e">
        <f>COUNTIFS(#REF!,"&gt;"&amp;O28,#REF!,"&lt;"&amp;P28,#REF!,"(10.152.26.30)",#REF!,"record_type=DER")</f>
        <v>#REF!</v>
      </c>
      <c r="L28" s="5" t="e">
        <f>COUNTIFS(#REF!,"&gt;"&amp;O28,#REF!,"&lt;"&amp;P28,#REF!,"(10.152.26.31)",#REF!,"record_type=DER")</f>
        <v>#REF!</v>
      </c>
      <c r="M28" s="5" t="e">
        <f>COUNTIFS(#REF!,"&gt;"&amp;O28,#REF!,"&lt;"&amp;P28,#REF!,"(10.152.26.32)",#REF!,"record_type=DER")</f>
        <v>#REF!</v>
      </c>
      <c r="O28" t="str">
        <f t="shared" ref="O28:O38" si="2">LEFT(A28,8)</f>
        <v>08:03:51</v>
      </c>
      <c r="P28" t="str">
        <f t="shared" ref="P28:P38" si="3">RIGHT(A28,8)</f>
        <v>08:04:00</v>
      </c>
    </row>
    <row r="29" spans="1:16" x14ac:dyDescent="0.25">
      <c r="A29" s="4" t="s">
        <v>32</v>
      </c>
      <c r="B29" s="5">
        <f>COUNTIFS(Breakdown!A:A,"&gt;"&amp;O29,Breakdown!A:A,"&lt;"&amp;P29,Breakdown!B:B,"(10.152.26.30)",Breakdown!C:C,"record_type=QUR")</f>
        <v>2</v>
      </c>
      <c r="C29" s="5">
        <f>COUNTIFS(Breakdown!A:A,"&gt;"&amp;O29,Breakdown!A:A,"&lt;"&amp;P29,Breakdown!B:B,"(10.152.26.31)",Breakdown!C:C,"record_type=QUR")</f>
        <v>3</v>
      </c>
      <c r="D29" s="5">
        <f>COUNTIFS(Breakdown!A:A,"&gt;"&amp;O29,Breakdown!A:A,"&lt;"&amp;P29,Breakdown!B:B,"(10.152.26.32)",Breakdown!C:C,"record_type=QUR")</f>
        <v>2</v>
      </c>
      <c r="E29" s="5">
        <f>COUNTIFS(Breakdown!A:A,"&gt;"&amp;O29,Breakdown!A:A,"&lt;"&amp;P29,Breakdown!B:B,"(10.152.26.30)",Breakdown!C:C,"record_type=DER")</f>
        <v>0</v>
      </c>
      <c r="F29" s="5">
        <f>COUNTIFS(Breakdown!A:A,"&gt;"&amp;O29,Breakdown!A:A,"&lt;"&amp;P29,Breakdown!B:B,"(10.152.26.31)",Breakdown!C:C,"record_type=DER")</f>
        <v>0</v>
      </c>
      <c r="G29" s="5">
        <f>COUNTIFS(Breakdown!A:A,"&gt;"&amp;O29,Breakdown!A:A,"&lt;"&amp;P29,Breakdown!B:B,"(10.152.26.32)",Breakdown!C:C,"record_type=DER")</f>
        <v>0</v>
      </c>
      <c r="H29" s="5" t="e">
        <f>COUNTIFS(#REF!,"&gt;"&amp;O29,#REF!,"&lt;"&amp;P29,#REF!,"(10.152.26.30)",#REF!,"record_type=QUR")</f>
        <v>#REF!</v>
      </c>
      <c r="I29" s="5" t="e">
        <f>COUNTIFS(#REF!,"&gt;"&amp;O29,#REF!,"&lt;"&amp;P29,#REF!,"(10.152.26.31)",#REF!,"record_type=QUR")</f>
        <v>#REF!</v>
      </c>
      <c r="J29" s="5" t="e">
        <f>COUNTIFS(#REF!,"&gt;"&amp;O29,#REF!,"&lt;"&amp;P29,#REF!,"(10.152.26.32)",#REF!,"record_type=QUR")</f>
        <v>#REF!</v>
      </c>
      <c r="K29" s="5" t="e">
        <f>COUNTIFS(#REF!,"&gt;"&amp;O29,#REF!,"&lt;"&amp;P29,#REF!,"(10.152.26.30)",#REF!,"record_type=DER")</f>
        <v>#REF!</v>
      </c>
      <c r="L29" s="5" t="e">
        <f>COUNTIFS(#REF!,"&gt;"&amp;O29,#REF!,"&lt;"&amp;P29,#REF!,"(10.152.26.31)",#REF!,"record_type=DER")</f>
        <v>#REF!</v>
      </c>
      <c r="M29" s="5" t="e">
        <f>COUNTIFS(#REF!,"&gt;"&amp;O29,#REF!,"&lt;"&amp;P29,#REF!,"(10.152.26.32)",#REF!,"record_type=DER")</f>
        <v>#REF!</v>
      </c>
      <c r="O29" t="str">
        <f t="shared" si="2"/>
        <v>08:03:11</v>
      </c>
      <c r="P29" t="str">
        <f t="shared" si="3"/>
        <v>08:03:20</v>
      </c>
    </row>
    <row r="30" spans="1:16" x14ac:dyDescent="0.25">
      <c r="A30" s="4" t="s">
        <v>33</v>
      </c>
      <c r="B30" s="5">
        <f>COUNTIFS(Breakdown!A:A,"&gt;"&amp;O30,Breakdown!A:A,"&lt;"&amp;P30,Breakdown!B:B,"(10.152.26.30)",Breakdown!C:C,"record_type=QUR")</f>
        <v>4</v>
      </c>
      <c r="C30" s="5">
        <f>COUNTIFS(Breakdown!A:A,"&gt;"&amp;O30,Breakdown!A:A,"&lt;"&amp;P30,Breakdown!B:B,"(10.152.26.31)",Breakdown!C:C,"record_type=QUR")</f>
        <v>1</v>
      </c>
      <c r="D30" s="5">
        <f>COUNTIFS(Breakdown!A:A,"&gt;"&amp;O30,Breakdown!A:A,"&lt;"&amp;P30,Breakdown!B:B,"(10.152.26.32)",Breakdown!C:C,"record_type=QUR")</f>
        <v>5</v>
      </c>
      <c r="E30" s="5">
        <f>COUNTIFS(Breakdown!A:A,"&gt;"&amp;O30,Breakdown!A:A,"&lt;"&amp;P30,Breakdown!B:B,"(10.152.26.30)",Breakdown!C:C,"record_type=DER")</f>
        <v>0</v>
      </c>
      <c r="F30" s="5">
        <f>COUNTIFS(Breakdown!A:A,"&gt;"&amp;O30,Breakdown!A:A,"&lt;"&amp;P30,Breakdown!B:B,"(10.152.26.31)",Breakdown!C:C,"record_type=DER")</f>
        <v>1</v>
      </c>
      <c r="G30" s="5">
        <f>COUNTIFS(Breakdown!A:A,"&gt;"&amp;O30,Breakdown!A:A,"&lt;"&amp;P30,Breakdown!B:B,"(10.152.26.32)",Breakdown!C:C,"record_type=DER")</f>
        <v>0</v>
      </c>
      <c r="H30" s="5" t="e">
        <f>COUNTIFS(#REF!,"&gt;"&amp;O30,#REF!,"&lt;"&amp;P30,#REF!,"(10.152.26.30)",#REF!,"record_type=QUR")</f>
        <v>#REF!</v>
      </c>
      <c r="I30" s="5" t="e">
        <f>COUNTIFS(#REF!,"&gt;"&amp;O30,#REF!,"&lt;"&amp;P30,#REF!,"(10.152.26.31)",#REF!,"record_type=QUR")</f>
        <v>#REF!</v>
      </c>
      <c r="J30" s="5" t="e">
        <f>COUNTIFS(#REF!,"&gt;"&amp;O30,#REF!,"&lt;"&amp;P30,#REF!,"(10.152.26.32)",#REF!,"record_type=QUR")</f>
        <v>#REF!</v>
      </c>
      <c r="K30" s="5" t="e">
        <f>COUNTIFS(#REF!,"&gt;"&amp;O30,#REF!,"&lt;"&amp;P30,#REF!,"(10.152.26.30)",#REF!,"record_type=DER")</f>
        <v>#REF!</v>
      </c>
      <c r="L30" s="5" t="e">
        <f>COUNTIFS(#REF!,"&gt;"&amp;O30,#REF!,"&lt;"&amp;P30,#REF!,"(10.152.26.31)",#REF!,"record_type=DER")</f>
        <v>#REF!</v>
      </c>
      <c r="M30" s="5" t="e">
        <f>COUNTIFS(#REF!,"&gt;"&amp;O30,#REF!,"&lt;"&amp;P30,#REF!,"(10.152.26.32)",#REF!,"record_type=DER")</f>
        <v>#REF!</v>
      </c>
      <c r="O30" t="str">
        <f t="shared" si="2"/>
        <v>08:03:21</v>
      </c>
      <c r="P30" t="str">
        <f t="shared" si="3"/>
        <v>08:03:30</v>
      </c>
    </row>
    <row r="31" spans="1:16" x14ac:dyDescent="0.25">
      <c r="A31" s="4" t="s">
        <v>34</v>
      </c>
      <c r="B31" s="5">
        <f>COUNTIFS(Breakdown!A:A,"&gt;"&amp;O31,Breakdown!A:A,"&lt;"&amp;P31,Breakdown!B:B,"(10.152.26.30)",Breakdown!C:C,"record_type=QUR")</f>
        <v>3</v>
      </c>
      <c r="C31" s="5">
        <f>COUNTIFS(Breakdown!A:A,"&gt;"&amp;O31,Breakdown!A:A,"&lt;"&amp;P31,Breakdown!B:B,"(10.152.26.31)",Breakdown!C:C,"record_type=QUR")</f>
        <v>4</v>
      </c>
      <c r="D31" s="5">
        <f>COUNTIFS(Breakdown!A:A,"&gt;"&amp;O31,Breakdown!A:A,"&lt;"&amp;P31,Breakdown!B:B,"(10.152.26.32)",Breakdown!C:C,"record_type=QUR")</f>
        <v>0</v>
      </c>
      <c r="E31" s="5">
        <f>COUNTIFS(Breakdown!A:A,"&gt;"&amp;O31,Breakdown!A:A,"&lt;"&amp;P31,Breakdown!B:B,"(10.152.26.30)",Breakdown!C:C,"record_type=DER")</f>
        <v>0</v>
      </c>
      <c r="F31" s="5">
        <f>COUNTIFS(Breakdown!A:A,"&gt;"&amp;O31,Breakdown!A:A,"&lt;"&amp;P31,Breakdown!B:B,"(10.152.26.31)",Breakdown!C:C,"record_type=DER")</f>
        <v>0</v>
      </c>
      <c r="G31" s="5">
        <f>COUNTIFS(Breakdown!A:A,"&gt;"&amp;O31,Breakdown!A:A,"&lt;"&amp;P31,Breakdown!B:B,"(10.152.26.32)",Breakdown!C:C,"record_type=DER")</f>
        <v>0</v>
      </c>
      <c r="H31" s="5" t="e">
        <f>COUNTIFS(#REF!,"&gt;"&amp;O31,#REF!,"&lt;"&amp;P31,#REF!,"(10.152.26.30)",#REF!,"record_type=QUR")</f>
        <v>#REF!</v>
      </c>
      <c r="I31" s="5" t="e">
        <f>COUNTIFS(#REF!,"&gt;"&amp;O31,#REF!,"&lt;"&amp;P31,#REF!,"(10.152.26.31)",#REF!,"record_type=QUR")</f>
        <v>#REF!</v>
      </c>
      <c r="J31" s="5" t="e">
        <f>COUNTIFS(#REF!,"&gt;"&amp;O31,#REF!,"&lt;"&amp;P31,#REF!,"(10.152.26.32)",#REF!,"record_type=QUR")</f>
        <v>#REF!</v>
      </c>
      <c r="K31" s="5" t="e">
        <f>COUNTIFS(#REF!,"&gt;"&amp;O31,#REF!,"&lt;"&amp;P31,#REF!,"(10.152.26.30)",#REF!,"record_type=DER")</f>
        <v>#REF!</v>
      </c>
      <c r="L31" s="5" t="e">
        <f>COUNTIFS(#REF!,"&gt;"&amp;O31,#REF!,"&lt;"&amp;P31,#REF!,"(10.152.26.31)",#REF!,"record_type=DER")</f>
        <v>#REF!</v>
      </c>
      <c r="M31" s="5" t="e">
        <f>COUNTIFS(#REF!,"&gt;"&amp;O31,#REF!,"&lt;"&amp;P31,#REF!,"(10.152.26.32)",#REF!,"record_type=DER")</f>
        <v>#REF!</v>
      </c>
      <c r="O31" t="str">
        <f t="shared" si="2"/>
        <v>08:03:31</v>
      </c>
      <c r="P31" t="str">
        <f t="shared" si="3"/>
        <v>08:03:40</v>
      </c>
    </row>
    <row r="32" spans="1:16" x14ac:dyDescent="0.25">
      <c r="A32" s="4" t="s">
        <v>35</v>
      </c>
      <c r="B32" s="5">
        <f>COUNTIFS(Breakdown!A:A,"&gt;"&amp;O32,Breakdown!A:A,"&lt;"&amp;P32,Breakdown!B:B,"(10.152.26.30)",Breakdown!C:C,"record_type=QUR")</f>
        <v>4</v>
      </c>
      <c r="C32" s="5">
        <f>COUNTIFS(Breakdown!A:A,"&gt;"&amp;O32,Breakdown!A:A,"&lt;"&amp;P32,Breakdown!B:B,"(10.152.26.31)",Breakdown!C:C,"record_type=QUR")</f>
        <v>1</v>
      </c>
      <c r="D32" s="5">
        <f>COUNTIFS(Breakdown!A:A,"&gt;"&amp;O32,Breakdown!A:A,"&lt;"&amp;P32,Breakdown!B:B,"(10.152.26.32)",Breakdown!C:C,"record_type=QUR")</f>
        <v>4</v>
      </c>
      <c r="E32" s="5">
        <f>COUNTIFS(Breakdown!A:A,"&gt;"&amp;O32,Breakdown!A:A,"&lt;"&amp;P32,Breakdown!B:B,"(10.152.26.30)",Breakdown!C:C,"record_type=DER")</f>
        <v>0</v>
      </c>
      <c r="F32" s="5">
        <f>COUNTIFS(Breakdown!A:A,"&gt;"&amp;O32,Breakdown!A:A,"&lt;"&amp;P32,Breakdown!B:B,"(10.152.26.31)",Breakdown!C:C,"record_type=DER")</f>
        <v>0</v>
      </c>
      <c r="G32" s="5">
        <f>COUNTIFS(Breakdown!A:A,"&gt;"&amp;O32,Breakdown!A:A,"&lt;"&amp;P32,Breakdown!B:B,"(10.152.26.32)",Breakdown!C:C,"record_type=DER")</f>
        <v>0</v>
      </c>
      <c r="H32" s="5" t="e">
        <f>COUNTIFS(#REF!,"&gt;"&amp;O32,#REF!,"&lt;"&amp;P32,#REF!,"(10.152.26.30)",#REF!,"record_type=QUR")</f>
        <v>#REF!</v>
      </c>
      <c r="I32" s="5" t="e">
        <f>COUNTIFS(#REF!,"&gt;"&amp;O32,#REF!,"&lt;"&amp;P32,#REF!,"(10.152.26.31)",#REF!,"record_type=QUR")</f>
        <v>#REF!</v>
      </c>
      <c r="J32" s="5" t="e">
        <f>COUNTIFS(#REF!,"&gt;"&amp;O32,#REF!,"&lt;"&amp;P32,#REF!,"(10.152.26.32)",#REF!,"record_type=QUR")</f>
        <v>#REF!</v>
      </c>
      <c r="K32" s="5" t="e">
        <f>COUNTIFS(#REF!,"&gt;"&amp;O32,#REF!,"&lt;"&amp;P32,#REF!,"(10.152.26.30)",#REF!,"record_type=DER")</f>
        <v>#REF!</v>
      </c>
      <c r="L32" s="5" t="e">
        <f>COUNTIFS(#REF!,"&gt;"&amp;O32,#REF!,"&lt;"&amp;P32,#REF!,"(10.152.26.31)",#REF!,"record_type=DER")</f>
        <v>#REF!</v>
      </c>
      <c r="M32" s="5" t="e">
        <f>COUNTIFS(#REF!,"&gt;"&amp;O32,#REF!,"&lt;"&amp;P32,#REF!,"(10.152.26.32)",#REF!,"record_type=DER")</f>
        <v>#REF!</v>
      </c>
      <c r="O32" t="str">
        <f t="shared" si="2"/>
        <v>08:03:41</v>
      </c>
      <c r="P32" t="str">
        <f t="shared" si="3"/>
        <v>08:03:50</v>
      </c>
    </row>
    <row r="33" spans="1:16" x14ac:dyDescent="0.25">
      <c r="A33" s="4" t="s">
        <v>36</v>
      </c>
      <c r="B33" s="5">
        <f>COUNTIFS(Breakdown!A:A,"&gt;"&amp;O33,Breakdown!A:A,"&lt;"&amp;P33,Breakdown!B:B,"(10.152.26.30)",Breakdown!C:C,"record_type=QUR")</f>
        <v>4</v>
      </c>
      <c r="C33" s="5">
        <f>COUNTIFS(Breakdown!A:A,"&gt;"&amp;O33,Breakdown!A:A,"&lt;"&amp;P33,Breakdown!B:B,"(10.152.26.31)",Breakdown!C:C,"record_type=QUR")</f>
        <v>2</v>
      </c>
      <c r="D33" s="5">
        <f>COUNTIFS(Breakdown!A:A,"&gt;"&amp;O33,Breakdown!A:A,"&lt;"&amp;P33,Breakdown!B:B,"(10.152.26.32)",Breakdown!C:C,"record_type=QUR")</f>
        <v>2</v>
      </c>
      <c r="E33" s="5">
        <f>COUNTIFS(Breakdown!A:A,"&gt;"&amp;O33,Breakdown!A:A,"&lt;"&amp;P33,Breakdown!B:B,"(10.152.26.30)",Breakdown!C:C,"record_type=DER")</f>
        <v>1</v>
      </c>
      <c r="F33" s="5">
        <f>COUNTIFS(Breakdown!A:A,"&gt;"&amp;O33,Breakdown!A:A,"&lt;"&amp;P33,Breakdown!B:B,"(10.152.26.31)",Breakdown!C:C,"record_type=DER")</f>
        <v>0</v>
      </c>
      <c r="G33" s="5">
        <f>COUNTIFS(Breakdown!A:A,"&gt;"&amp;O33,Breakdown!A:A,"&lt;"&amp;P33,Breakdown!B:B,"(10.152.26.32)",Breakdown!C:C,"record_type=DER")</f>
        <v>0</v>
      </c>
      <c r="H33" s="5" t="e">
        <f>COUNTIFS(#REF!,"&gt;"&amp;O33,#REF!,"&lt;"&amp;P33,#REF!,"(10.152.26.30)",#REF!,"record_type=QUR")</f>
        <v>#REF!</v>
      </c>
      <c r="I33" s="5" t="e">
        <f>COUNTIFS(#REF!,"&gt;"&amp;O33,#REF!,"&lt;"&amp;P33,#REF!,"(10.152.26.31)",#REF!,"record_type=QUR")</f>
        <v>#REF!</v>
      </c>
      <c r="J33" s="5" t="e">
        <f>COUNTIFS(#REF!,"&gt;"&amp;O33,#REF!,"&lt;"&amp;P33,#REF!,"(10.152.26.32)",#REF!,"record_type=QUR")</f>
        <v>#REF!</v>
      </c>
      <c r="K33" s="5" t="e">
        <f>COUNTIFS(#REF!,"&gt;"&amp;O33,#REF!,"&lt;"&amp;P33,#REF!,"(10.152.26.30)",#REF!,"record_type=DER")</f>
        <v>#REF!</v>
      </c>
      <c r="L33" s="5" t="e">
        <f>COUNTIFS(#REF!,"&gt;"&amp;O33,#REF!,"&lt;"&amp;P33,#REF!,"(10.152.26.31)",#REF!,"record_type=DER")</f>
        <v>#REF!</v>
      </c>
      <c r="M33" s="5" t="e">
        <f>COUNTIFS(#REF!,"&gt;"&amp;O33,#REF!,"&lt;"&amp;P33,#REF!,"(10.152.26.32)",#REF!,"record_type=DER")</f>
        <v>#REF!</v>
      </c>
      <c r="O33" t="str">
        <f t="shared" si="2"/>
        <v>08:03:51</v>
      </c>
      <c r="P33" t="str">
        <f t="shared" si="3"/>
        <v>08:04:00</v>
      </c>
    </row>
    <row r="34" spans="1:16" x14ac:dyDescent="0.25">
      <c r="A34" s="4" t="s">
        <v>37</v>
      </c>
      <c r="B34" s="5">
        <f>COUNTIFS(Breakdown!A:A,"&gt;"&amp;O34,Breakdown!A:A,"&lt;"&amp;P34,Breakdown!B:B,"(10.152.26.30)",Breakdown!C:C,"record_type=QUR")</f>
        <v>4</v>
      </c>
      <c r="C34" s="5">
        <f>COUNTIFS(Breakdown!A:A,"&gt;"&amp;O34,Breakdown!A:A,"&lt;"&amp;P34,Breakdown!B:B,"(10.152.26.31)",Breakdown!C:C,"record_type=QUR")</f>
        <v>4</v>
      </c>
      <c r="D34" s="5">
        <f>COUNTIFS(Breakdown!A:A,"&gt;"&amp;O34,Breakdown!A:A,"&lt;"&amp;P34,Breakdown!B:B,"(10.152.26.32)",Breakdown!C:C,"record_type=QUR")</f>
        <v>2</v>
      </c>
      <c r="E34" s="5">
        <f>COUNTIFS(Breakdown!A:A,"&gt;"&amp;O34,Breakdown!A:A,"&lt;"&amp;P34,Breakdown!B:B,"(10.152.26.30)",Breakdown!C:C,"record_type=DER")</f>
        <v>0</v>
      </c>
      <c r="F34" s="5">
        <f>COUNTIFS(Breakdown!A:A,"&gt;"&amp;O34,Breakdown!A:A,"&lt;"&amp;P34,Breakdown!B:B,"(10.152.26.31)",Breakdown!C:C,"record_type=DER")</f>
        <v>0</v>
      </c>
      <c r="G34" s="5">
        <f>COUNTIFS(Breakdown!A:A,"&gt;"&amp;O34,Breakdown!A:A,"&lt;"&amp;P34,Breakdown!B:B,"(10.152.26.32)",Breakdown!C:C,"record_type=DER")</f>
        <v>1</v>
      </c>
      <c r="H34" s="5" t="e">
        <f>COUNTIFS(#REF!,"&gt;"&amp;O34,#REF!,"&lt;"&amp;P34,#REF!,"(10.152.26.30)",#REF!,"record_type=QUR")</f>
        <v>#REF!</v>
      </c>
      <c r="I34" s="5" t="e">
        <f>COUNTIFS(#REF!,"&gt;"&amp;O34,#REF!,"&lt;"&amp;P34,#REF!,"(10.152.26.31)",#REF!,"record_type=QUR")</f>
        <v>#REF!</v>
      </c>
      <c r="J34" s="5" t="e">
        <f>COUNTIFS(#REF!,"&gt;"&amp;O34,#REF!,"&lt;"&amp;P34,#REF!,"(10.152.26.32)",#REF!,"record_type=QUR")</f>
        <v>#REF!</v>
      </c>
      <c r="K34" s="5" t="e">
        <f>COUNTIFS(#REF!,"&gt;"&amp;O34,#REF!,"&lt;"&amp;P34,#REF!,"(10.152.26.30)",#REF!,"record_type=DER")</f>
        <v>#REF!</v>
      </c>
      <c r="L34" s="5" t="e">
        <f>COUNTIFS(#REF!,"&gt;"&amp;O34,#REF!,"&lt;"&amp;P34,#REF!,"(10.152.26.31)",#REF!,"record_type=DER")</f>
        <v>#REF!</v>
      </c>
      <c r="M34" s="5" t="e">
        <f>COUNTIFS(#REF!,"&gt;"&amp;O34,#REF!,"&lt;"&amp;P34,#REF!,"(10.152.26.32)",#REF!,"record_type=DER")</f>
        <v>#REF!</v>
      </c>
      <c r="O34" t="str">
        <f t="shared" si="2"/>
        <v>08:04:00</v>
      </c>
      <c r="P34" t="str">
        <f t="shared" si="3"/>
        <v>08:04:10</v>
      </c>
    </row>
    <row r="35" spans="1:16" x14ac:dyDescent="0.25">
      <c r="A35" s="4" t="s">
        <v>38</v>
      </c>
      <c r="B35" s="5">
        <f>COUNTIFS(Breakdown!A:A,"&gt;"&amp;O35,Breakdown!A:A,"&lt;"&amp;P35,Breakdown!B:B,"(10.152.26.30)",Breakdown!C:C,"record_type=QUR")</f>
        <v>2</v>
      </c>
      <c r="C35" s="5">
        <f>COUNTIFS(Breakdown!A:A,"&gt;"&amp;O35,Breakdown!A:A,"&lt;"&amp;P35,Breakdown!B:B,"(10.152.26.31)",Breakdown!C:C,"record_type=QUR")</f>
        <v>4</v>
      </c>
      <c r="D35" s="5">
        <f>COUNTIFS(Breakdown!A:A,"&gt;"&amp;O35,Breakdown!A:A,"&lt;"&amp;P35,Breakdown!B:B,"(10.152.26.32)",Breakdown!C:C,"record_type=QUR")</f>
        <v>2</v>
      </c>
      <c r="E35" s="5">
        <f>COUNTIFS(Breakdown!A:A,"&gt;"&amp;O35,Breakdown!A:A,"&lt;"&amp;P35,Breakdown!B:B,"(10.152.26.30)",Breakdown!C:C,"record_type=DER")</f>
        <v>0</v>
      </c>
      <c r="F35" s="5">
        <f>COUNTIFS(Breakdown!A:A,"&gt;"&amp;O35,Breakdown!A:A,"&lt;"&amp;P35,Breakdown!B:B,"(10.152.26.31)",Breakdown!C:C,"record_type=DER")</f>
        <v>0</v>
      </c>
      <c r="G35" s="5">
        <f>COUNTIFS(Breakdown!A:A,"&gt;"&amp;O35,Breakdown!A:A,"&lt;"&amp;P35,Breakdown!B:B,"(10.152.26.32)",Breakdown!C:C,"record_type=DER")</f>
        <v>0</v>
      </c>
      <c r="H35" s="5" t="e">
        <f>COUNTIFS(#REF!,"&gt;"&amp;O35,#REF!,"&lt;"&amp;P35,#REF!,"(10.152.26.30)",#REF!,"record_type=QUR")</f>
        <v>#REF!</v>
      </c>
      <c r="I35" s="5" t="e">
        <f>COUNTIFS(#REF!,"&gt;"&amp;O35,#REF!,"&lt;"&amp;P35,#REF!,"(10.152.26.31)",#REF!,"record_type=QUR")</f>
        <v>#REF!</v>
      </c>
      <c r="J35" s="5" t="e">
        <f>COUNTIFS(#REF!,"&gt;"&amp;O35,#REF!,"&lt;"&amp;P35,#REF!,"(10.152.26.32)",#REF!,"record_type=QUR")</f>
        <v>#REF!</v>
      </c>
      <c r="K35" s="5" t="e">
        <f>COUNTIFS(#REF!,"&gt;"&amp;O35,#REF!,"&lt;"&amp;P35,#REF!,"(10.152.26.30)",#REF!,"record_type=DER")</f>
        <v>#REF!</v>
      </c>
      <c r="L35" s="5" t="e">
        <f>COUNTIFS(#REF!,"&gt;"&amp;O35,#REF!,"&lt;"&amp;P35,#REF!,"(10.152.26.31)",#REF!,"record_type=DER")</f>
        <v>#REF!</v>
      </c>
      <c r="M35" s="5" t="e">
        <f>COUNTIFS(#REF!,"&gt;"&amp;O35,#REF!,"&lt;"&amp;P35,#REF!,"(10.152.26.32)",#REF!,"record_type=DER")</f>
        <v>#REF!</v>
      </c>
      <c r="O35" t="str">
        <f t="shared" si="2"/>
        <v>08:04:11</v>
      </c>
      <c r="P35" t="str">
        <f t="shared" si="3"/>
        <v>08:04:20</v>
      </c>
    </row>
    <row r="36" spans="1:16" x14ac:dyDescent="0.25">
      <c r="A36" s="4" t="s">
        <v>39</v>
      </c>
      <c r="B36" s="5">
        <f>COUNTIFS(Breakdown!A:A,"&gt;"&amp;O36,Breakdown!A:A,"&lt;"&amp;P36,Breakdown!B:B,"(10.152.26.30)",Breakdown!C:C,"record_type=QUR")</f>
        <v>3</v>
      </c>
      <c r="C36" s="5">
        <f>COUNTIFS(Breakdown!A:A,"&gt;"&amp;O36,Breakdown!A:A,"&lt;"&amp;P36,Breakdown!B:B,"(10.152.26.31)",Breakdown!C:C,"record_type=QUR")</f>
        <v>3</v>
      </c>
      <c r="D36" s="5">
        <f>COUNTIFS(Breakdown!A:A,"&gt;"&amp;O36,Breakdown!A:A,"&lt;"&amp;P36,Breakdown!B:B,"(10.152.26.32)",Breakdown!C:C,"record_type=QUR")</f>
        <v>3</v>
      </c>
      <c r="E36" s="5">
        <f>COUNTIFS(Breakdown!A:A,"&gt;"&amp;O36,Breakdown!A:A,"&lt;"&amp;P36,Breakdown!B:B,"(10.152.26.30)",Breakdown!C:C,"record_type=DER")</f>
        <v>2</v>
      </c>
      <c r="F36" s="5">
        <f>COUNTIFS(Breakdown!A:A,"&gt;"&amp;O36,Breakdown!A:A,"&lt;"&amp;P36,Breakdown!B:B,"(10.152.26.31)",Breakdown!C:C,"record_type=DER")</f>
        <v>0</v>
      </c>
      <c r="G36" s="5">
        <f>COUNTIFS(Breakdown!A:A,"&gt;"&amp;O36,Breakdown!A:A,"&lt;"&amp;P36,Breakdown!B:B,"(10.152.26.32)",Breakdown!C:C,"record_type=DER")</f>
        <v>0</v>
      </c>
      <c r="H36" s="5" t="e">
        <f>COUNTIFS(#REF!,"&gt;"&amp;O36,#REF!,"&lt;"&amp;P36,#REF!,"(10.152.26.30)",#REF!,"record_type=QUR")</f>
        <v>#REF!</v>
      </c>
      <c r="I36" s="5" t="e">
        <f>COUNTIFS(#REF!,"&gt;"&amp;O36,#REF!,"&lt;"&amp;P36,#REF!,"(10.152.26.31)",#REF!,"record_type=QUR")</f>
        <v>#REF!</v>
      </c>
      <c r="J36" s="5" t="e">
        <f>COUNTIFS(#REF!,"&gt;"&amp;O36,#REF!,"&lt;"&amp;P36,#REF!,"(10.152.26.32)",#REF!,"record_type=QUR")</f>
        <v>#REF!</v>
      </c>
      <c r="K36" s="5" t="e">
        <f>COUNTIFS(#REF!,"&gt;"&amp;O36,#REF!,"&lt;"&amp;P36,#REF!,"(10.152.26.30)",#REF!,"record_type=DER")</f>
        <v>#REF!</v>
      </c>
      <c r="L36" s="5" t="e">
        <f>COUNTIFS(#REF!,"&gt;"&amp;O36,#REF!,"&lt;"&amp;P36,#REF!,"(10.152.26.31)",#REF!,"record_type=DER")</f>
        <v>#REF!</v>
      </c>
      <c r="M36" s="5" t="e">
        <f>COUNTIFS(#REF!,"&gt;"&amp;O36,#REF!,"&lt;"&amp;P36,#REF!,"(10.152.26.32)",#REF!,"record_type=DER")</f>
        <v>#REF!</v>
      </c>
      <c r="O36" t="str">
        <f t="shared" si="2"/>
        <v>08:04:21</v>
      </c>
      <c r="P36" t="str">
        <f t="shared" si="3"/>
        <v>08:04:30</v>
      </c>
    </row>
    <row r="37" spans="1:16" x14ac:dyDescent="0.25">
      <c r="A37" s="4" t="s">
        <v>40</v>
      </c>
      <c r="B37" s="5">
        <f>COUNTIFS(Breakdown!A:A,"&gt;"&amp;O37,Breakdown!A:A,"&lt;"&amp;P37,Breakdown!B:B,"(10.152.26.30)",Breakdown!C:C,"record_type=QUR")</f>
        <v>1</v>
      </c>
      <c r="C37" s="5">
        <f>COUNTIFS(Breakdown!A:A,"&gt;"&amp;O37,Breakdown!A:A,"&lt;"&amp;P37,Breakdown!B:B,"(10.152.26.31)",Breakdown!C:C,"record_type=QUR")</f>
        <v>3</v>
      </c>
      <c r="D37" s="5">
        <f>COUNTIFS(Breakdown!A:A,"&gt;"&amp;O37,Breakdown!A:A,"&lt;"&amp;P37,Breakdown!B:B,"(10.152.26.32)",Breakdown!C:C,"record_type=QUR")</f>
        <v>2</v>
      </c>
      <c r="E37" s="5">
        <f>COUNTIFS(Breakdown!A:A,"&gt;"&amp;O37,Breakdown!A:A,"&lt;"&amp;P37,Breakdown!B:B,"(10.152.26.30)",Breakdown!C:C,"record_type=DER")</f>
        <v>1</v>
      </c>
      <c r="F37" s="5">
        <f>COUNTIFS(Breakdown!A:A,"&gt;"&amp;O37,Breakdown!A:A,"&lt;"&amp;P37,Breakdown!B:B,"(10.152.26.31)",Breakdown!C:C,"record_type=DER")</f>
        <v>0</v>
      </c>
      <c r="G37" s="5">
        <f>COUNTIFS(Breakdown!A:A,"&gt;"&amp;O37,Breakdown!A:A,"&lt;"&amp;P37,Breakdown!B:B,"(10.152.26.32)",Breakdown!C:C,"record_type=DER")</f>
        <v>0</v>
      </c>
      <c r="H37" s="5" t="e">
        <f>COUNTIFS(#REF!,"&gt;"&amp;O37,#REF!,"&lt;"&amp;P37,#REF!,"(10.152.26.30)",#REF!,"record_type=QUR")</f>
        <v>#REF!</v>
      </c>
      <c r="I37" s="5" t="e">
        <f>COUNTIFS(#REF!,"&gt;"&amp;O37,#REF!,"&lt;"&amp;P37,#REF!,"(10.152.26.31)",#REF!,"record_type=QUR")</f>
        <v>#REF!</v>
      </c>
      <c r="J37" s="5" t="e">
        <f>COUNTIFS(#REF!,"&gt;"&amp;O37,#REF!,"&lt;"&amp;P37,#REF!,"(10.152.26.32)",#REF!,"record_type=QUR")</f>
        <v>#REF!</v>
      </c>
      <c r="K37" s="5" t="e">
        <f>COUNTIFS(#REF!,"&gt;"&amp;O37,#REF!,"&lt;"&amp;P37,#REF!,"(10.152.26.30)",#REF!,"record_type=DER")</f>
        <v>#REF!</v>
      </c>
      <c r="L37" s="5" t="e">
        <f>COUNTIFS(#REF!,"&gt;"&amp;O37,#REF!,"&lt;"&amp;P37,#REF!,"(10.152.26.31)",#REF!,"record_type=DER")</f>
        <v>#REF!</v>
      </c>
      <c r="M37" s="5" t="e">
        <f>COUNTIFS(#REF!,"&gt;"&amp;O37,#REF!,"&lt;"&amp;P37,#REF!,"(10.152.26.32)",#REF!,"record_type=DER")</f>
        <v>#REF!</v>
      </c>
      <c r="O37" t="str">
        <f t="shared" si="2"/>
        <v>08:04:31</v>
      </c>
      <c r="P37" t="str">
        <f t="shared" si="3"/>
        <v>08:04:40</v>
      </c>
    </row>
    <row r="38" spans="1:16" x14ac:dyDescent="0.25">
      <c r="A38" s="4" t="s">
        <v>41</v>
      </c>
      <c r="B38" s="5">
        <f>COUNTIFS(Breakdown!A:A,"&gt;"&amp;O38,Breakdown!A:A,"&lt;"&amp;P38,Breakdown!B:B,"(10.152.26.30)",Breakdown!C:C,"record_type=QUR")</f>
        <v>3</v>
      </c>
      <c r="C38" s="5">
        <f>COUNTIFS(Breakdown!A:A,"&gt;"&amp;O38,Breakdown!A:A,"&lt;"&amp;P38,Breakdown!B:B,"(10.152.26.31)",Breakdown!C:C,"record_type=QUR")</f>
        <v>2</v>
      </c>
      <c r="D38" s="5">
        <f>COUNTIFS(Breakdown!A:A,"&gt;"&amp;O38,Breakdown!A:A,"&lt;"&amp;P38,Breakdown!B:B,"(10.152.26.32)",Breakdown!C:C,"record_type=QUR")</f>
        <v>0</v>
      </c>
      <c r="E38" s="5">
        <f>COUNTIFS(Breakdown!A:A,"&gt;"&amp;O38,Breakdown!A:A,"&lt;"&amp;P38,Breakdown!B:B,"(10.152.26.30)",Breakdown!C:C,"record_type=DER")</f>
        <v>0</v>
      </c>
      <c r="F38" s="5">
        <f>COUNTIFS(Breakdown!A:A,"&gt;"&amp;O38,Breakdown!A:A,"&lt;"&amp;P38,Breakdown!B:B,"(10.152.26.31)",Breakdown!C:C,"record_type=DER")</f>
        <v>0</v>
      </c>
      <c r="G38" s="5">
        <f>COUNTIFS(Breakdown!A:A,"&gt;"&amp;O38,Breakdown!A:A,"&lt;"&amp;P38,Breakdown!B:B,"(10.152.26.32)",Breakdown!C:C,"record_type=DER")</f>
        <v>0</v>
      </c>
      <c r="H38" s="5" t="e">
        <f>COUNTIFS(#REF!,"&gt;"&amp;O38,#REF!,"&lt;"&amp;P38,#REF!,"(10.152.26.30)",#REF!,"record_type=QUR")</f>
        <v>#REF!</v>
      </c>
      <c r="I38" s="5" t="e">
        <f>COUNTIFS(#REF!,"&gt;"&amp;O38,#REF!,"&lt;"&amp;P38,#REF!,"(10.152.26.31)",#REF!,"record_type=QUR")</f>
        <v>#REF!</v>
      </c>
      <c r="J38" s="5" t="e">
        <f>COUNTIFS(#REF!,"&gt;"&amp;O38,#REF!,"&lt;"&amp;P38,#REF!,"(10.152.26.32)",#REF!,"record_type=QUR")</f>
        <v>#REF!</v>
      </c>
      <c r="K38" s="5" t="e">
        <f>COUNTIFS(#REF!,"&gt;"&amp;O38,#REF!,"&lt;"&amp;P38,#REF!,"(10.152.26.30)",#REF!,"record_type=DER")</f>
        <v>#REF!</v>
      </c>
      <c r="L38" s="5" t="e">
        <f>COUNTIFS(#REF!,"&gt;"&amp;O38,#REF!,"&lt;"&amp;P38,#REF!,"(10.152.26.31)",#REF!,"record_type=DER")</f>
        <v>#REF!</v>
      </c>
      <c r="M38" s="5" t="e">
        <f>COUNTIFS(#REF!,"&gt;"&amp;O38,#REF!,"&lt;"&amp;P38,#REF!,"(10.152.26.32)",#REF!,"record_type=DER")</f>
        <v>#REF!</v>
      </c>
      <c r="O38" t="str">
        <f t="shared" si="2"/>
        <v>08:04:41</v>
      </c>
      <c r="P38" t="str">
        <f t="shared" si="3"/>
        <v>08:04:50</v>
      </c>
    </row>
    <row r="39" spans="1:16" x14ac:dyDescent="0.25">
      <c r="A39" s="4" t="s">
        <v>42</v>
      </c>
      <c r="B39" s="5">
        <f>COUNTIFS(Breakdown!A:A,"&gt;"&amp;O39,Breakdown!A:A,"&lt;"&amp;P39,Breakdown!B:B,"(10.152.26.30)",Breakdown!C:C,"record_type=QUR")</f>
        <v>1</v>
      </c>
      <c r="C39" s="5">
        <f>COUNTIFS(Breakdown!A:A,"&gt;"&amp;O39,Breakdown!A:A,"&lt;"&amp;P39,Breakdown!B:B,"(10.152.26.31)",Breakdown!C:C,"record_type=QUR")</f>
        <v>2</v>
      </c>
      <c r="D39" s="5">
        <f>COUNTIFS(Breakdown!A:A,"&gt;"&amp;O39,Breakdown!A:A,"&lt;"&amp;P39,Breakdown!B:B,"(10.152.26.32)",Breakdown!C:C,"record_type=QUR")</f>
        <v>1</v>
      </c>
      <c r="E39" s="5">
        <f>COUNTIFS(Breakdown!A:A,"&gt;"&amp;O39,Breakdown!A:A,"&lt;"&amp;P39,Breakdown!B:B,"(10.152.26.30)",Breakdown!C:C,"record_type=DER")</f>
        <v>0</v>
      </c>
      <c r="F39" s="5">
        <f>COUNTIFS(Breakdown!A:A,"&gt;"&amp;O39,Breakdown!A:A,"&lt;"&amp;P39,Breakdown!B:B,"(10.152.26.31)",Breakdown!C:C,"record_type=DER")</f>
        <v>0</v>
      </c>
      <c r="G39" s="5">
        <f>COUNTIFS(Breakdown!A:A,"&gt;"&amp;O39,Breakdown!A:A,"&lt;"&amp;P39,Breakdown!B:B,"(10.152.26.32)",Breakdown!C:C,"record_type=DER")</f>
        <v>0</v>
      </c>
      <c r="H39" s="5" t="e">
        <f>COUNTIFS(#REF!,"&gt;"&amp;O39,#REF!,"&lt;"&amp;P39,#REF!,"(10.152.26.30)",#REF!,"record_type=QUR")</f>
        <v>#REF!</v>
      </c>
      <c r="I39" s="5" t="e">
        <f>COUNTIFS(#REF!,"&gt;"&amp;O39,#REF!,"&lt;"&amp;P39,#REF!,"(10.152.26.31)",#REF!,"record_type=QUR")</f>
        <v>#REF!</v>
      </c>
      <c r="J39" s="5" t="e">
        <f>COUNTIFS(#REF!,"&gt;"&amp;O39,#REF!,"&lt;"&amp;P39,#REF!,"(10.152.26.32)",#REF!,"record_type=QUR")</f>
        <v>#REF!</v>
      </c>
      <c r="K39" s="5" t="e">
        <f>COUNTIFS(#REF!,"&gt;"&amp;O39,#REF!,"&lt;"&amp;P39,#REF!,"(10.152.26.30)",#REF!,"record_type=DER")</f>
        <v>#REF!</v>
      </c>
      <c r="L39" s="5" t="e">
        <f>COUNTIFS(#REF!,"&gt;"&amp;O39,#REF!,"&lt;"&amp;P39,#REF!,"(10.152.26.31)",#REF!,"record_type=DER")</f>
        <v>#REF!</v>
      </c>
      <c r="M39" s="5" t="e">
        <f>COUNTIFS(#REF!,"&gt;"&amp;O39,#REF!,"&lt;"&amp;P39,#REF!,"(10.152.26.32)",#REF!,"record_type=DER")</f>
        <v>#REF!</v>
      </c>
      <c r="O39" t="str">
        <f t="shared" ref="O39" si="4">LEFT(A39,8)</f>
        <v>08:04:51</v>
      </c>
      <c r="P39" t="str">
        <f t="shared" ref="P39" si="5">RIGHT(A39,8)</f>
        <v>08:05:00</v>
      </c>
    </row>
    <row r="40" spans="1:16" x14ac:dyDescent="0.25">
      <c r="A40" s="4" t="s">
        <v>43</v>
      </c>
      <c r="B40" s="5">
        <f>COUNTIFS(Breakdown!A:A,"&gt;"&amp;O40,Breakdown!A:A,"&lt;"&amp;P40,Breakdown!B:B,"(10.152.26.30)",Breakdown!C:C,"record_type=QUR")</f>
        <v>4</v>
      </c>
      <c r="C40" s="5">
        <f>COUNTIFS(Breakdown!A:A,"&gt;"&amp;O40,Breakdown!A:A,"&lt;"&amp;P40,Breakdown!B:B,"(10.152.26.31)",Breakdown!C:C,"record_type=QUR")</f>
        <v>2</v>
      </c>
      <c r="D40" s="5">
        <f>COUNTIFS(Breakdown!A:A,"&gt;"&amp;O40,Breakdown!A:A,"&lt;"&amp;P40,Breakdown!B:B,"(10.152.26.32)",Breakdown!C:C,"record_type=QUR")</f>
        <v>3</v>
      </c>
      <c r="E40" s="5">
        <f>COUNTIFS(Breakdown!A:A,"&gt;"&amp;O40,Breakdown!A:A,"&lt;"&amp;P40,Breakdown!B:B,"(10.152.26.30)",Breakdown!C:C,"record_type=DER")</f>
        <v>0</v>
      </c>
      <c r="F40" s="5">
        <f>COUNTIFS(Breakdown!A:A,"&gt;"&amp;O40,Breakdown!A:A,"&lt;"&amp;P40,Breakdown!B:B,"(10.152.26.31)",Breakdown!C:C,"record_type=DER")</f>
        <v>0</v>
      </c>
      <c r="G40" s="5">
        <f>COUNTIFS(Breakdown!A:A,"&gt;"&amp;O40,Breakdown!A:A,"&lt;"&amp;P40,Breakdown!B:B,"(10.152.26.32)",Breakdown!C:C,"record_type=DER")</f>
        <v>0</v>
      </c>
      <c r="H40" s="5" t="e">
        <f>COUNTIFS(#REF!,"&gt;"&amp;O40,#REF!,"&lt;"&amp;P40,#REF!,"(10.152.26.30)",#REF!,"record_type=QUR")</f>
        <v>#REF!</v>
      </c>
      <c r="I40" s="5" t="e">
        <f>COUNTIFS(#REF!,"&gt;"&amp;O40,#REF!,"&lt;"&amp;P40,#REF!,"(10.152.26.31)",#REF!,"record_type=QUR")</f>
        <v>#REF!</v>
      </c>
      <c r="J40" s="5" t="e">
        <f>COUNTIFS(#REF!,"&gt;"&amp;O40,#REF!,"&lt;"&amp;P40,#REF!,"(10.152.26.32)",#REF!,"record_type=QUR")</f>
        <v>#REF!</v>
      </c>
      <c r="K40" s="5" t="e">
        <f>COUNTIFS(#REF!,"&gt;"&amp;O40,#REF!,"&lt;"&amp;P40,#REF!,"(10.152.26.30)",#REF!,"record_type=DER")</f>
        <v>#REF!</v>
      </c>
      <c r="L40" s="5" t="e">
        <f>COUNTIFS(#REF!,"&gt;"&amp;O40,#REF!,"&lt;"&amp;P40,#REF!,"(10.152.26.31)",#REF!,"record_type=DER")</f>
        <v>#REF!</v>
      </c>
      <c r="M40" s="5" t="e">
        <f>COUNTIFS(#REF!,"&gt;"&amp;O40,#REF!,"&lt;"&amp;P40,#REF!,"(10.152.26.32)",#REF!,"record_type=DER")</f>
        <v>#REF!</v>
      </c>
      <c r="O40" t="str">
        <f t="shared" ref="O40:O46" si="6">LEFT(A40,8)</f>
        <v>08:05:11</v>
      </c>
      <c r="P40" t="str">
        <f t="shared" ref="P40:P46" si="7">RIGHT(A40,8)</f>
        <v>08:05:20</v>
      </c>
    </row>
    <row r="41" spans="1:16" x14ac:dyDescent="0.25">
      <c r="A41" s="4" t="s">
        <v>44</v>
      </c>
      <c r="B41" s="5">
        <f>COUNTIFS(Breakdown!A:A,"&gt;"&amp;O41,Breakdown!A:A,"&lt;"&amp;P41,Breakdown!B:B,"(10.152.26.30)",Breakdown!C:C,"record_type=QUR")</f>
        <v>5</v>
      </c>
      <c r="C41" s="5">
        <f>COUNTIFS(Breakdown!A:A,"&gt;"&amp;O41,Breakdown!A:A,"&lt;"&amp;P41,Breakdown!B:B,"(10.152.26.31)",Breakdown!C:C,"record_type=QUR")</f>
        <v>3</v>
      </c>
      <c r="D41" s="5">
        <f>COUNTIFS(Breakdown!A:A,"&gt;"&amp;O41,Breakdown!A:A,"&lt;"&amp;P41,Breakdown!B:B,"(10.152.26.32)",Breakdown!C:C,"record_type=QUR")</f>
        <v>3</v>
      </c>
      <c r="E41" s="5">
        <f>COUNTIFS(Breakdown!A:A,"&gt;"&amp;O41,Breakdown!A:A,"&lt;"&amp;P41,Breakdown!B:B,"(10.152.26.30)",Breakdown!C:C,"record_type=DER")</f>
        <v>0</v>
      </c>
      <c r="F41" s="5">
        <f>COUNTIFS(Breakdown!A:A,"&gt;"&amp;O41,Breakdown!A:A,"&lt;"&amp;P41,Breakdown!B:B,"(10.152.26.31)",Breakdown!C:C,"record_type=DER")</f>
        <v>1</v>
      </c>
      <c r="G41" s="5">
        <f>COUNTIFS(Breakdown!A:A,"&gt;"&amp;O41,Breakdown!A:A,"&lt;"&amp;P41,Breakdown!B:B,"(10.152.26.32)",Breakdown!C:C,"record_type=DER")</f>
        <v>0</v>
      </c>
      <c r="H41" s="5" t="e">
        <f>COUNTIFS(#REF!,"&gt;"&amp;O41,#REF!,"&lt;"&amp;P41,#REF!,"(10.152.26.30)",#REF!,"record_type=QUR")</f>
        <v>#REF!</v>
      </c>
      <c r="I41" s="5" t="e">
        <f>COUNTIFS(#REF!,"&gt;"&amp;O41,#REF!,"&lt;"&amp;P41,#REF!,"(10.152.26.31)",#REF!,"record_type=QUR")</f>
        <v>#REF!</v>
      </c>
      <c r="J41" s="5" t="e">
        <f>COUNTIFS(#REF!,"&gt;"&amp;O41,#REF!,"&lt;"&amp;P41,#REF!,"(10.152.26.32)",#REF!,"record_type=QUR")</f>
        <v>#REF!</v>
      </c>
      <c r="K41" s="5" t="e">
        <f>COUNTIFS(#REF!,"&gt;"&amp;O41,#REF!,"&lt;"&amp;P41,#REF!,"(10.152.26.30)",#REF!,"record_type=DER")</f>
        <v>#REF!</v>
      </c>
      <c r="L41" s="5" t="e">
        <f>COUNTIFS(#REF!,"&gt;"&amp;O41,#REF!,"&lt;"&amp;P41,#REF!,"(10.152.26.31)",#REF!,"record_type=DER")</f>
        <v>#REF!</v>
      </c>
      <c r="M41" s="5" t="e">
        <f>COUNTIFS(#REF!,"&gt;"&amp;O41,#REF!,"&lt;"&amp;P41,#REF!,"(10.152.26.32)",#REF!,"record_type=DER")</f>
        <v>#REF!</v>
      </c>
      <c r="O41" t="str">
        <f t="shared" si="6"/>
        <v>08:05:21</v>
      </c>
      <c r="P41" t="str">
        <f t="shared" si="7"/>
        <v>08:05:30</v>
      </c>
    </row>
    <row r="42" spans="1:16" x14ac:dyDescent="0.25">
      <c r="A42" s="4" t="s">
        <v>45</v>
      </c>
      <c r="B42" s="5">
        <f>COUNTIFS(Breakdown!A:A,"&gt;"&amp;O42,Breakdown!A:A,"&lt;"&amp;P42,Breakdown!B:B,"(10.152.26.30)",Breakdown!C:C,"record_type=QUR")</f>
        <v>2</v>
      </c>
      <c r="C42" s="5">
        <f>COUNTIFS(Breakdown!A:A,"&gt;"&amp;O42,Breakdown!A:A,"&lt;"&amp;P42,Breakdown!B:B,"(10.152.26.31)",Breakdown!C:C,"record_type=QUR")</f>
        <v>3</v>
      </c>
      <c r="D42" s="5">
        <f>COUNTIFS(Breakdown!A:A,"&gt;"&amp;O42,Breakdown!A:A,"&lt;"&amp;P42,Breakdown!B:B,"(10.152.26.32)",Breakdown!C:C,"record_type=QUR")</f>
        <v>2</v>
      </c>
      <c r="E42" s="5">
        <f>COUNTIFS(Breakdown!A:A,"&gt;"&amp;O42,Breakdown!A:A,"&lt;"&amp;P42,Breakdown!B:B,"(10.152.26.30)",Breakdown!C:C,"record_type=DER")</f>
        <v>0</v>
      </c>
      <c r="F42" s="5">
        <f>COUNTIFS(Breakdown!A:A,"&gt;"&amp;O42,Breakdown!A:A,"&lt;"&amp;P42,Breakdown!B:B,"(10.152.26.31)",Breakdown!C:C,"record_type=DER")</f>
        <v>0</v>
      </c>
      <c r="G42" s="5">
        <f>COUNTIFS(Breakdown!A:A,"&gt;"&amp;O42,Breakdown!A:A,"&lt;"&amp;P42,Breakdown!B:B,"(10.152.26.32)",Breakdown!C:C,"record_type=DER")</f>
        <v>0</v>
      </c>
      <c r="H42" s="5" t="e">
        <f>COUNTIFS(#REF!,"&gt;"&amp;O42,#REF!,"&lt;"&amp;P42,#REF!,"(10.152.26.30)",#REF!,"record_type=QUR")</f>
        <v>#REF!</v>
      </c>
      <c r="I42" s="5" t="e">
        <f>COUNTIFS(#REF!,"&gt;"&amp;O42,#REF!,"&lt;"&amp;P42,#REF!,"(10.152.26.31)",#REF!,"record_type=QUR")</f>
        <v>#REF!</v>
      </c>
      <c r="J42" s="5" t="e">
        <f>COUNTIFS(#REF!,"&gt;"&amp;O42,#REF!,"&lt;"&amp;P42,#REF!,"(10.152.26.32)",#REF!,"record_type=QUR")</f>
        <v>#REF!</v>
      </c>
      <c r="K42" s="5" t="e">
        <f>COUNTIFS(#REF!,"&gt;"&amp;O42,#REF!,"&lt;"&amp;P42,#REF!,"(10.152.26.30)",#REF!,"record_type=DER")</f>
        <v>#REF!</v>
      </c>
      <c r="L42" s="5" t="e">
        <f>COUNTIFS(#REF!,"&gt;"&amp;O42,#REF!,"&lt;"&amp;P42,#REF!,"(10.152.26.31)",#REF!,"record_type=DER")</f>
        <v>#REF!</v>
      </c>
      <c r="M42" s="5" t="e">
        <f>COUNTIFS(#REF!,"&gt;"&amp;O42,#REF!,"&lt;"&amp;P42,#REF!,"(10.152.26.32)",#REF!,"record_type=DER")</f>
        <v>#REF!</v>
      </c>
      <c r="O42" t="str">
        <f t="shared" si="6"/>
        <v>08:05:31</v>
      </c>
      <c r="P42" t="str">
        <f t="shared" si="7"/>
        <v>08:05:40</v>
      </c>
    </row>
    <row r="43" spans="1:16" x14ac:dyDescent="0.25">
      <c r="A43" s="4" t="s">
        <v>46</v>
      </c>
      <c r="B43" s="5">
        <f>COUNTIFS(Breakdown!A:A,"&gt;"&amp;O43,Breakdown!A:A,"&lt;"&amp;P43,Breakdown!B:B,"(10.152.26.30)",Breakdown!C:C,"record_type=QUR")</f>
        <v>3</v>
      </c>
      <c r="C43" s="5">
        <f>COUNTIFS(Breakdown!A:A,"&gt;"&amp;O43,Breakdown!A:A,"&lt;"&amp;P43,Breakdown!B:B,"(10.152.26.31)",Breakdown!C:C,"record_type=QUR")</f>
        <v>1</v>
      </c>
      <c r="D43" s="5">
        <f>COUNTIFS(Breakdown!A:A,"&gt;"&amp;O43,Breakdown!A:A,"&lt;"&amp;P43,Breakdown!B:B,"(10.152.26.32)",Breakdown!C:C,"record_type=QUR")</f>
        <v>6</v>
      </c>
      <c r="E43" s="5">
        <f>COUNTIFS(Breakdown!A:A,"&gt;"&amp;O43,Breakdown!A:A,"&lt;"&amp;P43,Breakdown!B:B,"(10.152.26.30)",Breakdown!C:C,"record_type=DER")</f>
        <v>0</v>
      </c>
      <c r="F43" s="5">
        <f>COUNTIFS(Breakdown!A:A,"&gt;"&amp;O43,Breakdown!A:A,"&lt;"&amp;P43,Breakdown!B:B,"(10.152.26.31)",Breakdown!C:C,"record_type=DER")</f>
        <v>0</v>
      </c>
      <c r="G43" s="5">
        <f>COUNTIFS(Breakdown!A:A,"&gt;"&amp;O43,Breakdown!A:A,"&lt;"&amp;P43,Breakdown!B:B,"(10.152.26.32)",Breakdown!C:C,"record_type=DER")</f>
        <v>0</v>
      </c>
      <c r="H43" s="5" t="e">
        <f>COUNTIFS(#REF!,"&gt;"&amp;O43,#REF!,"&lt;"&amp;P43,#REF!,"(10.152.26.30)",#REF!,"record_type=QUR")</f>
        <v>#REF!</v>
      </c>
      <c r="I43" s="5" t="e">
        <f>COUNTIFS(#REF!,"&gt;"&amp;O43,#REF!,"&lt;"&amp;P43,#REF!,"(10.152.26.31)",#REF!,"record_type=QUR")</f>
        <v>#REF!</v>
      </c>
      <c r="J43" s="5" t="e">
        <f>COUNTIFS(#REF!,"&gt;"&amp;O43,#REF!,"&lt;"&amp;P43,#REF!,"(10.152.26.32)",#REF!,"record_type=QUR")</f>
        <v>#REF!</v>
      </c>
      <c r="K43" s="5" t="e">
        <f>COUNTIFS(#REF!,"&gt;"&amp;O43,#REF!,"&lt;"&amp;P43,#REF!,"(10.152.26.30)",#REF!,"record_type=DER")</f>
        <v>#REF!</v>
      </c>
      <c r="L43" s="5" t="e">
        <f>COUNTIFS(#REF!,"&gt;"&amp;O43,#REF!,"&lt;"&amp;P43,#REF!,"(10.152.26.31)",#REF!,"record_type=DER")</f>
        <v>#REF!</v>
      </c>
      <c r="M43" s="5" t="e">
        <f>COUNTIFS(#REF!,"&gt;"&amp;O43,#REF!,"&lt;"&amp;P43,#REF!,"(10.152.26.32)",#REF!,"record_type=DER")</f>
        <v>#REF!</v>
      </c>
      <c r="O43" t="str">
        <f t="shared" si="6"/>
        <v>08:05:41</v>
      </c>
      <c r="P43" t="str">
        <f t="shared" si="7"/>
        <v>08:05:50</v>
      </c>
    </row>
    <row r="44" spans="1:16" ht="15.75" thickBot="1" x14ac:dyDescent="0.3">
      <c r="A44" s="4" t="s">
        <v>47</v>
      </c>
      <c r="B44" s="8">
        <f>COUNTIFS(Breakdown!A:A,"&gt;"&amp;O44,Breakdown!A:A,"&lt;"&amp;P44,Breakdown!B:B,"(10.152.26.30)",Breakdown!C:C,"record_type=QUR")</f>
        <v>4</v>
      </c>
      <c r="C44" s="8">
        <f>COUNTIFS(Breakdown!A:A,"&gt;"&amp;O44,Breakdown!A:A,"&lt;"&amp;P44,Breakdown!B:B,"(10.152.26.31)",Breakdown!C:C,"record_type=QUR")</f>
        <v>5</v>
      </c>
      <c r="D44" s="8">
        <f>COUNTIFS(Breakdown!A:A,"&gt;"&amp;O44,Breakdown!A:A,"&lt;"&amp;P44,Breakdown!B:B,"(10.152.26.32)",Breakdown!C:C,"record_type=QUR")</f>
        <v>3</v>
      </c>
      <c r="E44" s="8">
        <f>COUNTIFS(Breakdown!A:A,"&gt;"&amp;O44,Breakdown!A:A,"&lt;"&amp;P44,Breakdown!B:B,"(10.152.26.30)",Breakdown!C:C,"record_type=DER")</f>
        <v>0</v>
      </c>
      <c r="F44" s="8">
        <f>COUNTIFS(Breakdown!A:A,"&gt;"&amp;O44,Breakdown!A:A,"&lt;"&amp;P44,Breakdown!B:B,"(10.152.26.31)",Breakdown!C:C,"record_type=DER")</f>
        <v>0</v>
      </c>
      <c r="G44" s="8">
        <f>COUNTIFS(Breakdown!A:A,"&gt;"&amp;O44,Breakdown!A:A,"&lt;"&amp;P44,Breakdown!B:B,"(10.152.26.32)",Breakdown!C:C,"record_type=DER")</f>
        <v>1</v>
      </c>
      <c r="H44" s="8" t="e">
        <f>COUNTIFS(#REF!,"&gt;"&amp;O44,#REF!,"&lt;"&amp;P44,#REF!,"(10.152.26.30)",#REF!,"record_type=QUR")</f>
        <v>#REF!</v>
      </c>
      <c r="I44" s="8" t="e">
        <f>COUNTIFS(#REF!,"&gt;"&amp;O44,#REF!,"&lt;"&amp;P44,#REF!,"(10.152.26.31)",#REF!,"record_type=QUR")</f>
        <v>#REF!</v>
      </c>
      <c r="J44" s="8" t="e">
        <f>COUNTIFS(#REF!,"&gt;"&amp;O44,#REF!,"&lt;"&amp;P44,#REF!,"(10.152.26.32)",#REF!,"record_type=QUR")</f>
        <v>#REF!</v>
      </c>
      <c r="K44" s="8" t="e">
        <f>COUNTIFS(#REF!,"&gt;"&amp;O44,#REF!,"&lt;"&amp;P44,#REF!,"(10.152.26.30)",#REF!,"record_type=DER")</f>
        <v>#REF!</v>
      </c>
      <c r="L44" s="8" t="e">
        <f>COUNTIFS(#REF!,"&gt;"&amp;O44,#REF!,"&lt;"&amp;P44,#REF!,"(10.152.26.31)",#REF!,"record_type=DER")</f>
        <v>#REF!</v>
      </c>
      <c r="M44" s="8" t="e">
        <f>COUNTIFS(#REF!,"&gt;"&amp;O44,#REF!,"&lt;"&amp;P44,#REF!,"(10.152.26.32)",#REF!,"record_type=DER")</f>
        <v>#REF!</v>
      </c>
      <c r="O44" t="str">
        <f t="shared" si="6"/>
        <v>08:05:51</v>
      </c>
      <c r="P44" t="str">
        <f t="shared" si="7"/>
        <v>08:06:00</v>
      </c>
    </row>
    <row r="45" spans="1:16" ht="15.75" thickBot="1" x14ac:dyDescent="0.3">
      <c r="A45" s="3" t="s">
        <v>50</v>
      </c>
      <c r="B45" s="7">
        <f>SUM(B5:B44)</f>
        <v>131</v>
      </c>
      <c r="C45" s="7">
        <f t="shared" ref="C45:M45" si="8">SUM(C5:C44)</f>
        <v>114</v>
      </c>
      <c r="D45" s="7">
        <f t="shared" si="8"/>
        <v>122</v>
      </c>
      <c r="E45" s="7">
        <f t="shared" si="8"/>
        <v>14</v>
      </c>
      <c r="F45" s="7">
        <f t="shared" si="8"/>
        <v>12</v>
      </c>
      <c r="G45" s="7">
        <f t="shared" si="8"/>
        <v>10</v>
      </c>
      <c r="H45" s="7" t="e">
        <f t="shared" si="8"/>
        <v>#REF!</v>
      </c>
      <c r="I45" s="7" t="e">
        <f t="shared" si="8"/>
        <v>#REF!</v>
      </c>
      <c r="J45" s="7" t="e">
        <f t="shared" si="8"/>
        <v>#REF!</v>
      </c>
      <c r="K45" s="7" t="e">
        <f t="shared" si="8"/>
        <v>#REF!</v>
      </c>
      <c r="L45" s="7" t="e">
        <f t="shared" si="8"/>
        <v>#REF!</v>
      </c>
      <c r="M45" s="7" t="e">
        <f t="shared" si="8"/>
        <v>#REF!</v>
      </c>
      <c r="O45" t="str">
        <f t="shared" si="6"/>
        <v>TOTALS</v>
      </c>
      <c r="P45" t="str">
        <f t="shared" si="7"/>
        <v>TOTALS</v>
      </c>
    </row>
    <row r="46" spans="1:16" x14ac:dyDescent="0.25">
      <c r="A46" s="3" t="s">
        <v>63</v>
      </c>
      <c r="B46">
        <f>AVERAGE(B5:B44)</f>
        <v>3.2749999999999999</v>
      </c>
      <c r="C46">
        <f t="shared" ref="C46:M46" si="9">AVERAGE(C5:C44)</f>
        <v>2.85</v>
      </c>
      <c r="D46">
        <f t="shared" si="9"/>
        <v>3.05</v>
      </c>
      <c r="E46">
        <f t="shared" si="9"/>
        <v>0.35</v>
      </c>
      <c r="F46">
        <f t="shared" si="9"/>
        <v>0.3</v>
      </c>
      <c r="G46">
        <f t="shared" si="9"/>
        <v>0.25</v>
      </c>
      <c r="H46" t="e">
        <f t="shared" si="9"/>
        <v>#REF!</v>
      </c>
      <c r="I46" t="e">
        <f t="shared" si="9"/>
        <v>#REF!</v>
      </c>
      <c r="J46" t="e">
        <f t="shared" si="9"/>
        <v>#REF!</v>
      </c>
      <c r="K46" t="e">
        <f t="shared" si="9"/>
        <v>#REF!</v>
      </c>
      <c r="L46" t="e">
        <f t="shared" si="9"/>
        <v>#REF!</v>
      </c>
      <c r="M46" t="e">
        <f t="shared" si="9"/>
        <v>#REF!</v>
      </c>
      <c r="O46" t="str">
        <f t="shared" si="6"/>
        <v>Average</v>
      </c>
      <c r="P46" t="str">
        <f t="shared" si="7"/>
        <v>Average</v>
      </c>
    </row>
  </sheetData>
  <mergeCells count="7">
    <mergeCell ref="B3:D3"/>
    <mergeCell ref="E3:G3"/>
    <mergeCell ref="B2:G2"/>
    <mergeCell ref="B1:M1"/>
    <mergeCell ref="H2:M2"/>
    <mergeCell ref="H3:J3"/>
    <mergeCell ref="K3:M3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B8CC8-D642-413C-8A99-C76CE1A61480}">
  <sheetPr codeName="Sheet6"/>
  <dimension ref="A1:P45"/>
  <sheetViews>
    <sheetView workbookViewId="0">
      <selection activeCell="F37" sqref="F37"/>
    </sheetView>
  </sheetViews>
  <sheetFormatPr defaultRowHeight="15" x14ac:dyDescent="0.25"/>
  <cols>
    <col min="1" max="1" width="17.7109375" bestFit="1" customWidth="1"/>
    <col min="2" max="13" width="11.7109375" bestFit="1" customWidth="1"/>
    <col min="15" max="16" width="8.140625" hidden="1" customWidth="1"/>
  </cols>
  <sheetData>
    <row r="1" spans="1:16" x14ac:dyDescent="0.25">
      <c r="A1" s="3"/>
      <c r="B1" s="29" t="s">
        <v>48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</row>
    <row r="2" spans="1:16" x14ac:dyDescent="0.25">
      <c r="A2" s="3"/>
      <c r="B2" s="29" t="s">
        <v>9</v>
      </c>
      <c r="C2" s="29"/>
      <c r="D2" s="29"/>
      <c r="E2" s="29"/>
      <c r="F2" s="29"/>
      <c r="G2" s="29"/>
      <c r="H2" s="29" t="s">
        <v>13</v>
      </c>
      <c r="I2" s="29"/>
      <c r="J2" s="29"/>
      <c r="K2" s="29"/>
      <c r="L2" s="29"/>
      <c r="M2" s="29"/>
    </row>
    <row r="3" spans="1:16" x14ac:dyDescent="0.25">
      <c r="A3" s="3"/>
      <c r="B3" s="29" t="s">
        <v>11</v>
      </c>
      <c r="C3" s="29"/>
      <c r="D3" s="29"/>
      <c r="E3" s="29" t="s">
        <v>12</v>
      </c>
      <c r="F3" s="29"/>
      <c r="G3" s="29"/>
      <c r="H3" s="29" t="s">
        <v>11</v>
      </c>
      <c r="I3" s="29"/>
      <c r="J3" s="29"/>
      <c r="K3" s="29" t="s">
        <v>12</v>
      </c>
      <c r="L3" s="29"/>
      <c r="M3" s="29"/>
    </row>
    <row r="4" spans="1:16" x14ac:dyDescent="0.25">
      <c r="A4" s="3"/>
      <c r="B4" s="2" t="s">
        <v>0</v>
      </c>
      <c r="C4" s="2" t="s">
        <v>1</v>
      </c>
      <c r="D4" s="2" t="s">
        <v>2</v>
      </c>
      <c r="E4" s="2" t="s">
        <v>0</v>
      </c>
      <c r="F4" s="2" t="s">
        <v>1</v>
      </c>
      <c r="G4" s="2" t="s">
        <v>2</v>
      </c>
      <c r="H4" s="2" t="s">
        <v>0</v>
      </c>
      <c r="I4" s="2" t="s">
        <v>1</v>
      </c>
      <c r="J4" s="2" t="s">
        <v>2</v>
      </c>
      <c r="K4" s="2" t="s">
        <v>0</v>
      </c>
      <c r="L4" s="2" t="s">
        <v>1</v>
      </c>
      <c r="M4" s="2" t="s">
        <v>2</v>
      </c>
    </row>
    <row r="5" spans="1:16" x14ac:dyDescent="0.25">
      <c r="A5" s="3" t="s">
        <v>14</v>
      </c>
      <c r="B5" t="e">
        <f>COUNTIFS(#REF!,"&gt;"&amp;O5,#REF!,"&lt;"&amp;P5,#REF!,"(10.152.26.30)",#REF!,"record_type=QUR")</f>
        <v>#REF!</v>
      </c>
      <c r="C5" t="e">
        <f>COUNTIFS(#REF!,"&gt;"&amp;O5,#REF!,"&lt;"&amp;P5,#REF!,"(10.152.26.31)",#REF!,"record_type=QUR")</f>
        <v>#REF!</v>
      </c>
      <c r="D5" t="e">
        <f>COUNTIFS(#REF!,"&gt;"&amp;O5,#REF!,"&lt;"&amp;P5,#REF!,"(10.152.26.32)",#REF!,"record_type=QUR")</f>
        <v>#REF!</v>
      </c>
      <c r="E5" t="e">
        <f>COUNTIFS(#REF!,"&gt;"&amp;O5,#REF!,"&lt;"&amp;P5,#REF!,"(10.152.26.30)",#REF!,"record_type=DER")</f>
        <v>#REF!</v>
      </c>
      <c r="F5" t="e">
        <f>COUNTIFS(#REF!,"&gt;"&amp;O5,#REF!,"&lt;"&amp;P5,#REF!,"(10.152.26.31)",#REF!,"record_type=DER")</f>
        <v>#REF!</v>
      </c>
      <c r="G5" t="e">
        <f>COUNTIFS(#REF!,"&gt;"&amp;O5,#REF!,"&lt;"&amp;P5,#REF!,"(10.152.26.32)",#REF!,"record_type=DER")</f>
        <v>#REF!</v>
      </c>
      <c r="H5" t="e">
        <f>COUNTIFS(#REF!,"&gt;"&amp;O5,#REF!,"&lt;"&amp;P5,#REF!,"(10.152.26.30)",#REF!,"record_type=QUR")</f>
        <v>#REF!</v>
      </c>
      <c r="I5" t="e">
        <f>COUNTIFS(#REF!,"&gt;"&amp;O5,#REF!,"&lt;"&amp;P5,#REF!,"(10.152.26.31)",#REF!,"record_type=QUR")</f>
        <v>#REF!</v>
      </c>
      <c r="J5" t="e">
        <f>COUNTIFS(#REF!,"&gt;"&amp;O5,#REF!,"&lt;"&amp;P5,#REF!,"(10.152.26.32)",#REF!,"record_type=QUR")</f>
        <v>#REF!</v>
      </c>
      <c r="K5" t="e">
        <f>COUNTIFS(#REF!,"&gt;"&amp;O5,#REF!,"&lt;"&amp;P5,#REF!,"(10.152.26.30)",#REF!,"record_type=DER")</f>
        <v>#REF!</v>
      </c>
      <c r="L5" t="e">
        <f>COUNTIFS(#REF!,"&gt;"&amp;O5,#REF!,"&lt;"&amp;P5,#REF!,"(10.152.26.31)",#REF!,"record_type=DER")</f>
        <v>#REF!</v>
      </c>
      <c r="M5" t="e">
        <f>COUNTIFS(#REF!,"&gt;"&amp;O5,#REF!,"&lt;"&amp;P5,#REF!,"(10.152.26.32)",#REF!,"record_type=DER")</f>
        <v>#REF!</v>
      </c>
      <c r="O5" t="str">
        <f>LEFT(A5,8)</f>
        <v>08:00:00</v>
      </c>
      <c r="P5" t="str">
        <f>RIGHT(A5,8)</f>
        <v>08:00:10</v>
      </c>
    </row>
    <row r="6" spans="1:16" x14ac:dyDescent="0.25">
      <c r="A6" s="3" t="s">
        <v>15</v>
      </c>
      <c r="B6" t="e">
        <f>COUNTIFS(#REF!,"&gt;"&amp;O6,#REF!,"&lt;"&amp;P6,#REF!,"(10.152.26.30)",#REF!,"record_type=QUR")</f>
        <v>#REF!</v>
      </c>
      <c r="C6" t="e">
        <f>COUNTIFS(#REF!,"&gt;"&amp;O6,#REF!,"&lt;"&amp;P6,#REF!,"(10.152.26.31)",#REF!,"record_type=QUR")</f>
        <v>#REF!</v>
      </c>
      <c r="D6" t="e">
        <f>COUNTIFS(#REF!,"&gt;"&amp;O6,#REF!,"&lt;"&amp;P6,#REF!,"(10.152.26.32)",#REF!,"record_type=QUR")</f>
        <v>#REF!</v>
      </c>
      <c r="E6" t="e">
        <f>COUNTIFS(#REF!,"&gt;"&amp;O6,#REF!,"&lt;"&amp;P6,#REF!,"(10.152.26.30)",#REF!,"record_type=DER")</f>
        <v>#REF!</v>
      </c>
      <c r="F6" t="e">
        <f>COUNTIFS(#REF!,"&gt;"&amp;O6,#REF!,"&lt;"&amp;P6,#REF!,"(10.152.26.31)",#REF!,"record_type=DER")</f>
        <v>#REF!</v>
      </c>
      <c r="G6" t="e">
        <f>COUNTIFS(#REF!,"&gt;"&amp;O6,#REF!,"&lt;"&amp;P6,#REF!,"(10.152.26.32)",#REF!,"record_type=DER")</f>
        <v>#REF!</v>
      </c>
      <c r="H6" t="e">
        <f>COUNTIFS(#REF!,"&gt;"&amp;O6,#REF!,"&lt;"&amp;P6,#REF!,"(10.152.26.30)",#REF!,"record_type=QUR")</f>
        <v>#REF!</v>
      </c>
      <c r="I6" t="e">
        <f>COUNTIFS(#REF!,"&gt;"&amp;O6,#REF!,"&lt;"&amp;P6,#REF!,"(10.152.26.31)",#REF!,"record_type=QUR")</f>
        <v>#REF!</v>
      </c>
      <c r="J6" t="e">
        <f>COUNTIFS(#REF!,"&gt;"&amp;O6,#REF!,"&lt;"&amp;P6,#REF!,"(10.152.26.32)",#REF!,"record_type=QUR")</f>
        <v>#REF!</v>
      </c>
      <c r="K6" t="e">
        <f>COUNTIFS(#REF!,"&gt;"&amp;O6,#REF!,"&lt;"&amp;P6,#REF!,"(10.152.26.30)",#REF!,"record_type=DER")</f>
        <v>#REF!</v>
      </c>
      <c r="L6" t="e">
        <f>COUNTIFS(#REF!,"&gt;"&amp;O6,#REF!,"&lt;"&amp;P6,#REF!,"(10.152.26.31)",#REF!,"record_type=DER")</f>
        <v>#REF!</v>
      </c>
      <c r="M6" t="e">
        <f>COUNTIFS(#REF!,"&gt;"&amp;O6,#REF!,"&lt;"&amp;P6,#REF!,"(10.152.26.32)",#REF!,"record_type=DER")</f>
        <v>#REF!</v>
      </c>
      <c r="O6" t="str">
        <f t="shared" ref="O6:O44" si="0">LEFT(A6,8)</f>
        <v>08:00:11</v>
      </c>
      <c r="P6" t="str">
        <f t="shared" ref="P6:P44" si="1">RIGHT(A6,8)</f>
        <v>08:00:20</v>
      </c>
    </row>
    <row r="7" spans="1:16" x14ac:dyDescent="0.25">
      <c r="A7" s="3" t="s">
        <v>16</v>
      </c>
      <c r="B7" t="e">
        <f>COUNTIFS(#REF!,"&gt;"&amp;O7,#REF!,"&lt;"&amp;P7,#REF!,"(10.152.26.30)",#REF!,"record_type=QUR")</f>
        <v>#REF!</v>
      </c>
      <c r="C7" t="e">
        <f>COUNTIFS(#REF!,"&gt;"&amp;O7,#REF!,"&lt;"&amp;P7,#REF!,"(10.152.26.31)",#REF!,"record_type=QUR")</f>
        <v>#REF!</v>
      </c>
      <c r="D7" t="e">
        <f>COUNTIFS(#REF!,"&gt;"&amp;O7,#REF!,"&lt;"&amp;P7,#REF!,"(10.152.26.32)",#REF!,"record_type=QUR")</f>
        <v>#REF!</v>
      </c>
      <c r="E7" t="e">
        <f>COUNTIFS(#REF!,"&gt;"&amp;O7,#REF!,"&lt;"&amp;P7,#REF!,"(10.152.26.30)",#REF!,"record_type=DER")</f>
        <v>#REF!</v>
      </c>
      <c r="F7" t="e">
        <f>COUNTIFS(#REF!,"&gt;"&amp;O7,#REF!,"&lt;"&amp;P7,#REF!,"(10.152.26.31)",#REF!,"record_type=DER")</f>
        <v>#REF!</v>
      </c>
      <c r="G7" t="e">
        <f>COUNTIFS(#REF!,"&gt;"&amp;O7,#REF!,"&lt;"&amp;P7,#REF!,"(10.152.26.32)",#REF!,"record_type=DER")</f>
        <v>#REF!</v>
      </c>
      <c r="H7" t="e">
        <f>COUNTIFS(#REF!,"&gt;"&amp;O7,#REF!,"&lt;"&amp;P7,#REF!,"(10.152.26.30)",#REF!,"record_type=QUR")</f>
        <v>#REF!</v>
      </c>
      <c r="I7" t="e">
        <f>COUNTIFS(#REF!,"&gt;"&amp;O7,#REF!,"&lt;"&amp;P7,#REF!,"(10.152.26.31)",#REF!,"record_type=QUR")</f>
        <v>#REF!</v>
      </c>
      <c r="J7" t="e">
        <f>COUNTIFS(#REF!,"&gt;"&amp;O7,#REF!,"&lt;"&amp;P7,#REF!,"(10.152.26.32)",#REF!,"record_type=QUR")</f>
        <v>#REF!</v>
      </c>
      <c r="K7" t="e">
        <f>COUNTIFS(#REF!,"&gt;"&amp;O7,#REF!,"&lt;"&amp;P7,#REF!,"(10.152.26.30)",#REF!,"record_type=DER")</f>
        <v>#REF!</v>
      </c>
      <c r="L7" t="e">
        <f>COUNTIFS(#REF!,"&gt;"&amp;O7,#REF!,"&lt;"&amp;P7,#REF!,"(10.152.26.31)",#REF!,"record_type=DER")</f>
        <v>#REF!</v>
      </c>
      <c r="M7" t="e">
        <f>COUNTIFS(#REF!,"&gt;"&amp;O7,#REF!,"&lt;"&amp;P7,#REF!,"(10.152.26.32)",#REF!,"record_type=DER")</f>
        <v>#REF!</v>
      </c>
      <c r="O7" t="str">
        <f t="shared" si="0"/>
        <v>08:00:21</v>
      </c>
      <c r="P7" t="str">
        <f t="shared" si="1"/>
        <v>08:00:30</v>
      </c>
    </row>
    <row r="8" spans="1:16" x14ac:dyDescent="0.25">
      <c r="A8" s="3" t="s">
        <v>17</v>
      </c>
      <c r="B8" t="e">
        <f>COUNTIFS(#REF!,"&gt;"&amp;O8,#REF!,"&lt;"&amp;P8,#REF!,"(10.152.26.30)",#REF!,"record_type=QUR")</f>
        <v>#REF!</v>
      </c>
      <c r="C8" t="e">
        <f>COUNTIFS(#REF!,"&gt;"&amp;O8,#REF!,"&lt;"&amp;P8,#REF!,"(10.152.26.31)",#REF!,"record_type=QUR")</f>
        <v>#REF!</v>
      </c>
      <c r="D8" t="e">
        <f>COUNTIFS(#REF!,"&gt;"&amp;O8,#REF!,"&lt;"&amp;P8,#REF!,"(10.152.26.32)",#REF!,"record_type=QUR")</f>
        <v>#REF!</v>
      </c>
      <c r="E8" t="e">
        <f>COUNTIFS(#REF!,"&gt;"&amp;O8,#REF!,"&lt;"&amp;P8,#REF!,"(10.152.26.30)",#REF!,"record_type=DER")</f>
        <v>#REF!</v>
      </c>
      <c r="F8" t="e">
        <f>COUNTIFS(#REF!,"&gt;"&amp;O8,#REF!,"&lt;"&amp;P8,#REF!,"(10.152.26.31)",#REF!,"record_type=DER")</f>
        <v>#REF!</v>
      </c>
      <c r="G8" t="e">
        <f>COUNTIFS(#REF!,"&gt;"&amp;O8,#REF!,"&lt;"&amp;P8,#REF!,"(10.152.26.32)",#REF!,"record_type=DER")</f>
        <v>#REF!</v>
      </c>
      <c r="H8" t="e">
        <f>COUNTIFS(#REF!,"&gt;"&amp;O8,#REF!,"&lt;"&amp;P8,#REF!,"(10.152.26.30)",#REF!,"record_type=QUR")</f>
        <v>#REF!</v>
      </c>
      <c r="I8" t="e">
        <f>COUNTIFS(#REF!,"&gt;"&amp;O8,#REF!,"&lt;"&amp;P8,#REF!,"(10.152.26.31)",#REF!,"record_type=QUR")</f>
        <v>#REF!</v>
      </c>
      <c r="J8" t="e">
        <f>COUNTIFS(#REF!,"&gt;"&amp;O8,#REF!,"&lt;"&amp;P8,#REF!,"(10.152.26.32)",#REF!,"record_type=QUR")</f>
        <v>#REF!</v>
      </c>
      <c r="K8" t="e">
        <f>COUNTIFS(#REF!,"&gt;"&amp;O8,#REF!,"&lt;"&amp;P8,#REF!,"(10.152.26.30)",#REF!,"record_type=DER")</f>
        <v>#REF!</v>
      </c>
      <c r="L8" t="e">
        <f>COUNTIFS(#REF!,"&gt;"&amp;O8,#REF!,"&lt;"&amp;P8,#REF!,"(10.152.26.31)",#REF!,"record_type=DER")</f>
        <v>#REF!</v>
      </c>
      <c r="M8" t="e">
        <f>COUNTIFS(#REF!,"&gt;"&amp;O8,#REF!,"&lt;"&amp;P8,#REF!,"(10.152.26.32)",#REF!,"record_type=DER")</f>
        <v>#REF!</v>
      </c>
      <c r="O8" t="str">
        <f t="shared" si="0"/>
        <v>08:00:31</v>
      </c>
      <c r="P8" t="str">
        <f t="shared" si="1"/>
        <v>08:00:40</v>
      </c>
    </row>
    <row r="9" spans="1:16" x14ac:dyDescent="0.25">
      <c r="A9" s="3" t="s">
        <v>18</v>
      </c>
      <c r="B9" t="e">
        <f>COUNTIFS(#REF!,"&gt;"&amp;O9,#REF!,"&lt;"&amp;P9,#REF!,"(10.152.26.30)",#REF!,"record_type=QUR")</f>
        <v>#REF!</v>
      </c>
      <c r="C9" t="e">
        <f>COUNTIFS(#REF!,"&gt;"&amp;O9,#REF!,"&lt;"&amp;P9,#REF!,"(10.152.26.31)",#REF!,"record_type=QUR")</f>
        <v>#REF!</v>
      </c>
      <c r="D9" t="e">
        <f>COUNTIFS(#REF!,"&gt;"&amp;O9,#REF!,"&lt;"&amp;P9,#REF!,"(10.152.26.32)",#REF!,"record_type=QUR")</f>
        <v>#REF!</v>
      </c>
      <c r="E9" t="e">
        <f>COUNTIFS(#REF!,"&gt;"&amp;O9,#REF!,"&lt;"&amp;P9,#REF!,"(10.152.26.30)",#REF!,"record_type=DER")</f>
        <v>#REF!</v>
      </c>
      <c r="F9" t="e">
        <f>COUNTIFS(#REF!,"&gt;"&amp;O9,#REF!,"&lt;"&amp;P9,#REF!,"(10.152.26.31)",#REF!,"record_type=DER")</f>
        <v>#REF!</v>
      </c>
      <c r="G9" t="e">
        <f>COUNTIFS(#REF!,"&gt;"&amp;O9,#REF!,"&lt;"&amp;P9,#REF!,"(10.152.26.32)",#REF!,"record_type=DER")</f>
        <v>#REF!</v>
      </c>
      <c r="H9" t="e">
        <f>COUNTIFS(#REF!,"&gt;"&amp;O9,#REF!,"&lt;"&amp;P9,#REF!,"(10.152.26.30)",#REF!,"record_type=QUR")</f>
        <v>#REF!</v>
      </c>
      <c r="I9" t="e">
        <f>COUNTIFS(#REF!,"&gt;"&amp;O9,#REF!,"&lt;"&amp;P9,#REF!,"(10.152.26.31)",#REF!,"record_type=QUR")</f>
        <v>#REF!</v>
      </c>
      <c r="J9" t="e">
        <f>COUNTIFS(#REF!,"&gt;"&amp;O9,#REF!,"&lt;"&amp;P9,#REF!,"(10.152.26.32)",#REF!,"record_type=QUR")</f>
        <v>#REF!</v>
      </c>
      <c r="K9" t="e">
        <f>COUNTIFS(#REF!,"&gt;"&amp;O9,#REF!,"&lt;"&amp;P9,#REF!,"(10.152.26.30)",#REF!,"record_type=DER")</f>
        <v>#REF!</v>
      </c>
      <c r="L9" t="e">
        <f>COUNTIFS(#REF!,"&gt;"&amp;O9,#REF!,"&lt;"&amp;P9,#REF!,"(10.152.26.31)",#REF!,"record_type=DER")</f>
        <v>#REF!</v>
      </c>
      <c r="M9" t="e">
        <f>COUNTIFS(#REF!,"&gt;"&amp;O9,#REF!,"&lt;"&amp;P9,#REF!,"(10.152.26.32)",#REF!,"record_type=DER")</f>
        <v>#REF!</v>
      </c>
      <c r="O9" t="str">
        <f t="shared" si="0"/>
        <v>08:00:41</v>
      </c>
      <c r="P9" t="str">
        <f t="shared" si="1"/>
        <v>08:00:50</v>
      </c>
    </row>
    <row r="10" spans="1:16" x14ac:dyDescent="0.25">
      <c r="A10" s="3" t="s">
        <v>19</v>
      </c>
      <c r="B10" t="e">
        <f>COUNTIFS(#REF!,"&gt;"&amp;O10,#REF!,"&lt;"&amp;P10,#REF!,"(10.152.26.30)",#REF!,"record_type=QUR")</f>
        <v>#REF!</v>
      </c>
      <c r="C10" t="e">
        <f>COUNTIFS(#REF!,"&gt;"&amp;O10,#REF!,"&lt;"&amp;P10,#REF!,"(10.152.26.31)",#REF!,"record_type=QUR")</f>
        <v>#REF!</v>
      </c>
      <c r="D10" t="e">
        <f>COUNTIFS(#REF!,"&gt;"&amp;O10,#REF!,"&lt;"&amp;P10,#REF!,"(10.152.26.32)",#REF!,"record_type=QUR")</f>
        <v>#REF!</v>
      </c>
      <c r="E10" t="e">
        <f>COUNTIFS(#REF!,"&gt;"&amp;O10,#REF!,"&lt;"&amp;P10,#REF!,"(10.152.26.30)",#REF!,"record_type=DER")</f>
        <v>#REF!</v>
      </c>
      <c r="F10" t="e">
        <f>COUNTIFS(#REF!,"&gt;"&amp;O10,#REF!,"&lt;"&amp;P10,#REF!,"(10.152.26.31)",#REF!,"record_type=DER")</f>
        <v>#REF!</v>
      </c>
      <c r="G10" t="e">
        <f>COUNTIFS(#REF!,"&gt;"&amp;O10,#REF!,"&lt;"&amp;P10,#REF!,"(10.152.26.32)",#REF!,"record_type=DER")</f>
        <v>#REF!</v>
      </c>
      <c r="H10" t="e">
        <f>COUNTIFS(#REF!,"&gt;"&amp;O10,#REF!,"&lt;"&amp;P10,#REF!,"(10.152.26.30)",#REF!,"record_type=QUR")</f>
        <v>#REF!</v>
      </c>
      <c r="I10" t="e">
        <f>COUNTIFS(#REF!,"&gt;"&amp;O10,#REF!,"&lt;"&amp;P10,#REF!,"(10.152.26.31)",#REF!,"record_type=QUR")</f>
        <v>#REF!</v>
      </c>
      <c r="J10" t="e">
        <f>COUNTIFS(#REF!,"&gt;"&amp;O10,#REF!,"&lt;"&amp;P10,#REF!,"(10.152.26.32)",#REF!,"record_type=QUR")</f>
        <v>#REF!</v>
      </c>
      <c r="K10" t="e">
        <f>COUNTIFS(#REF!,"&gt;"&amp;O10,#REF!,"&lt;"&amp;P10,#REF!,"(10.152.26.30)",#REF!,"record_type=DER")</f>
        <v>#REF!</v>
      </c>
      <c r="L10" t="e">
        <f>COUNTIFS(#REF!,"&gt;"&amp;O10,#REF!,"&lt;"&amp;P10,#REF!,"(10.152.26.31)",#REF!,"record_type=DER")</f>
        <v>#REF!</v>
      </c>
      <c r="M10" t="e">
        <f>COUNTIFS(#REF!,"&gt;"&amp;O10,#REF!,"&lt;"&amp;P10,#REF!,"(10.152.26.32)",#REF!,"record_type=DER")</f>
        <v>#REF!</v>
      </c>
      <c r="O10" t="str">
        <f t="shared" si="0"/>
        <v>08:00:51</v>
      </c>
      <c r="P10" t="str">
        <f t="shared" si="1"/>
        <v>08:01:00</v>
      </c>
    </row>
    <row r="11" spans="1:16" x14ac:dyDescent="0.25">
      <c r="A11" s="3" t="s">
        <v>55</v>
      </c>
      <c r="B11" t="e">
        <f>COUNTIFS(#REF!,"&gt;"&amp;O11,#REF!,"&lt;"&amp;P11,#REF!,"(10.152.26.30)",#REF!,"record_type=QUR")</f>
        <v>#REF!</v>
      </c>
      <c r="C11" t="e">
        <f>COUNTIFS(#REF!,"&gt;"&amp;O11,#REF!,"&lt;"&amp;P11,#REF!,"(10.152.26.31)",#REF!,"record_type=QUR")</f>
        <v>#REF!</v>
      </c>
      <c r="D11" t="e">
        <f>COUNTIFS(#REF!,"&gt;"&amp;O11,#REF!,"&lt;"&amp;P11,#REF!,"(10.152.26.32)",#REF!,"record_type=QUR")</f>
        <v>#REF!</v>
      </c>
      <c r="E11" t="e">
        <f>COUNTIFS(#REF!,"&gt;"&amp;O11,#REF!,"&lt;"&amp;P11,#REF!,"(10.152.26.30)",#REF!,"record_type=DER")</f>
        <v>#REF!</v>
      </c>
      <c r="F11" t="e">
        <f>COUNTIFS(#REF!,"&gt;"&amp;O11,#REF!,"&lt;"&amp;P11,#REF!,"(10.152.26.31)",#REF!,"record_type=DER")</f>
        <v>#REF!</v>
      </c>
      <c r="G11" t="e">
        <f>COUNTIFS(#REF!,"&gt;"&amp;O11,#REF!,"&lt;"&amp;P11,#REF!,"(10.152.26.32)",#REF!,"record_type=DER")</f>
        <v>#REF!</v>
      </c>
      <c r="H11" t="e">
        <f>COUNTIFS(#REF!,"&gt;"&amp;O11,#REF!,"&lt;"&amp;P11,#REF!,"(10.152.26.30)",#REF!,"record_type=QUR")</f>
        <v>#REF!</v>
      </c>
      <c r="I11" t="e">
        <f>COUNTIFS(#REF!,"&gt;"&amp;O11,#REF!,"&lt;"&amp;P11,#REF!,"(10.152.26.31)",#REF!,"record_type=QUR")</f>
        <v>#REF!</v>
      </c>
      <c r="J11" t="e">
        <f>COUNTIFS(#REF!,"&gt;"&amp;O11,#REF!,"&lt;"&amp;P11,#REF!,"(10.152.26.32)",#REF!,"record_type=QUR")</f>
        <v>#REF!</v>
      </c>
      <c r="K11" t="e">
        <f>COUNTIFS(#REF!,"&gt;"&amp;O11,#REF!,"&lt;"&amp;P11,#REF!,"(10.152.26.30)",#REF!,"record_type=DER")</f>
        <v>#REF!</v>
      </c>
      <c r="L11" t="e">
        <f>COUNTIFS(#REF!,"&gt;"&amp;O11,#REF!,"&lt;"&amp;P11,#REF!,"(10.152.26.31)",#REF!,"record_type=DER")</f>
        <v>#REF!</v>
      </c>
      <c r="M11" t="e">
        <f>COUNTIFS(#REF!,"&gt;"&amp;O11,#REF!,"&lt;"&amp;P11,#REF!,"(10.152.26.32)",#REF!,"record_type=DER")</f>
        <v>#REF!</v>
      </c>
      <c r="O11" t="str">
        <f t="shared" si="0"/>
        <v>08:01:01</v>
      </c>
      <c r="P11" t="str">
        <f t="shared" si="1"/>
        <v>08:01:10</v>
      </c>
    </row>
    <row r="12" spans="1:16" x14ac:dyDescent="0.25">
      <c r="A12" s="3" t="s">
        <v>20</v>
      </c>
      <c r="B12" t="e">
        <f>COUNTIFS(#REF!,"&gt;"&amp;O12,#REF!,"&lt;"&amp;P12,#REF!,"(10.152.26.30)",#REF!,"record_type=QUR")</f>
        <v>#REF!</v>
      </c>
      <c r="C12" t="e">
        <f>COUNTIFS(#REF!,"&gt;"&amp;O12,#REF!,"&lt;"&amp;P12,#REF!,"(10.152.26.31)",#REF!,"record_type=QUR")</f>
        <v>#REF!</v>
      </c>
      <c r="D12" t="e">
        <f>COUNTIFS(#REF!,"&gt;"&amp;O12,#REF!,"&lt;"&amp;P12,#REF!,"(10.152.26.32)",#REF!,"record_type=QUR")</f>
        <v>#REF!</v>
      </c>
      <c r="E12" t="e">
        <f>COUNTIFS(#REF!,"&gt;"&amp;O12,#REF!,"&lt;"&amp;P12,#REF!,"(10.152.26.30)",#REF!,"record_type=DER")</f>
        <v>#REF!</v>
      </c>
      <c r="F12" t="e">
        <f>COUNTIFS(#REF!,"&gt;"&amp;O12,#REF!,"&lt;"&amp;P12,#REF!,"(10.152.26.31)",#REF!,"record_type=DER")</f>
        <v>#REF!</v>
      </c>
      <c r="G12" t="e">
        <f>COUNTIFS(#REF!,"&gt;"&amp;O12,#REF!,"&lt;"&amp;P12,#REF!,"(10.152.26.32)",#REF!,"record_type=DER")</f>
        <v>#REF!</v>
      </c>
      <c r="H12" t="e">
        <f>COUNTIFS(#REF!,"&gt;"&amp;O12,#REF!,"&lt;"&amp;P12,#REF!,"(10.152.26.30)",#REF!,"record_type=QUR")</f>
        <v>#REF!</v>
      </c>
      <c r="I12" t="e">
        <f>COUNTIFS(#REF!,"&gt;"&amp;O12,#REF!,"&lt;"&amp;P12,#REF!,"(10.152.26.31)",#REF!,"record_type=QUR")</f>
        <v>#REF!</v>
      </c>
      <c r="J12" t="e">
        <f>COUNTIFS(#REF!,"&gt;"&amp;O12,#REF!,"&lt;"&amp;P12,#REF!,"(10.152.26.32)",#REF!,"record_type=QUR")</f>
        <v>#REF!</v>
      </c>
      <c r="K12" t="e">
        <f>COUNTIFS(#REF!,"&gt;"&amp;O12,#REF!,"&lt;"&amp;P12,#REF!,"(10.152.26.30)",#REF!,"record_type=DER")</f>
        <v>#REF!</v>
      </c>
      <c r="L12" t="e">
        <f>COUNTIFS(#REF!,"&gt;"&amp;O12,#REF!,"&lt;"&amp;P12,#REF!,"(10.152.26.31)",#REF!,"record_type=DER")</f>
        <v>#REF!</v>
      </c>
      <c r="M12" t="e">
        <f>COUNTIFS(#REF!,"&gt;"&amp;O12,#REF!,"&lt;"&amp;P12,#REF!,"(10.152.26.32)",#REF!,"record_type=DER")</f>
        <v>#REF!</v>
      </c>
      <c r="O12" t="str">
        <f t="shared" si="0"/>
        <v>08:01:11</v>
      </c>
      <c r="P12" t="str">
        <f t="shared" si="1"/>
        <v>08:01:20</v>
      </c>
    </row>
    <row r="13" spans="1:16" x14ac:dyDescent="0.25">
      <c r="A13" s="3" t="s">
        <v>21</v>
      </c>
      <c r="B13" t="e">
        <f>COUNTIFS(#REF!,"&gt;"&amp;O13,#REF!,"&lt;"&amp;P13,#REF!,"(10.152.26.30)",#REF!,"record_type=QUR")</f>
        <v>#REF!</v>
      </c>
      <c r="C13" t="e">
        <f>COUNTIFS(#REF!,"&gt;"&amp;O13,#REF!,"&lt;"&amp;P13,#REF!,"(10.152.26.31)",#REF!,"record_type=QUR")</f>
        <v>#REF!</v>
      </c>
      <c r="D13" t="e">
        <f>COUNTIFS(#REF!,"&gt;"&amp;O13,#REF!,"&lt;"&amp;P13,#REF!,"(10.152.26.32)",#REF!,"record_type=QUR")</f>
        <v>#REF!</v>
      </c>
      <c r="E13" t="e">
        <f>COUNTIFS(#REF!,"&gt;"&amp;O13,#REF!,"&lt;"&amp;P13,#REF!,"(10.152.26.30)",#REF!,"record_type=DER")</f>
        <v>#REF!</v>
      </c>
      <c r="F13" t="e">
        <f>COUNTIFS(#REF!,"&gt;"&amp;O13,#REF!,"&lt;"&amp;P13,#REF!,"(10.152.26.31)",#REF!,"record_type=DER")</f>
        <v>#REF!</v>
      </c>
      <c r="G13" t="e">
        <f>COUNTIFS(#REF!,"&gt;"&amp;O13,#REF!,"&lt;"&amp;P13,#REF!,"(10.152.26.32)",#REF!,"record_type=DER")</f>
        <v>#REF!</v>
      </c>
      <c r="H13" t="e">
        <f>COUNTIFS(#REF!,"&gt;"&amp;O13,#REF!,"&lt;"&amp;P13,#REF!,"(10.152.26.30)",#REF!,"record_type=QUR")</f>
        <v>#REF!</v>
      </c>
      <c r="I13" t="e">
        <f>COUNTIFS(#REF!,"&gt;"&amp;O13,#REF!,"&lt;"&amp;P13,#REF!,"(10.152.26.31)",#REF!,"record_type=QUR")</f>
        <v>#REF!</v>
      </c>
      <c r="J13" t="e">
        <f>COUNTIFS(#REF!,"&gt;"&amp;O13,#REF!,"&lt;"&amp;P13,#REF!,"(10.152.26.32)",#REF!,"record_type=QUR")</f>
        <v>#REF!</v>
      </c>
      <c r="K13" t="e">
        <f>COUNTIFS(#REF!,"&gt;"&amp;O13,#REF!,"&lt;"&amp;P13,#REF!,"(10.152.26.30)",#REF!,"record_type=DER")</f>
        <v>#REF!</v>
      </c>
      <c r="L13" t="e">
        <f>COUNTIFS(#REF!,"&gt;"&amp;O13,#REF!,"&lt;"&amp;P13,#REF!,"(10.152.26.31)",#REF!,"record_type=DER")</f>
        <v>#REF!</v>
      </c>
      <c r="M13" t="e">
        <f>COUNTIFS(#REF!,"&gt;"&amp;O13,#REF!,"&lt;"&amp;P13,#REF!,"(10.152.26.32)",#REF!,"record_type=DER")</f>
        <v>#REF!</v>
      </c>
      <c r="O13" t="str">
        <f t="shared" si="0"/>
        <v>08:01:21</v>
      </c>
      <c r="P13" t="str">
        <f t="shared" si="1"/>
        <v>08:01:30</v>
      </c>
    </row>
    <row r="14" spans="1:16" x14ac:dyDescent="0.25">
      <c r="A14" s="3" t="s">
        <v>22</v>
      </c>
      <c r="B14" t="e">
        <f>COUNTIFS(#REF!,"&gt;"&amp;O14,#REF!,"&lt;"&amp;P14,#REF!,"(10.152.26.30)",#REF!,"record_type=QUR")</f>
        <v>#REF!</v>
      </c>
      <c r="C14" t="e">
        <f>COUNTIFS(#REF!,"&gt;"&amp;O14,#REF!,"&lt;"&amp;P14,#REF!,"(10.152.26.31)",#REF!,"record_type=QUR")</f>
        <v>#REF!</v>
      </c>
      <c r="D14" t="e">
        <f>COUNTIFS(#REF!,"&gt;"&amp;O14,#REF!,"&lt;"&amp;P14,#REF!,"(10.152.26.32)",#REF!,"record_type=QUR")</f>
        <v>#REF!</v>
      </c>
      <c r="E14" t="e">
        <f>COUNTIFS(#REF!,"&gt;"&amp;O14,#REF!,"&lt;"&amp;P14,#REF!,"(10.152.26.30)",#REF!,"record_type=DER")</f>
        <v>#REF!</v>
      </c>
      <c r="F14" t="e">
        <f>COUNTIFS(#REF!,"&gt;"&amp;O14,#REF!,"&lt;"&amp;P14,#REF!,"(10.152.26.31)",#REF!,"record_type=DER")</f>
        <v>#REF!</v>
      </c>
      <c r="G14" t="e">
        <f>COUNTIFS(#REF!,"&gt;"&amp;O14,#REF!,"&lt;"&amp;P14,#REF!,"(10.152.26.32)",#REF!,"record_type=DER")</f>
        <v>#REF!</v>
      </c>
      <c r="H14" t="e">
        <f>COUNTIFS(#REF!,"&gt;"&amp;O14,#REF!,"&lt;"&amp;P14,#REF!,"(10.152.26.30)",#REF!,"record_type=QUR")</f>
        <v>#REF!</v>
      </c>
      <c r="I14" t="e">
        <f>COUNTIFS(#REF!,"&gt;"&amp;O14,#REF!,"&lt;"&amp;P14,#REF!,"(10.152.26.31)",#REF!,"record_type=QUR")</f>
        <v>#REF!</v>
      </c>
      <c r="J14" t="e">
        <f>COUNTIFS(#REF!,"&gt;"&amp;O14,#REF!,"&lt;"&amp;P14,#REF!,"(10.152.26.32)",#REF!,"record_type=QUR")</f>
        <v>#REF!</v>
      </c>
      <c r="K14" t="e">
        <f>COUNTIFS(#REF!,"&gt;"&amp;O14,#REF!,"&lt;"&amp;P14,#REF!,"(10.152.26.30)",#REF!,"record_type=DER")</f>
        <v>#REF!</v>
      </c>
      <c r="L14" t="e">
        <f>COUNTIFS(#REF!,"&gt;"&amp;O14,#REF!,"&lt;"&amp;P14,#REF!,"(10.152.26.31)",#REF!,"record_type=DER")</f>
        <v>#REF!</v>
      </c>
      <c r="M14" t="e">
        <f>COUNTIFS(#REF!,"&gt;"&amp;O14,#REF!,"&lt;"&amp;P14,#REF!,"(10.152.26.32)",#REF!,"record_type=DER")</f>
        <v>#REF!</v>
      </c>
      <c r="O14" t="str">
        <f t="shared" si="0"/>
        <v>08:01:31</v>
      </c>
      <c r="P14" t="str">
        <f t="shared" si="1"/>
        <v>08:01:40</v>
      </c>
    </row>
    <row r="15" spans="1:16" x14ac:dyDescent="0.25">
      <c r="A15" s="3" t="s">
        <v>23</v>
      </c>
      <c r="B15" t="e">
        <f>COUNTIFS(#REF!,"&gt;"&amp;O15,#REF!,"&lt;"&amp;P15,#REF!,"(10.152.26.30)",#REF!,"record_type=QUR")</f>
        <v>#REF!</v>
      </c>
      <c r="C15" t="e">
        <f>COUNTIFS(#REF!,"&gt;"&amp;O15,#REF!,"&lt;"&amp;P15,#REF!,"(10.152.26.31)",#REF!,"record_type=QUR")</f>
        <v>#REF!</v>
      </c>
      <c r="D15" t="e">
        <f>COUNTIFS(#REF!,"&gt;"&amp;O15,#REF!,"&lt;"&amp;P15,#REF!,"(10.152.26.32)",#REF!,"record_type=QUR")</f>
        <v>#REF!</v>
      </c>
      <c r="E15" t="e">
        <f>COUNTIFS(#REF!,"&gt;"&amp;O15,#REF!,"&lt;"&amp;P15,#REF!,"(10.152.26.30)",#REF!,"record_type=DER")</f>
        <v>#REF!</v>
      </c>
      <c r="F15" t="e">
        <f>COUNTIFS(#REF!,"&gt;"&amp;O15,#REF!,"&lt;"&amp;P15,#REF!,"(10.152.26.31)",#REF!,"record_type=DER")</f>
        <v>#REF!</v>
      </c>
      <c r="G15" t="e">
        <f>COUNTIFS(#REF!,"&gt;"&amp;O15,#REF!,"&lt;"&amp;P15,#REF!,"(10.152.26.32)",#REF!,"record_type=DER")</f>
        <v>#REF!</v>
      </c>
      <c r="H15" t="e">
        <f>COUNTIFS(#REF!,"&gt;"&amp;O15,#REF!,"&lt;"&amp;P15,#REF!,"(10.152.26.30)",#REF!,"record_type=QUR")</f>
        <v>#REF!</v>
      </c>
      <c r="I15" t="e">
        <f>COUNTIFS(#REF!,"&gt;"&amp;O15,#REF!,"&lt;"&amp;P15,#REF!,"(10.152.26.31)",#REF!,"record_type=QUR")</f>
        <v>#REF!</v>
      </c>
      <c r="J15" t="e">
        <f>COUNTIFS(#REF!,"&gt;"&amp;O15,#REF!,"&lt;"&amp;P15,#REF!,"(10.152.26.32)",#REF!,"record_type=QUR")</f>
        <v>#REF!</v>
      </c>
      <c r="K15" t="e">
        <f>COUNTIFS(#REF!,"&gt;"&amp;O15,#REF!,"&lt;"&amp;P15,#REF!,"(10.152.26.30)",#REF!,"record_type=DER")</f>
        <v>#REF!</v>
      </c>
      <c r="L15" t="e">
        <f>COUNTIFS(#REF!,"&gt;"&amp;O15,#REF!,"&lt;"&amp;P15,#REF!,"(10.152.26.31)",#REF!,"record_type=DER")</f>
        <v>#REF!</v>
      </c>
      <c r="M15" t="e">
        <f>COUNTIFS(#REF!,"&gt;"&amp;O15,#REF!,"&lt;"&amp;P15,#REF!,"(10.152.26.32)",#REF!,"record_type=DER")</f>
        <v>#REF!</v>
      </c>
      <c r="O15" t="str">
        <f t="shared" si="0"/>
        <v>08:01:41</v>
      </c>
      <c r="P15" t="str">
        <f t="shared" si="1"/>
        <v>08:01:50</v>
      </c>
    </row>
    <row r="16" spans="1:16" x14ac:dyDescent="0.25">
      <c r="A16" s="3" t="s">
        <v>24</v>
      </c>
      <c r="B16" t="e">
        <f>COUNTIFS(#REF!,"&gt;"&amp;O16,#REF!,"&lt;"&amp;P16,#REF!,"(10.152.26.30)",#REF!,"record_type=QUR")</f>
        <v>#REF!</v>
      </c>
      <c r="C16" t="e">
        <f>COUNTIFS(#REF!,"&gt;"&amp;O16,#REF!,"&lt;"&amp;P16,#REF!,"(10.152.26.31)",#REF!,"record_type=QUR")</f>
        <v>#REF!</v>
      </c>
      <c r="D16" t="e">
        <f>COUNTIFS(#REF!,"&gt;"&amp;O16,#REF!,"&lt;"&amp;P16,#REF!,"(10.152.26.32)",#REF!,"record_type=QUR")</f>
        <v>#REF!</v>
      </c>
      <c r="E16" t="e">
        <f>COUNTIFS(#REF!,"&gt;"&amp;O16,#REF!,"&lt;"&amp;P16,#REF!,"(10.152.26.30)",#REF!,"record_type=DER")</f>
        <v>#REF!</v>
      </c>
      <c r="F16" t="e">
        <f>COUNTIFS(#REF!,"&gt;"&amp;O16,#REF!,"&lt;"&amp;P16,#REF!,"(10.152.26.31)",#REF!,"record_type=DER")</f>
        <v>#REF!</v>
      </c>
      <c r="G16" t="e">
        <f>COUNTIFS(#REF!,"&gt;"&amp;O16,#REF!,"&lt;"&amp;P16,#REF!,"(10.152.26.32)",#REF!,"record_type=DER")</f>
        <v>#REF!</v>
      </c>
      <c r="H16" t="e">
        <f>COUNTIFS(#REF!,"&gt;"&amp;O16,#REF!,"&lt;"&amp;P16,#REF!,"(10.152.26.30)",#REF!,"record_type=QUR")</f>
        <v>#REF!</v>
      </c>
      <c r="I16" t="e">
        <f>COUNTIFS(#REF!,"&gt;"&amp;O16,#REF!,"&lt;"&amp;P16,#REF!,"(10.152.26.31)",#REF!,"record_type=QUR")</f>
        <v>#REF!</v>
      </c>
      <c r="J16" t="e">
        <f>COUNTIFS(#REF!,"&gt;"&amp;O16,#REF!,"&lt;"&amp;P16,#REF!,"(10.152.26.32)",#REF!,"record_type=QUR")</f>
        <v>#REF!</v>
      </c>
      <c r="K16" t="e">
        <f>COUNTIFS(#REF!,"&gt;"&amp;O16,#REF!,"&lt;"&amp;P16,#REF!,"(10.152.26.30)",#REF!,"record_type=DER")</f>
        <v>#REF!</v>
      </c>
      <c r="L16" t="e">
        <f>COUNTIFS(#REF!,"&gt;"&amp;O16,#REF!,"&lt;"&amp;P16,#REF!,"(10.152.26.31)",#REF!,"record_type=DER")</f>
        <v>#REF!</v>
      </c>
      <c r="M16" t="e">
        <f>COUNTIFS(#REF!,"&gt;"&amp;O16,#REF!,"&lt;"&amp;P16,#REF!,"(10.152.26.32)",#REF!,"record_type=DER")</f>
        <v>#REF!</v>
      </c>
      <c r="O16" t="str">
        <f t="shared" si="0"/>
        <v>08:01:51</v>
      </c>
      <c r="P16" t="str">
        <f t="shared" si="1"/>
        <v>08:02:00</v>
      </c>
    </row>
    <row r="17" spans="1:16" x14ac:dyDescent="0.25">
      <c r="A17" s="3" t="s">
        <v>25</v>
      </c>
      <c r="B17" t="e">
        <f>COUNTIFS(#REF!,"&gt;"&amp;O17,#REF!,"&lt;"&amp;P17,#REF!,"(10.152.26.30)",#REF!,"record_type=QUR")</f>
        <v>#REF!</v>
      </c>
      <c r="C17" t="e">
        <f>COUNTIFS(#REF!,"&gt;"&amp;O17,#REF!,"&lt;"&amp;P17,#REF!,"(10.152.26.31)",#REF!,"record_type=QUR")</f>
        <v>#REF!</v>
      </c>
      <c r="D17" t="e">
        <f>COUNTIFS(#REF!,"&gt;"&amp;O17,#REF!,"&lt;"&amp;P17,#REF!,"(10.152.26.32)",#REF!,"record_type=QUR")</f>
        <v>#REF!</v>
      </c>
      <c r="E17" t="e">
        <f>COUNTIFS(#REF!,"&gt;"&amp;O17,#REF!,"&lt;"&amp;P17,#REF!,"(10.152.26.30)",#REF!,"record_type=DER")</f>
        <v>#REF!</v>
      </c>
      <c r="F17" t="e">
        <f>COUNTIFS(#REF!,"&gt;"&amp;O17,#REF!,"&lt;"&amp;P17,#REF!,"(10.152.26.31)",#REF!,"record_type=DER")</f>
        <v>#REF!</v>
      </c>
      <c r="G17" t="e">
        <f>COUNTIFS(#REF!,"&gt;"&amp;O17,#REF!,"&lt;"&amp;P17,#REF!,"(10.152.26.32)",#REF!,"record_type=DER")</f>
        <v>#REF!</v>
      </c>
      <c r="H17" t="e">
        <f>COUNTIFS(#REF!,"&gt;"&amp;O17,#REF!,"&lt;"&amp;P17,#REF!,"(10.152.26.30)",#REF!,"record_type=QUR")</f>
        <v>#REF!</v>
      </c>
      <c r="I17" t="e">
        <f>COUNTIFS(#REF!,"&gt;"&amp;O17,#REF!,"&lt;"&amp;P17,#REF!,"(10.152.26.31)",#REF!,"record_type=QUR")</f>
        <v>#REF!</v>
      </c>
      <c r="J17" t="e">
        <f>COUNTIFS(#REF!,"&gt;"&amp;O17,#REF!,"&lt;"&amp;P17,#REF!,"(10.152.26.32)",#REF!,"record_type=QUR")</f>
        <v>#REF!</v>
      </c>
      <c r="K17" t="e">
        <f>COUNTIFS(#REF!,"&gt;"&amp;O17,#REF!,"&lt;"&amp;P17,#REF!,"(10.152.26.30)",#REF!,"record_type=DER")</f>
        <v>#REF!</v>
      </c>
      <c r="L17" t="e">
        <f>COUNTIFS(#REF!,"&gt;"&amp;O17,#REF!,"&lt;"&amp;P17,#REF!,"(10.152.26.31)",#REF!,"record_type=DER")</f>
        <v>#REF!</v>
      </c>
      <c r="M17" t="e">
        <f>COUNTIFS(#REF!,"&gt;"&amp;O17,#REF!,"&lt;"&amp;P17,#REF!,"(10.152.26.32)",#REF!,"record_type=DER")</f>
        <v>#REF!</v>
      </c>
      <c r="O17" t="str">
        <f t="shared" si="0"/>
        <v>08:02:00</v>
      </c>
      <c r="P17" t="str">
        <f t="shared" si="1"/>
        <v>08:02:10</v>
      </c>
    </row>
    <row r="18" spans="1:16" x14ac:dyDescent="0.25">
      <c r="A18" s="3" t="s">
        <v>26</v>
      </c>
      <c r="B18" t="e">
        <f>COUNTIFS(#REF!,"&gt;"&amp;O18,#REF!,"&lt;"&amp;P18,#REF!,"(10.152.26.30)",#REF!,"record_type=QUR")</f>
        <v>#REF!</v>
      </c>
      <c r="C18" t="e">
        <f>COUNTIFS(#REF!,"&gt;"&amp;O18,#REF!,"&lt;"&amp;P18,#REF!,"(10.152.26.31)",#REF!,"record_type=QUR")</f>
        <v>#REF!</v>
      </c>
      <c r="D18" t="e">
        <f>COUNTIFS(#REF!,"&gt;"&amp;O18,#REF!,"&lt;"&amp;P18,#REF!,"(10.152.26.32)",#REF!,"record_type=QUR")</f>
        <v>#REF!</v>
      </c>
      <c r="E18" t="e">
        <f>COUNTIFS(#REF!,"&gt;"&amp;O18,#REF!,"&lt;"&amp;P18,#REF!,"(10.152.26.30)",#REF!,"record_type=DER")</f>
        <v>#REF!</v>
      </c>
      <c r="F18" t="e">
        <f>COUNTIFS(#REF!,"&gt;"&amp;O18,#REF!,"&lt;"&amp;P18,#REF!,"(10.152.26.31)",#REF!,"record_type=DER")</f>
        <v>#REF!</v>
      </c>
      <c r="G18" t="e">
        <f>COUNTIFS(#REF!,"&gt;"&amp;O18,#REF!,"&lt;"&amp;P18,#REF!,"(10.152.26.32)",#REF!,"record_type=DER")</f>
        <v>#REF!</v>
      </c>
      <c r="H18" t="e">
        <f>COUNTIFS(#REF!,"&gt;"&amp;O18,#REF!,"&lt;"&amp;P18,#REF!,"(10.152.26.30)",#REF!,"record_type=QUR")</f>
        <v>#REF!</v>
      </c>
      <c r="I18" t="e">
        <f>COUNTIFS(#REF!,"&gt;"&amp;O18,#REF!,"&lt;"&amp;P18,#REF!,"(10.152.26.31)",#REF!,"record_type=QUR")</f>
        <v>#REF!</v>
      </c>
      <c r="J18" t="e">
        <f>COUNTIFS(#REF!,"&gt;"&amp;O18,#REF!,"&lt;"&amp;P18,#REF!,"(10.152.26.32)",#REF!,"record_type=QUR")</f>
        <v>#REF!</v>
      </c>
      <c r="K18" t="e">
        <f>COUNTIFS(#REF!,"&gt;"&amp;O18,#REF!,"&lt;"&amp;P18,#REF!,"(10.152.26.30)",#REF!,"record_type=DER")</f>
        <v>#REF!</v>
      </c>
      <c r="L18" t="e">
        <f>COUNTIFS(#REF!,"&gt;"&amp;O18,#REF!,"&lt;"&amp;P18,#REF!,"(10.152.26.31)",#REF!,"record_type=DER")</f>
        <v>#REF!</v>
      </c>
      <c r="M18" t="e">
        <f>COUNTIFS(#REF!,"&gt;"&amp;O18,#REF!,"&lt;"&amp;P18,#REF!,"(10.152.26.32)",#REF!,"record_type=DER")</f>
        <v>#REF!</v>
      </c>
      <c r="O18" t="str">
        <f t="shared" si="0"/>
        <v>08:02:11</v>
      </c>
      <c r="P18" t="str">
        <f t="shared" si="1"/>
        <v>08:02:20</v>
      </c>
    </row>
    <row r="19" spans="1:16" x14ac:dyDescent="0.25">
      <c r="A19" s="3" t="s">
        <v>27</v>
      </c>
      <c r="B19" t="e">
        <f>COUNTIFS(#REF!,"&gt;"&amp;O19,#REF!,"&lt;"&amp;P19,#REF!,"(10.152.26.30)",#REF!,"record_type=QUR")</f>
        <v>#REF!</v>
      </c>
      <c r="C19" t="e">
        <f>COUNTIFS(#REF!,"&gt;"&amp;O19,#REF!,"&lt;"&amp;P19,#REF!,"(10.152.26.31)",#REF!,"record_type=QUR")</f>
        <v>#REF!</v>
      </c>
      <c r="D19" t="e">
        <f>COUNTIFS(#REF!,"&gt;"&amp;O19,#REF!,"&lt;"&amp;P19,#REF!,"(10.152.26.32)",#REF!,"record_type=QUR")</f>
        <v>#REF!</v>
      </c>
      <c r="E19" t="e">
        <f>COUNTIFS(#REF!,"&gt;"&amp;O19,#REF!,"&lt;"&amp;P19,#REF!,"(10.152.26.30)",#REF!,"record_type=DER")</f>
        <v>#REF!</v>
      </c>
      <c r="F19" t="e">
        <f>COUNTIFS(#REF!,"&gt;"&amp;O19,#REF!,"&lt;"&amp;P19,#REF!,"(10.152.26.31)",#REF!,"record_type=DER")</f>
        <v>#REF!</v>
      </c>
      <c r="G19" t="e">
        <f>COUNTIFS(#REF!,"&gt;"&amp;O19,#REF!,"&lt;"&amp;P19,#REF!,"(10.152.26.32)",#REF!,"record_type=DER")</f>
        <v>#REF!</v>
      </c>
      <c r="H19" t="e">
        <f>COUNTIFS(#REF!,"&gt;"&amp;O19,#REF!,"&lt;"&amp;P19,#REF!,"(10.152.26.30)",#REF!,"record_type=QUR")</f>
        <v>#REF!</v>
      </c>
      <c r="I19" t="e">
        <f>COUNTIFS(#REF!,"&gt;"&amp;O19,#REF!,"&lt;"&amp;P19,#REF!,"(10.152.26.31)",#REF!,"record_type=QUR")</f>
        <v>#REF!</v>
      </c>
      <c r="J19" t="e">
        <f>COUNTIFS(#REF!,"&gt;"&amp;O19,#REF!,"&lt;"&amp;P19,#REF!,"(10.152.26.32)",#REF!,"record_type=QUR")</f>
        <v>#REF!</v>
      </c>
      <c r="K19" t="e">
        <f>COUNTIFS(#REF!,"&gt;"&amp;O19,#REF!,"&lt;"&amp;P19,#REF!,"(10.152.26.30)",#REF!,"record_type=DER")</f>
        <v>#REF!</v>
      </c>
      <c r="L19" t="e">
        <f>COUNTIFS(#REF!,"&gt;"&amp;O19,#REF!,"&lt;"&amp;P19,#REF!,"(10.152.26.31)",#REF!,"record_type=DER")</f>
        <v>#REF!</v>
      </c>
      <c r="M19" t="e">
        <f>COUNTIFS(#REF!,"&gt;"&amp;O19,#REF!,"&lt;"&amp;P19,#REF!,"(10.152.26.32)",#REF!,"record_type=DER")</f>
        <v>#REF!</v>
      </c>
      <c r="O19" t="str">
        <f t="shared" si="0"/>
        <v>08:02:21</v>
      </c>
      <c r="P19" t="str">
        <f t="shared" si="1"/>
        <v>08:02:30</v>
      </c>
    </row>
    <row r="20" spans="1:16" x14ac:dyDescent="0.25">
      <c r="A20" s="3" t="s">
        <v>28</v>
      </c>
      <c r="B20" t="e">
        <f>COUNTIFS(#REF!,"&gt;"&amp;O20,#REF!,"&lt;"&amp;P20,#REF!,"(10.152.26.30)",#REF!,"record_type=QUR")</f>
        <v>#REF!</v>
      </c>
      <c r="C20" t="e">
        <f>COUNTIFS(#REF!,"&gt;"&amp;O20,#REF!,"&lt;"&amp;P20,#REF!,"(10.152.26.31)",#REF!,"record_type=QUR")</f>
        <v>#REF!</v>
      </c>
      <c r="D20" t="e">
        <f>COUNTIFS(#REF!,"&gt;"&amp;O20,#REF!,"&lt;"&amp;P20,#REF!,"(10.152.26.32)",#REF!,"record_type=QUR")</f>
        <v>#REF!</v>
      </c>
      <c r="E20" t="e">
        <f>COUNTIFS(#REF!,"&gt;"&amp;O20,#REF!,"&lt;"&amp;P20,#REF!,"(10.152.26.30)",#REF!,"record_type=DER")</f>
        <v>#REF!</v>
      </c>
      <c r="F20" t="e">
        <f>COUNTIFS(#REF!,"&gt;"&amp;O20,#REF!,"&lt;"&amp;P20,#REF!,"(10.152.26.31)",#REF!,"record_type=DER")</f>
        <v>#REF!</v>
      </c>
      <c r="G20" t="e">
        <f>COUNTIFS(#REF!,"&gt;"&amp;O20,#REF!,"&lt;"&amp;P20,#REF!,"(10.152.26.32)",#REF!,"record_type=DER")</f>
        <v>#REF!</v>
      </c>
      <c r="H20" t="e">
        <f>COUNTIFS(#REF!,"&gt;"&amp;O20,#REF!,"&lt;"&amp;P20,#REF!,"(10.152.26.30)",#REF!,"record_type=QUR")</f>
        <v>#REF!</v>
      </c>
      <c r="I20" t="e">
        <f>COUNTIFS(#REF!,"&gt;"&amp;O20,#REF!,"&lt;"&amp;P20,#REF!,"(10.152.26.31)",#REF!,"record_type=QUR")</f>
        <v>#REF!</v>
      </c>
      <c r="J20" t="e">
        <f>COUNTIFS(#REF!,"&gt;"&amp;O20,#REF!,"&lt;"&amp;P20,#REF!,"(10.152.26.32)",#REF!,"record_type=QUR")</f>
        <v>#REF!</v>
      </c>
      <c r="K20" t="e">
        <f>COUNTIFS(#REF!,"&gt;"&amp;O20,#REF!,"&lt;"&amp;P20,#REF!,"(10.152.26.30)",#REF!,"record_type=DER")</f>
        <v>#REF!</v>
      </c>
      <c r="L20" t="e">
        <f>COUNTIFS(#REF!,"&gt;"&amp;O20,#REF!,"&lt;"&amp;P20,#REF!,"(10.152.26.31)",#REF!,"record_type=DER")</f>
        <v>#REF!</v>
      </c>
      <c r="M20" t="e">
        <f>COUNTIFS(#REF!,"&gt;"&amp;O20,#REF!,"&lt;"&amp;P20,#REF!,"(10.152.26.32)",#REF!,"record_type=DER")</f>
        <v>#REF!</v>
      </c>
      <c r="O20" t="str">
        <f t="shared" si="0"/>
        <v>08:02:31</v>
      </c>
      <c r="P20" t="str">
        <f t="shared" si="1"/>
        <v>08:02:40</v>
      </c>
    </row>
    <row r="21" spans="1:16" x14ac:dyDescent="0.25">
      <c r="A21" s="3" t="s">
        <v>29</v>
      </c>
      <c r="B21" t="e">
        <f>COUNTIFS(#REF!,"&gt;"&amp;O21,#REF!,"&lt;"&amp;P21,#REF!,"(10.152.26.30)",#REF!,"record_type=QUR")</f>
        <v>#REF!</v>
      </c>
      <c r="C21" t="e">
        <f>COUNTIFS(#REF!,"&gt;"&amp;O21,#REF!,"&lt;"&amp;P21,#REF!,"(10.152.26.31)",#REF!,"record_type=QUR")</f>
        <v>#REF!</v>
      </c>
      <c r="D21" t="e">
        <f>COUNTIFS(#REF!,"&gt;"&amp;O21,#REF!,"&lt;"&amp;P21,#REF!,"(10.152.26.32)",#REF!,"record_type=QUR")</f>
        <v>#REF!</v>
      </c>
      <c r="E21" t="e">
        <f>COUNTIFS(#REF!,"&gt;"&amp;O21,#REF!,"&lt;"&amp;P21,#REF!,"(10.152.26.30)",#REF!,"record_type=DER")</f>
        <v>#REF!</v>
      </c>
      <c r="F21" t="e">
        <f>COUNTIFS(#REF!,"&gt;"&amp;O21,#REF!,"&lt;"&amp;P21,#REF!,"(10.152.26.31)",#REF!,"record_type=DER")</f>
        <v>#REF!</v>
      </c>
      <c r="G21" t="e">
        <f>COUNTIFS(#REF!,"&gt;"&amp;O21,#REF!,"&lt;"&amp;P21,#REF!,"(10.152.26.32)",#REF!,"record_type=DER")</f>
        <v>#REF!</v>
      </c>
      <c r="H21" t="e">
        <f>COUNTIFS(#REF!,"&gt;"&amp;O21,#REF!,"&lt;"&amp;P21,#REF!,"(10.152.26.30)",#REF!,"record_type=QUR")</f>
        <v>#REF!</v>
      </c>
      <c r="I21" t="e">
        <f>COUNTIFS(#REF!,"&gt;"&amp;O21,#REF!,"&lt;"&amp;P21,#REF!,"(10.152.26.31)",#REF!,"record_type=QUR")</f>
        <v>#REF!</v>
      </c>
      <c r="J21" t="e">
        <f>COUNTIFS(#REF!,"&gt;"&amp;O21,#REF!,"&lt;"&amp;P21,#REF!,"(10.152.26.32)",#REF!,"record_type=QUR")</f>
        <v>#REF!</v>
      </c>
      <c r="K21" t="e">
        <f>COUNTIFS(#REF!,"&gt;"&amp;O21,#REF!,"&lt;"&amp;P21,#REF!,"(10.152.26.30)",#REF!,"record_type=DER")</f>
        <v>#REF!</v>
      </c>
      <c r="L21" t="e">
        <f>COUNTIFS(#REF!,"&gt;"&amp;O21,#REF!,"&lt;"&amp;P21,#REF!,"(10.152.26.31)",#REF!,"record_type=DER")</f>
        <v>#REF!</v>
      </c>
      <c r="M21" t="e">
        <f>COUNTIFS(#REF!,"&gt;"&amp;O21,#REF!,"&lt;"&amp;P21,#REF!,"(10.152.26.32)",#REF!,"record_type=DER")</f>
        <v>#REF!</v>
      </c>
      <c r="O21" t="str">
        <f t="shared" si="0"/>
        <v>08:02:41</v>
      </c>
      <c r="P21" t="str">
        <f t="shared" si="1"/>
        <v>08:02:50</v>
      </c>
    </row>
    <row r="22" spans="1:16" x14ac:dyDescent="0.25">
      <c r="A22" s="3" t="s">
        <v>30</v>
      </c>
      <c r="B22" t="e">
        <f>COUNTIFS(#REF!,"&gt;"&amp;O22,#REF!,"&lt;"&amp;P22,#REF!,"(10.152.26.30)",#REF!,"record_type=QUR")</f>
        <v>#REF!</v>
      </c>
      <c r="C22" t="e">
        <f>COUNTIFS(#REF!,"&gt;"&amp;O22,#REF!,"&lt;"&amp;P22,#REF!,"(10.152.26.31)",#REF!,"record_type=QUR")</f>
        <v>#REF!</v>
      </c>
      <c r="D22" t="e">
        <f>COUNTIFS(#REF!,"&gt;"&amp;O22,#REF!,"&lt;"&amp;P22,#REF!,"(10.152.26.32)",#REF!,"record_type=QUR")</f>
        <v>#REF!</v>
      </c>
      <c r="E22" t="e">
        <f>COUNTIFS(#REF!,"&gt;"&amp;O22,#REF!,"&lt;"&amp;P22,#REF!,"(10.152.26.30)",#REF!,"record_type=DER")</f>
        <v>#REF!</v>
      </c>
      <c r="F22" t="e">
        <f>COUNTIFS(#REF!,"&gt;"&amp;O22,#REF!,"&lt;"&amp;P22,#REF!,"(10.152.26.31)",#REF!,"record_type=DER")</f>
        <v>#REF!</v>
      </c>
      <c r="G22" t="e">
        <f>COUNTIFS(#REF!,"&gt;"&amp;O22,#REF!,"&lt;"&amp;P22,#REF!,"(10.152.26.32)",#REF!,"record_type=DER")</f>
        <v>#REF!</v>
      </c>
      <c r="H22" t="e">
        <f>COUNTIFS(#REF!,"&gt;"&amp;O22,#REF!,"&lt;"&amp;P22,#REF!,"(10.152.26.30)",#REF!,"record_type=QUR")</f>
        <v>#REF!</v>
      </c>
      <c r="I22" t="e">
        <f>COUNTIFS(#REF!,"&gt;"&amp;O22,#REF!,"&lt;"&amp;P22,#REF!,"(10.152.26.31)",#REF!,"record_type=QUR")</f>
        <v>#REF!</v>
      </c>
      <c r="J22" t="e">
        <f>COUNTIFS(#REF!,"&gt;"&amp;O22,#REF!,"&lt;"&amp;P22,#REF!,"(10.152.26.32)",#REF!,"record_type=QUR")</f>
        <v>#REF!</v>
      </c>
      <c r="K22" t="e">
        <f>COUNTIFS(#REF!,"&gt;"&amp;O22,#REF!,"&lt;"&amp;P22,#REF!,"(10.152.26.30)",#REF!,"record_type=DER")</f>
        <v>#REF!</v>
      </c>
      <c r="L22" t="e">
        <f>COUNTIFS(#REF!,"&gt;"&amp;O22,#REF!,"&lt;"&amp;P22,#REF!,"(10.152.26.31)",#REF!,"record_type=DER")</f>
        <v>#REF!</v>
      </c>
      <c r="M22" t="e">
        <f>COUNTIFS(#REF!,"&gt;"&amp;O22,#REF!,"&lt;"&amp;P22,#REF!,"(10.152.26.32)",#REF!,"record_type=DER")</f>
        <v>#REF!</v>
      </c>
      <c r="O22" t="str">
        <f t="shared" si="0"/>
        <v>08:02:51</v>
      </c>
      <c r="P22" t="str">
        <f t="shared" si="1"/>
        <v>08:03:00</v>
      </c>
    </row>
    <row r="23" spans="1:16" x14ac:dyDescent="0.25">
      <c r="A23" s="3" t="s">
        <v>31</v>
      </c>
      <c r="B23" t="e">
        <f>COUNTIFS(#REF!,"&gt;"&amp;O23,#REF!,"&lt;"&amp;P23,#REF!,"(10.152.26.30)",#REF!,"record_type=QUR")</f>
        <v>#REF!</v>
      </c>
      <c r="C23" t="e">
        <f>COUNTIFS(#REF!,"&gt;"&amp;O23,#REF!,"&lt;"&amp;P23,#REF!,"(10.152.26.31)",#REF!,"record_type=QUR")</f>
        <v>#REF!</v>
      </c>
      <c r="D23" t="e">
        <f>COUNTIFS(#REF!,"&gt;"&amp;O23,#REF!,"&lt;"&amp;P23,#REF!,"(10.152.26.32)",#REF!,"record_type=QUR")</f>
        <v>#REF!</v>
      </c>
      <c r="E23" t="e">
        <f>COUNTIFS(#REF!,"&gt;"&amp;O23,#REF!,"&lt;"&amp;P23,#REF!,"(10.152.26.30)",#REF!,"record_type=DER")</f>
        <v>#REF!</v>
      </c>
      <c r="F23" t="e">
        <f>COUNTIFS(#REF!,"&gt;"&amp;O23,#REF!,"&lt;"&amp;P23,#REF!,"(10.152.26.31)",#REF!,"record_type=DER")</f>
        <v>#REF!</v>
      </c>
      <c r="G23" t="e">
        <f>COUNTIFS(#REF!,"&gt;"&amp;O23,#REF!,"&lt;"&amp;P23,#REF!,"(10.152.26.32)",#REF!,"record_type=DER")</f>
        <v>#REF!</v>
      </c>
      <c r="H23" t="e">
        <f>COUNTIFS(#REF!,"&gt;"&amp;O23,#REF!,"&lt;"&amp;P23,#REF!,"(10.152.26.30)",#REF!,"record_type=QUR")</f>
        <v>#REF!</v>
      </c>
      <c r="I23" t="e">
        <f>COUNTIFS(#REF!,"&gt;"&amp;O23,#REF!,"&lt;"&amp;P23,#REF!,"(10.152.26.31)",#REF!,"record_type=QUR")</f>
        <v>#REF!</v>
      </c>
      <c r="J23" t="e">
        <f>COUNTIFS(#REF!,"&gt;"&amp;O23,#REF!,"&lt;"&amp;P23,#REF!,"(10.152.26.32)",#REF!,"record_type=QUR")</f>
        <v>#REF!</v>
      </c>
      <c r="K23" t="e">
        <f>COUNTIFS(#REF!,"&gt;"&amp;O23,#REF!,"&lt;"&amp;P23,#REF!,"(10.152.26.30)",#REF!,"record_type=DER")</f>
        <v>#REF!</v>
      </c>
      <c r="L23" t="e">
        <f>COUNTIFS(#REF!,"&gt;"&amp;O23,#REF!,"&lt;"&amp;P23,#REF!,"(10.152.26.31)",#REF!,"record_type=DER")</f>
        <v>#REF!</v>
      </c>
      <c r="M23" t="e">
        <f>COUNTIFS(#REF!,"&gt;"&amp;O23,#REF!,"&lt;"&amp;P23,#REF!,"(10.152.26.32)",#REF!,"record_type=DER")</f>
        <v>#REF!</v>
      </c>
      <c r="O23" t="str">
        <f t="shared" si="0"/>
        <v>08:03:00</v>
      </c>
      <c r="P23" t="str">
        <f t="shared" si="1"/>
        <v>08:03:10</v>
      </c>
    </row>
    <row r="24" spans="1:16" x14ac:dyDescent="0.25">
      <c r="A24" s="3" t="s">
        <v>32</v>
      </c>
      <c r="B24" t="e">
        <f>COUNTIFS(#REF!,"&gt;"&amp;O24,#REF!,"&lt;"&amp;P24,#REF!,"(10.152.26.30)",#REF!,"record_type=QUR")</f>
        <v>#REF!</v>
      </c>
      <c r="C24" t="e">
        <f>COUNTIFS(#REF!,"&gt;"&amp;O24,#REF!,"&lt;"&amp;P24,#REF!,"(10.152.26.31)",#REF!,"record_type=QUR")</f>
        <v>#REF!</v>
      </c>
      <c r="D24" t="e">
        <f>COUNTIFS(#REF!,"&gt;"&amp;O24,#REF!,"&lt;"&amp;P24,#REF!,"(10.152.26.32)",#REF!,"record_type=QUR")</f>
        <v>#REF!</v>
      </c>
      <c r="E24" t="e">
        <f>COUNTIFS(#REF!,"&gt;"&amp;O24,#REF!,"&lt;"&amp;P24,#REF!,"(10.152.26.30)",#REF!,"record_type=DER")</f>
        <v>#REF!</v>
      </c>
      <c r="F24" t="e">
        <f>COUNTIFS(#REF!,"&gt;"&amp;O24,#REF!,"&lt;"&amp;P24,#REF!,"(10.152.26.31)",#REF!,"record_type=DER")</f>
        <v>#REF!</v>
      </c>
      <c r="G24" t="e">
        <f>COUNTIFS(#REF!,"&gt;"&amp;O24,#REF!,"&lt;"&amp;P24,#REF!,"(10.152.26.32)",#REF!,"record_type=DER")</f>
        <v>#REF!</v>
      </c>
      <c r="H24" t="e">
        <f>COUNTIFS(#REF!,"&gt;"&amp;O24,#REF!,"&lt;"&amp;P24,#REF!,"(10.152.26.30)",#REF!,"record_type=QUR")</f>
        <v>#REF!</v>
      </c>
      <c r="I24" t="e">
        <f>COUNTIFS(#REF!,"&gt;"&amp;O24,#REF!,"&lt;"&amp;P24,#REF!,"(10.152.26.31)",#REF!,"record_type=QUR")</f>
        <v>#REF!</v>
      </c>
      <c r="J24" t="e">
        <f>COUNTIFS(#REF!,"&gt;"&amp;O24,#REF!,"&lt;"&amp;P24,#REF!,"(10.152.26.32)",#REF!,"record_type=QUR")</f>
        <v>#REF!</v>
      </c>
      <c r="K24" t="e">
        <f>COUNTIFS(#REF!,"&gt;"&amp;O24,#REF!,"&lt;"&amp;P24,#REF!,"(10.152.26.30)",#REF!,"record_type=DER")</f>
        <v>#REF!</v>
      </c>
      <c r="L24" t="e">
        <f>COUNTIFS(#REF!,"&gt;"&amp;O24,#REF!,"&lt;"&amp;P24,#REF!,"(10.152.26.31)",#REF!,"record_type=DER")</f>
        <v>#REF!</v>
      </c>
      <c r="M24" t="e">
        <f>COUNTIFS(#REF!,"&gt;"&amp;O24,#REF!,"&lt;"&amp;P24,#REF!,"(10.152.26.32)",#REF!,"record_type=DER")</f>
        <v>#REF!</v>
      </c>
      <c r="O24" t="str">
        <f t="shared" si="0"/>
        <v>08:03:11</v>
      </c>
      <c r="P24" t="str">
        <f t="shared" si="1"/>
        <v>08:03:20</v>
      </c>
    </row>
    <row r="25" spans="1:16" x14ac:dyDescent="0.25">
      <c r="A25" s="3" t="s">
        <v>33</v>
      </c>
      <c r="B25" t="e">
        <f>COUNTIFS(#REF!,"&gt;"&amp;O25,#REF!,"&lt;"&amp;P25,#REF!,"(10.152.26.30)",#REF!,"record_type=QUR")</f>
        <v>#REF!</v>
      </c>
      <c r="C25" t="e">
        <f>COUNTIFS(#REF!,"&gt;"&amp;O25,#REF!,"&lt;"&amp;P25,#REF!,"(10.152.26.31)",#REF!,"record_type=QUR")</f>
        <v>#REF!</v>
      </c>
      <c r="D25" t="e">
        <f>COUNTIFS(#REF!,"&gt;"&amp;O25,#REF!,"&lt;"&amp;P25,#REF!,"(10.152.26.32)",#REF!,"record_type=QUR")</f>
        <v>#REF!</v>
      </c>
      <c r="E25" t="e">
        <f>COUNTIFS(#REF!,"&gt;"&amp;O25,#REF!,"&lt;"&amp;P25,#REF!,"(10.152.26.30)",#REF!,"record_type=DER")</f>
        <v>#REF!</v>
      </c>
      <c r="F25" t="e">
        <f>COUNTIFS(#REF!,"&gt;"&amp;O25,#REF!,"&lt;"&amp;P25,#REF!,"(10.152.26.31)",#REF!,"record_type=DER")</f>
        <v>#REF!</v>
      </c>
      <c r="G25" t="e">
        <f>COUNTIFS(#REF!,"&gt;"&amp;O25,#REF!,"&lt;"&amp;P25,#REF!,"(10.152.26.32)",#REF!,"record_type=DER")</f>
        <v>#REF!</v>
      </c>
      <c r="H25" t="e">
        <f>COUNTIFS(#REF!,"&gt;"&amp;O25,#REF!,"&lt;"&amp;P25,#REF!,"(10.152.26.30)",#REF!,"record_type=QUR")</f>
        <v>#REF!</v>
      </c>
      <c r="I25" t="e">
        <f>COUNTIFS(#REF!,"&gt;"&amp;O25,#REF!,"&lt;"&amp;P25,#REF!,"(10.152.26.31)",#REF!,"record_type=QUR")</f>
        <v>#REF!</v>
      </c>
      <c r="J25" t="e">
        <f>COUNTIFS(#REF!,"&gt;"&amp;O25,#REF!,"&lt;"&amp;P25,#REF!,"(10.152.26.32)",#REF!,"record_type=QUR")</f>
        <v>#REF!</v>
      </c>
      <c r="K25" t="e">
        <f>COUNTIFS(#REF!,"&gt;"&amp;O25,#REF!,"&lt;"&amp;P25,#REF!,"(10.152.26.30)",#REF!,"record_type=DER")</f>
        <v>#REF!</v>
      </c>
      <c r="L25" t="e">
        <f>COUNTIFS(#REF!,"&gt;"&amp;O25,#REF!,"&lt;"&amp;P25,#REF!,"(10.152.26.31)",#REF!,"record_type=DER")</f>
        <v>#REF!</v>
      </c>
      <c r="M25" t="e">
        <f>COUNTIFS(#REF!,"&gt;"&amp;O25,#REF!,"&lt;"&amp;P25,#REF!,"(10.152.26.32)",#REF!,"record_type=DER")</f>
        <v>#REF!</v>
      </c>
      <c r="O25" t="str">
        <f t="shared" si="0"/>
        <v>08:03:21</v>
      </c>
      <c r="P25" t="str">
        <f t="shared" si="1"/>
        <v>08:03:30</v>
      </c>
    </row>
    <row r="26" spans="1:16" x14ac:dyDescent="0.25">
      <c r="A26" s="3" t="s">
        <v>34</v>
      </c>
      <c r="B26" t="e">
        <f>COUNTIFS(#REF!,"&gt;"&amp;O26,#REF!,"&lt;"&amp;P26,#REF!,"(10.152.26.30)",#REF!,"record_type=QUR")</f>
        <v>#REF!</v>
      </c>
      <c r="C26" t="e">
        <f>COUNTIFS(#REF!,"&gt;"&amp;O26,#REF!,"&lt;"&amp;P26,#REF!,"(10.152.26.31)",#REF!,"record_type=QUR")</f>
        <v>#REF!</v>
      </c>
      <c r="D26" t="e">
        <f>COUNTIFS(#REF!,"&gt;"&amp;O26,#REF!,"&lt;"&amp;P26,#REF!,"(10.152.26.32)",#REF!,"record_type=QUR")</f>
        <v>#REF!</v>
      </c>
      <c r="E26" t="e">
        <f>COUNTIFS(#REF!,"&gt;"&amp;O26,#REF!,"&lt;"&amp;P26,#REF!,"(10.152.26.30)",#REF!,"record_type=DER")</f>
        <v>#REF!</v>
      </c>
      <c r="F26" t="e">
        <f>COUNTIFS(#REF!,"&gt;"&amp;O26,#REF!,"&lt;"&amp;P26,#REF!,"(10.152.26.31)",#REF!,"record_type=DER")</f>
        <v>#REF!</v>
      </c>
      <c r="G26" t="e">
        <f>COUNTIFS(#REF!,"&gt;"&amp;O26,#REF!,"&lt;"&amp;P26,#REF!,"(10.152.26.32)",#REF!,"record_type=DER")</f>
        <v>#REF!</v>
      </c>
      <c r="H26" t="e">
        <f>COUNTIFS(#REF!,"&gt;"&amp;O26,#REF!,"&lt;"&amp;P26,#REF!,"(10.152.26.30)",#REF!,"record_type=QUR")</f>
        <v>#REF!</v>
      </c>
      <c r="I26" t="e">
        <f>COUNTIFS(#REF!,"&gt;"&amp;O26,#REF!,"&lt;"&amp;P26,#REF!,"(10.152.26.31)",#REF!,"record_type=QUR")</f>
        <v>#REF!</v>
      </c>
      <c r="J26" t="e">
        <f>COUNTIFS(#REF!,"&gt;"&amp;O26,#REF!,"&lt;"&amp;P26,#REF!,"(10.152.26.32)",#REF!,"record_type=QUR")</f>
        <v>#REF!</v>
      </c>
      <c r="K26" t="e">
        <f>COUNTIFS(#REF!,"&gt;"&amp;O26,#REF!,"&lt;"&amp;P26,#REF!,"(10.152.26.30)",#REF!,"record_type=DER")</f>
        <v>#REF!</v>
      </c>
      <c r="L26" t="e">
        <f>COUNTIFS(#REF!,"&gt;"&amp;O26,#REF!,"&lt;"&amp;P26,#REF!,"(10.152.26.31)",#REF!,"record_type=DER")</f>
        <v>#REF!</v>
      </c>
      <c r="M26" t="e">
        <f>COUNTIFS(#REF!,"&gt;"&amp;O26,#REF!,"&lt;"&amp;P26,#REF!,"(10.152.26.32)",#REF!,"record_type=DER")</f>
        <v>#REF!</v>
      </c>
      <c r="O26" t="str">
        <f t="shared" si="0"/>
        <v>08:03:31</v>
      </c>
      <c r="P26" t="str">
        <f t="shared" si="1"/>
        <v>08:03:40</v>
      </c>
    </row>
    <row r="27" spans="1:16" x14ac:dyDescent="0.25">
      <c r="A27" s="3" t="s">
        <v>35</v>
      </c>
      <c r="B27" t="e">
        <f>COUNTIFS(#REF!,"&gt;"&amp;O27,#REF!,"&lt;"&amp;P27,#REF!,"(10.152.26.30)",#REF!,"record_type=QUR")</f>
        <v>#REF!</v>
      </c>
      <c r="C27" t="e">
        <f>COUNTIFS(#REF!,"&gt;"&amp;O27,#REF!,"&lt;"&amp;P27,#REF!,"(10.152.26.31)",#REF!,"record_type=QUR")</f>
        <v>#REF!</v>
      </c>
      <c r="D27" t="e">
        <f>COUNTIFS(#REF!,"&gt;"&amp;O27,#REF!,"&lt;"&amp;P27,#REF!,"(10.152.26.32)",#REF!,"record_type=QUR")</f>
        <v>#REF!</v>
      </c>
      <c r="E27" t="e">
        <f>COUNTIFS(#REF!,"&gt;"&amp;O27,#REF!,"&lt;"&amp;P27,#REF!,"(10.152.26.30)",#REF!,"record_type=DER")</f>
        <v>#REF!</v>
      </c>
      <c r="F27" t="e">
        <f>COUNTIFS(#REF!,"&gt;"&amp;O27,#REF!,"&lt;"&amp;P27,#REF!,"(10.152.26.31)",#REF!,"record_type=DER")</f>
        <v>#REF!</v>
      </c>
      <c r="G27" t="e">
        <f>COUNTIFS(#REF!,"&gt;"&amp;O27,#REF!,"&lt;"&amp;P27,#REF!,"(10.152.26.32)",#REF!,"record_type=DER")</f>
        <v>#REF!</v>
      </c>
      <c r="H27" t="e">
        <f>COUNTIFS(#REF!,"&gt;"&amp;O27,#REF!,"&lt;"&amp;P27,#REF!,"(10.152.26.30)",#REF!,"record_type=QUR")</f>
        <v>#REF!</v>
      </c>
      <c r="I27" t="e">
        <f>COUNTIFS(#REF!,"&gt;"&amp;O27,#REF!,"&lt;"&amp;P27,#REF!,"(10.152.26.31)",#REF!,"record_type=QUR")</f>
        <v>#REF!</v>
      </c>
      <c r="J27" t="e">
        <f>COUNTIFS(#REF!,"&gt;"&amp;O27,#REF!,"&lt;"&amp;P27,#REF!,"(10.152.26.32)",#REF!,"record_type=QUR")</f>
        <v>#REF!</v>
      </c>
      <c r="K27" t="e">
        <f>COUNTIFS(#REF!,"&gt;"&amp;O27,#REF!,"&lt;"&amp;P27,#REF!,"(10.152.26.30)",#REF!,"record_type=DER")</f>
        <v>#REF!</v>
      </c>
      <c r="L27" t="e">
        <f>COUNTIFS(#REF!,"&gt;"&amp;O27,#REF!,"&lt;"&amp;P27,#REF!,"(10.152.26.31)",#REF!,"record_type=DER")</f>
        <v>#REF!</v>
      </c>
      <c r="M27" t="e">
        <f>COUNTIFS(#REF!,"&gt;"&amp;O27,#REF!,"&lt;"&amp;P27,#REF!,"(10.152.26.32)",#REF!,"record_type=DER")</f>
        <v>#REF!</v>
      </c>
      <c r="O27" t="str">
        <f t="shared" si="0"/>
        <v>08:03:41</v>
      </c>
      <c r="P27" t="str">
        <f t="shared" si="1"/>
        <v>08:03:50</v>
      </c>
    </row>
    <row r="28" spans="1:16" x14ac:dyDescent="0.25">
      <c r="A28" s="3" t="s">
        <v>36</v>
      </c>
      <c r="B28" t="e">
        <f>COUNTIFS(#REF!,"&gt;"&amp;O28,#REF!,"&lt;"&amp;P28,#REF!,"(10.152.26.30)",#REF!,"record_type=QUR")</f>
        <v>#REF!</v>
      </c>
      <c r="C28" t="e">
        <f>COUNTIFS(#REF!,"&gt;"&amp;O28,#REF!,"&lt;"&amp;P28,#REF!,"(10.152.26.31)",#REF!,"record_type=QUR")</f>
        <v>#REF!</v>
      </c>
      <c r="D28" t="e">
        <f>COUNTIFS(#REF!,"&gt;"&amp;O28,#REF!,"&lt;"&amp;P28,#REF!,"(10.152.26.32)",#REF!,"record_type=QUR")</f>
        <v>#REF!</v>
      </c>
      <c r="E28" t="e">
        <f>COUNTIFS(#REF!,"&gt;"&amp;O28,#REF!,"&lt;"&amp;P28,#REF!,"(10.152.26.30)",#REF!,"record_type=DER")</f>
        <v>#REF!</v>
      </c>
      <c r="F28" t="e">
        <f>COUNTIFS(#REF!,"&gt;"&amp;O28,#REF!,"&lt;"&amp;P28,#REF!,"(10.152.26.31)",#REF!,"record_type=DER")</f>
        <v>#REF!</v>
      </c>
      <c r="G28" t="e">
        <f>COUNTIFS(#REF!,"&gt;"&amp;O28,#REF!,"&lt;"&amp;P28,#REF!,"(10.152.26.32)",#REF!,"record_type=DER")</f>
        <v>#REF!</v>
      </c>
      <c r="H28" t="e">
        <f>COUNTIFS(#REF!,"&gt;"&amp;O28,#REF!,"&lt;"&amp;P28,#REF!,"(10.152.26.30)",#REF!,"record_type=QUR")</f>
        <v>#REF!</v>
      </c>
      <c r="I28" t="e">
        <f>COUNTIFS(#REF!,"&gt;"&amp;O28,#REF!,"&lt;"&amp;P28,#REF!,"(10.152.26.31)",#REF!,"record_type=QUR")</f>
        <v>#REF!</v>
      </c>
      <c r="J28" t="e">
        <f>COUNTIFS(#REF!,"&gt;"&amp;O28,#REF!,"&lt;"&amp;P28,#REF!,"(10.152.26.32)",#REF!,"record_type=QUR")</f>
        <v>#REF!</v>
      </c>
      <c r="K28" t="e">
        <f>COUNTIFS(#REF!,"&gt;"&amp;O28,#REF!,"&lt;"&amp;P28,#REF!,"(10.152.26.30)",#REF!,"record_type=DER")</f>
        <v>#REF!</v>
      </c>
      <c r="L28" t="e">
        <f>COUNTIFS(#REF!,"&gt;"&amp;O28,#REF!,"&lt;"&amp;P28,#REF!,"(10.152.26.31)",#REF!,"record_type=DER")</f>
        <v>#REF!</v>
      </c>
      <c r="M28" t="e">
        <f>COUNTIFS(#REF!,"&gt;"&amp;O28,#REF!,"&lt;"&amp;P28,#REF!,"(10.152.26.32)",#REF!,"record_type=DER")</f>
        <v>#REF!</v>
      </c>
      <c r="O28" t="str">
        <f t="shared" si="0"/>
        <v>08:03:51</v>
      </c>
      <c r="P28" t="str">
        <f t="shared" si="1"/>
        <v>08:04:00</v>
      </c>
    </row>
    <row r="29" spans="1:16" x14ac:dyDescent="0.25">
      <c r="A29" s="3" t="s">
        <v>32</v>
      </c>
      <c r="B29" t="e">
        <f>COUNTIFS(#REF!,"&gt;"&amp;O29,#REF!,"&lt;"&amp;P29,#REF!,"(10.152.26.30)",#REF!,"record_type=QUR")</f>
        <v>#REF!</v>
      </c>
      <c r="C29" t="e">
        <f>COUNTIFS(#REF!,"&gt;"&amp;O29,#REF!,"&lt;"&amp;P29,#REF!,"(10.152.26.31)",#REF!,"record_type=QUR")</f>
        <v>#REF!</v>
      </c>
      <c r="D29" t="e">
        <f>COUNTIFS(#REF!,"&gt;"&amp;O29,#REF!,"&lt;"&amp;P29,#REF!,"(10.152.26.32)",#REF!,"record_type=QUR")</f>
        <v>#REF!</v>
      </c>
      <c r="E29" t="e">
        <f>COUNTIFS(#REF!,"&gt;"&amp;O29,#REF!,"&lt;"&amp;P29,#REF!,"(10.152.26.30)",#REF!,"record_type=DER")</f>
        <v>#REF!</v>
      </c>
      <c r="F29" t="e">
        <f>COUNTIFS(#REF!,"&gt;"&amp;O29,#REF!,"&lt;"&amp;P29,#REF!,"(10.152.26.31)",#REF!,"record_type=DER")</f>
        <v>#REF!</v>
      </c>
      <c r="G29" t="e">
        <f>COUNTIFS(#REF!,"&gt;"&amp;O29,#REF!,"&lt;"&amp;P29,#REF!,"(10.152.26.32)",#REF!,"record_type=DER")</f>
        <v>#REF!</v>
      </c>
      <c r="H29" t="e">
        <f>COUNTIFS(#REF!,"&gt;"&amp;O29,#REF!,"&lt;"&amp;P29,#REF!,"(10.152.26.30)",#REF!,"record_type=QUR")</f>
        <v>#REF!</v>
      </c>
      <c r="I29" t="e">
        <f>COUNTIFS(#REF!,"&gt;"&amp;O29,#REF!,"&lt;"&amp;P29,#REF!,"(10.152.26.31)",#REF!,"record_type=QUR")</f>
        <v>#REF!</v>
      </c>
      <c r="J29" t="e">
        <f>COUNTIFS(#REF!,"&gt;"&amp;O29,#REF!,"&lt;"&amp;P29,#REF!,"(10.152.26.32)",#REF!,"record_type=QUR")</f>
        <v>#REF!</v>
      </c>
      <c r="K29" t="e">
        <f>COUNTIFS(#REF!,"&gt;"&amp;O29,#REF!,"&lt;"&amp;P29,#REF!,"(10.152.26.30)",#REF!,"record_type=DER")</f>
        <v>#REF!</v>
      </c>
      <c r="L29" t="e">
        <f>COUNTIFS(#REF!,"&gt;"&amp;O29,#REF!,"&lt;"&amp;P29,#REF!,"(10.152.26.31)",#REF!,"record_type=DER")</f>
        <v>#REF!</v>
      </c>
      <c r="M29" t="e">
        <f>COUNTIFS(#REF!,"&gt;"&amp;O29,#REF!,"&lt;"&amp;P29,#REF!,"(10.152.26.32)",#REF!,"record_type=DER")</f>
        <v>#REF!</v>
      </c>
      <c r="O29" t="str">
        <f t="shared" si="0"/>
        <v>08:03:11</v>
      </c>
      <c r="P29" t="str">
        <f t="shared" si="1"/>
        <v>08:03:20</v>
      </c>
    </row>
    <row r="30" spans="1:16" x14ac:dyDescent="0.25">
      <c r="A30" s="3" t="s">
        <v>33</v>
      </c>
      <c r="B30" t="e">
        <f>COUNTIFS(#REF!,"&gt;"&amp;O30,#REF!,"&lt;"&amp;P30,#REF!,"(10.152.26.30)",#REF!,"record_type=QUR")</f>
        <v>#REF!</v>
      </c>
      <c r="C30" t="e">
        <f>COUNTIFS(#REF!,"&gt;"&amp;O30,#REF!,"&lt;"&amp;P30,#REF!,"(10.152.26.31)",#REF!,"record_type=QUR")</f>
        <v>#REF!</v>
      </c>
      <c r="D30" t="e">
        <f>COUNTIFS(#REF!,"&gt;"&amp;O30,#REF!,"&lt;"&amp;P30,#REF!,"(10.152.26.32)",#REF!,"record_type=QUR")</f>
        <v>#REF!</v>
      </c>
      <c r="E30" t="e">
        <f>COUNTIFS(#REF!,"&gt;"&amp;O30,#REF!,"&lt;"&amp;P30,#REF!,"(10.152.26.30)",#REF!,"record_type=DER")</f>
        <v>#REF!</v>
      </c>
      <c r="F30" t="e">
        <f>COUNTIFS(#REF!,"&gt;"&amp;O30,#REF!,"&lt;"&amp;P30,#REF!,"(10.152.26.31)",#REF!,"record_type=DER")</f>
        <v>#REF!</v>
      </c>
      <c r="G30" t="e">
        <f>COUNTIFS(#REF!,"&gt;"&amp;O30,#REF!,"&lt;"&amp;P30,#REF!,"(10.152.26.32)",#REF!,"record_type=DER")</f>
        <v>#REF!</v>
      </c>
      <c r="H30" t="e">
        <f>COUNTIFS(#REF!,"&gt;"&amp;O30,#REF!,"&lt;"&amp;P30,#REF!,"(10.152.26.30)",#REF!,"record_type=QUR")</f>
        <v>#REF!</v>
      </c>
      <c r="I30" t="e">
        <f>COUNTIFS(#REF!,"&gt;"&amp;O30,#REF!,"&lt;"&amp;P30,#REF!,"(10.152.26.31)",#REF!,"record_type=QUR")</f>
        <v>#REF!</v>
      </c>
      <c r="J30" t="e">
        <f>COUNTIFS(#REF!,"&gt;"&amp;O30,#REF!,"&lt;"&amp;P30,#REF!,"(10.152.26.32)",#REF!,"record_type=QUR")</f>
        <v>#REF!</v>
      </c>
      <c r="K30" t="e">
        <f>COUNTIFS(#REF!,"&gt;"&amp;O30,#REF!,"&lt;"&amp;P30,#REF!,"(10.152.26.30)",#REF!,"record_type=DER")</f>
        <v>#REF!</v>
      </c>
      <c r="L30" t="e">
        <f>COUNTIFS(#REF!,"&gt;"&amp;O30,#REF!,"&lt;"&amp;P30,#REF!,"(10.152.26.31)",#REF!,"record_type=DER")</f>
        <v>#REF!</v>
      </c>
      <c r="M30" t="e">
        <f>COUNTIFS(#REF!,"&gt;"&amp;O30,#REF!,"&lt;"&amp;P30,#REF!,"(10.152.26.32)",#REF!,"record_type=DER")</f>
        <v>#REF!</v>
      </c>
      <c r="O30" t="str">
        <f t="shared" si="0"/>
        <v>08:03:21</v>
      </c>
      <c r="P30" t="str">
        <f t="shared" si="1"/>
        <v>08:03:30</v>
      </c>
    </row>
    <row r="31" spans="1:16" x14ac:dyDescent="0.25">
      <c r="A31" s="3" t="s">
        <v>34</v>
      </c>
      <c r="B31" t="e">
        <f>COUNTIFS(#REF!,"&gt;"&amp;O31,#REF!,"&lt;"&amp;P31,#REF!,"(10.152.26.30)",#REF!,"record_type=QUR")</f>
        <v>#REF!</v>
      </c>
      <c r="C31" t="e">
        <f>COUNTIFS(#REF!,"&gt;"&amp;O31,#REF!,"&lt;"&amp;P31,#REF!,"(10.152.26.31)",#REF!,"record_type=QUR")</f>
        <v>#REF!</v>
      </c>
      <c r="D31" t="e">
        <f>COUNTIFS(#REF!,"&gt;"&amp;O31,#REF!,"&lt;"&amp;P31,#REF!,"(10.152.26.32)",#REF!,"record_type=QUR")</f>
        <v>#REF!</v>
      </c>
      <c r="E31" t="e">
        <f>COUNTIFS(#REF!,"&gt;"&amp;O31,#REF!,"&lt;"&amp;P31,#REF!,"(10.152.26.30)",#REF!,"record_type=DER")</f>
        <v>#REF!</v>
      </c>
      <c r="F31" t="e">
        <f>COUNTIFS(#REF!,"&gt;"&amp;O31,#REF!,"&lt;"&amp;P31,#REF!,"(10.152.26.31)",#REF!,"record_type=DER")</f>
        <v>#REF!</v>
      </c>
      <c r="G31" t="e">
        <f>COUNTIFS(#REF!,"&gt;"&amp;O31,#REF!,"&lt;"&amp;P31,#REF!,"(10.152.26.32)",#REF!,"record_type=DER")</f>
        <v>#REF!</v>
      </c>
      <c r="H31" t="e">
        <f>COUNTIFS(#REF!,"&gt;"&amp;O31,#REF!,"&lt;"&amp;P31,#REF!,"(10.152.26.30)",#REF!,"record_type=QUR")</f>
        <v>#REF!</v>
      </c>
      <c r="I31" t="e">
        <f>COUNTIFS(#REF!,"&gt;"&amp;O31,#REF!,"&lt;"&amp;P31,#REF!,"(10.152.26.31)",#REF!,"record_type=QUR")</f>
        <v>#REF!</v>
      </c>
      <c r="J31" t="e">
        <f>COUNTIFS(#REF!,"&gt;"&amp;O31,#REF!,"&lt;"&amp;P31,#REF!,"(10.152.26.32)",#REF!,"record_type=QUR")</f>
        <v>#REF!</v>
      </c>
      <c r="K31" t="e">
        <f>COUNTIFS(#REF!,"&gt;"&amp;O31,#REF!,"&lt;"&amp;P31,#REF!,"(10.152.26.30)",#REF!,"record_type=DER")</f>
        <v>#REF!</v>
      </c>
      <c r="L31" t="e">
        <f>COUNTIFS(#REF!,"&gt;"&amp;O31,#REF!,"&lt;"&amp;P31,#REF!,"(10.152.26.31)",#REF!,"record_type=DER")</f>
        <v>#REF!</v>
      </c>
      <c r="M31" t="e">
        <f>COUNTIFS(#REF!,"&gt;"&amp;O31,#REF!,"&lt;"&amp;P31,#REF!,"(10.152.26.32)",#REF!,"record_type=DER")</f>
        <v>#REF!</v>
      </c>
      <c r="O31" t="str">
        <f t="shared" si="0"/>
        <v>08:03:31</v>
      </c>
      <c r="P31" t="str">
        <f t="shared" si="1"/>
        <v>08:03:40</v>
      </c>
    </row>
    <row r="32" spans="1:16" x14ac:dyDescent="0.25">
      <c r="A32" s="3" t="s">
        <v>35</v>
      </c>
      <c r="B32" t="e">
        <f>COUNTIFS(#REF!,"&gt;"&amp;O32,#REF!,"&lt;"&amp;P32,#REF!,"(10.152.26.30)",#REF!,"record_type=QUR")</f>
        <v>#REF!</v>
      </c>
      <c r="C32" t="e">
        <f>COUNTIFS(#REF!,"&gt;"&amp;O32,#REF!,"&lt;"&amp;P32,#REF!,"(10.152.26.31)",#REF!,"record_type=QUR")</f>
        <v>#REF!</v>
      </c>
      <c r="D32" t="e">
        <f>COUNTIFS(#REF!,"&gt;"&amp;O32,#REF!,"&lt;"&amp;P32,#REF!,"(10.152.26.32)",#REF!,"record_type=QUR")</f>
        <v>#REF!</v>
      </c>
      <c r="E32" t="e">
        <f>COUNTIFS(#REF!,"&gt;"&amp;O32,#REF!,"&lt;"&amp;P32,#REF!,"(10.152.26.30)",#REF!,"record_type=DER")</f>
        <v>#REF!</v>
      </c>
      <c r="F32" t="e">
        <f>COUNTIFS(#REF!,"&gt;"&amp;O32,#REF!,"&lt;"&amp;P32,#REF!,"(10.152.26.31)",#REF!,"record_type=DER")</f>
        <v>#REF!</v>
      </c>
      <c r="G32" t="e">
        <f>COUNTIFS(#REF!,"&gt;"&amp;O32,#REF!,"&lt;"&amp;P32,#REF!,"(10.152.26.32)",#REF!,"record_type=DER")</f>
        <v>#REF!</v>
      </c>
      <c r="H32" t="e">
        <f>COUNTIFS(#REF!,"&gt;"&amp;O32,#REF!,"&lt;"&amp;P32,#REF!,"(10.152.26.30)",#REF!,"record_type=QUR")</f>
        <v>#REF!</v>
      </c>
      <c r="I32" t="e">
        <f>COUNTIFS(#REF!,"&gt;"&amp;O32,#REF!,"&lt;"&amp;P32,#REF!,"(10.152.26.31)",#REF!,"record_type=QUR")</f>
        <v>#REF!</v>
      </c>
      <c r="J32" t="e">
        <f>COUNTIFS(#REF!,"&gt;"&amp;O32,#REF!,"&lt;"&amp;P32,#REF!,"(10.152.26.32)",#REF!,"record_type=QUR")</f>
        <v>#REF!</v>
      </c>
      <c r="K32" t="e">
        <f>COUNTIFS(#REF!,"&gt;"&amp;O32,#REF!,"&lt;"&amp;P32,#REF!,"(10.152.26.30)",#REF!,"record_type=DER")</f>
        <v>#REF!</v>
      </c>
      <c r="L32" t="e">
        <f>COUNTIFS(#REF!,"&gt;"&amp;O32,#REF!,"&lt;"&amp;P32,#REF!,"(10.152.26.31)",#REF!,"record_type=DER")</f>
        <v>#REF!</v>
      </c>
      <c r="M32" t="e">
        <f>COUNTIFS(#REF!,"&gt;"&amp;O32,#REF!,"&lt;"&amp;P32,#REF!,"(10.152.26.32)",#REF!,"record_type=DER")</f>
        <v>#REF!</v>
      </c>
      <c r="O32" t="str">
        <f t="shared" si="0"/>
        <v>08:03:41</v>
      </c>
      <c r="P32" t="str">
        <f t="shared" si="1"/>
        <v>08:03:50</v>
      </c>
    </row>
    <row r="33" spans="1:16" x14ac:dyDescent="0.25">
      <c r="A33" s="3" t="s">
        <v>36</v>
      </c>
      <c r="B33" t="e">
        <f>COUNTIFS(#REF!,"&gt;"&amp;O33,#REF!,"&lt;"&amp;P33,#REF!,"(10.152.26.30)",#REF!,"record_type=QUR")</f>
        <v>#REF!</v>
      </c>
      <c r="C33" t="e">
        <f>COUNTIFS(#REF!,"&gt;"&amp;O33,#REF!,"&lt;"&amp;P33,#REF!,"(10.152.26.31)",#REF!,"record_type=QUR")</f>
        <v>#REF!</v>
      </c>
      <c r="D33" t="e">
        <f>COUNTIFS(#REF!,"&gt;"&amp;O33,#REF!,"&lt;"&amp;P33,#REF!,"(10.152.26.32)",#REF!,"record_type=QUR")</f>
        <v>#REF!</v>
      </c>
      <c r="E33" t="e">
        <f>COUNTIFS(#REF!,"&gt;"&amp;O33,#REF!,"&lt;"&amp;P33,#REF!,"(10.152.26.30)",#REF!,"record_type=DER")</f>
        <v>#REF!</v>
      </c>
      <c r="F33" t="e">
        <f>COUNTIFS(#REF!,"&gt;"&amp;O33,#REF!,"&lt;"&amp;P33,#REF!,"(10.152.26.31)",#REF!,"record_type=DER")</f>
        <v>#REF!</v>
      </c>
      <c r="G33" t="e">
        <f>COUNTIFS(#REF!,"&gt;"&amp;O33,#REF!,"&lt;"&amp;P33,#REF!,"(10.152.26.32)",#REF!,"record_type=DER")</f>
        <v>#REF!</v>
      </c>
      <c r="H33" t="e">
        <f>COUNTIFS(#REF!,"&gt;"&amp;O33,#REF!,"&lt;"&amp;P33,#REF!,"(10.152.26.30)",#REF!,"record_type=QUR")</f>
        <v>#REF!</v>
      </c>
      <c r="I33" t="e">
        <f>COUNTIFS(#REF!,"&gt;"&amp;O33,#REF!,"&lt;"&amp;P33,#REF!,"(10.152.26.31)",#REF!,"record_type=QUR")</f>
        <v>#REF!</v>
      </c>
      <c r="J33" t="e">
        <f>COUNTIFS(#REF!,"&gt;"&amp;O33,#REF!,"&lt;"&amp;P33,#REF!,"(10.152.26.32)",#REF!,"record_type=QUR")</f>
        <v>#REF!</v>
      </c>
      <c r="K33" t="e">
        <f>COUNTIFS(#REF!,"&gt;"&amp;O33,#REF!,"&lt;"&amp;P33,#REF!,"(10.152.26.30)",#REF!,"record_type=DER")</f>
        <v>#REF!</v>
      </c>
      <c r="L33" t="e">
        <f>COUNTIFS(#REF!,"&gt;"&amp;O33,#REF!,"&lt;"&amp;P33,#REF!,"(10.152.26.31)",#REF!,"record_type=DER")</f>
        <v>#REF!</v>
      </c>
      <c r="M33" t="e">
        <f>COUNTIFS(#REF!,"&gt;"&amp;O33,#REF!,"&lt;"&amp;P33,#REF!,"(10.152.26.32)",#REF!,"record_type=DER")</f>
        <v>#REF!</v>
      </c>
      <c r="O33" t="str">
        <f t="shared" si="0"/>
        <v>08:03:51</v>
      </c>
      <c r="P33" t="str">
        <f t="shared" si="1"/>
        <v>08:04:00</v>
      </c>
    </row>
    <row r="34" spans="1:16" x14ac:dyDescent="0.25">
      <c r="A34" s="3" t="s">
        <v>37</v>
      </c>
      <c r="B34" t="e">
        <f>COUNTIFS(#REF!,"&gt;"&amp;O34,#REF!,"&lt;"&amp;P34,#REF!,"(10.152.26.30)",#REF!,"record_type=QUR")</f>
        <v>#REF!</v>
      </c>
      <c r="C34" t="e">
        <f>COUNTIFS(#REF!,"&gt;"&amp;O34,#REF!,"&lt;"&amp;P34,#REF!,"(10.152.26.31)",#REF!,"record_type=QUR")</f>
        <v>#REF!</v>
      </c>
      <c r="D34" t="e">
        <f>COUNTIFS(#REF!,"&gt;"&amp;O34,#REF!,"&lt;"&amp;P34,#REF!,"(10.152.26.32)",#REF!,"record_type=QUR")</f>
        <v>#REF!</v>
      </c>
      <c r="E34" t="e">
        <f>COUNTIFS(#REF!,"&gt;"&amp;O34,#REF!,"&lt;"&amp;P34,#REF!,"(10.152.26.30)",#REF!,"record_type=DER")</f>
        <v>#REF!</v>
      </c>
      <c r="F34" t="e">
        <f>COUNTIFS(#REF!,"&gt;"&amp;O34,#REF!,"&lt;"&amp;P34,#REF!,"(10.152.26.31)",#REF!,"record_type=DER")</f>
        <v>#REF!</v>
      </c>
      <c r="G34" t="e">
        <f>COUNTIFS(#REF!,"&gt;"&amp;O34,#REF!,"&lt;"&amp;P34,#REF!,"(10.152.26.32)",#REF!,"record_type=DER")</f>
        <v>#REF!</v>
      </c>
      <c r="H34" t="e">
        <f>COUNTIFS(#REF!,"&gt;"&amp;O34,#REF!,"&lt;"&amp;P34,#REF!,"(10.152.26.30)",#REF!,"record_type=QUR")</f>
        <v>#REF!</v>
      </c>
      <c r="I34" t="e">
        <f>COUNTIFS(#REF!,"&gt;"&amp;O34,#REF!,"&lt;"&amp;P34,#REF!,"(10.152.26.31)",#REF!,"record_type=QUR")</f>
        <v>#REF!</v>
      </c>
      <c r="J34" t="e">
        <f>COUNTIFS(#REF!,"&gt;"&amp;O34,#REF!,"&lt;"&amp;P34,#REF!,"(10.152.26.32)",#REF!,"record_type=QUR")</f>
        <v>#REF!</v>
      </c>
      <c r="K34" t="e">
        <f>COUNTIFS(#REF!,"&gt;"&amp;O34,#REF!,"&lt;"&amp;P34,#REF!,"(10.152.26.30)",#REF!,"record_type=DER")</f>
        <v>#REF!</v>
      </c>
      <c r="L34" t="e">
        <f>COUNTIFS(#REF!,"&gt;"&amp;O34,#REF!,"&lt;"&amp;P34,#REF!,"(10.152.26.31)",#REF!,"record_type=DER")</f>
        <v>#REF!</v>
      </c>
      <c r="M34" t="e">
        <f>COUNTIFS(#REF!,"&gt;"&amp;O34,#REF!,"&lt;"&amp;P34,#REF!,"(10.152.26.32)",#REF!,"record_type=DER")</f>
        <v>#REF!</v>
      </c>
      <c r="O34" t="str">
        <f t="shared" si="0"/>
        <v>08:04:00</v>
      </c>
      <c r="P34" t="str">
        <f t="shared" si="1"/>
        <v>08:04:10</v>
      </c>
    </row>
    <row r="35" spans="1:16" x14ac:dyDescent="0.25">
      <c r="A35" s="3" t="s">
        <v>38</v>
      </c>
      <c r="B35" t="e">
        <f>COUNTIFS(#REF!,"&gt;"&amp;O35,#REF!,"&lt;"&amp;P35,#REF!,"(10.152.26.30)",#REF!,"record_type=QUR")</f>
        <v>#REF!</v>
      </c>
      <c r="C35" t="e">
        <f>COUNTIFS(#REF!,"&gt;"&amp;O35,#REF!,"&lt;"&amp;P35,#REF!,"(10.152.26.31)",#REF!,"record_type=QUR")</f>
        <v>#REF!</v>
      </c>
      <c r="D35" t="e">
        <f>COUNTIFS(#REF!,"&gt;"&amp;O35,#REF!,"&lt;"&amp;P35,#REF!,"(10.152.26.32)",#REF!,"record_type=QUR")</f>
        <v>#REF!</v>
      </c>
      <c r="E35" t="e">
        <f>COUNTIFS(#REF!,"&gt;"&amp;O35,#REF!,"&lt;"&amp;P35,#REF!,"(10.152.26.30)",#REF!,"record_type=DER")</f>
        <v>#REF!</v>
      </c>
      <c r="F35" t="e">
        <f>COUNTIFS(#REF!,"&gt;"&amp;O35,#REF!,"&lt;"&amp;P35,#REF!,"(10.152.26.31)",#REF!,"record_type=DER")</f>
        <v>#REF!</v>
      </c>
      <c r="G35" t="e">
        <f>COUNTIFS(#REF!,"&gt;"&amp;O35,#REF!,"&lt;"&amp;P35,#REF!,"(10.152.26.32)",#REF!,"record_type=DER")</f>
        <v>#REF!</v>
      </c>
      <c r="H35" t="e">
        <f>COUNTIFS(#REF!,"&gt;"&amp;O35,#REF!,"&lt;"&amp;P35,#REF!,"(10.152.26.30)",#REF!,"record_type=QUR")</f>
        <v>#REF!</v>
      </c>
      <c r="I35" t="e">
        <f>COUNTIFS(#REF!,"&gt;"&amp;O35,#REF!,"&lt;"&amp;P35,#REF!,"(10.152.26.31)",#REF!,"record_type=QUR")</f>
        <v>#REF!</v>
      </c>
      <c r="J35" t="e">
        <f>COUNTIFS(#REF!,"&gt;"&amp;O35,#REF!,"&lt;"&amp;P35,#REF!,"(10.152.26.32)",#REF!,"record_type=QUR")</f>
        <v>#REF!</v>
      </c>
      <c r="K35" t="e">
        <f>COUNTIFS(#REF!,"&gt;"&amp;O35,#REF!,"&lt;"&amp;P35,#REF!,"(10.152.26.30)",#REF!,"record_type=DER")</f>
        <v>#REF!</v>
      </c>
      <c r="L35" t="e">
        <f>COUNTIFS(#REF!,"&gt;"&amp;O35,#REF!,"&lt;"&amp;P35,#REF!,"(10.152.26.31)",#REF!,"record_type=DER")</f>
        <v>#REF!</v>
      </c>
      <c r="M35" t="e">
        <f>COUNTIFS(#REF!,"&gt;"&amp;O35,#REF!,"&lt;"&amp;P35,#REF!,"(10.152.26.32)",#REF!,"record_type=DER")</f>
        <v>#REF!</v>
      </c>
      <c r="O35" t="str">
        <f t="shared" si="0"/>
        <v>08:04:11</v>
      </c>
      <c r="P35" t="str">
        <f t="shared" si="1"/>
        <v>08:04:20</v>
      </c>
    </row>
    <row r="36" spans="1:16" x14ac:dyDescent="0.25">
      <c r="A36" s="3" t="s">
        <v>39</v>
      </c>
      <c r="B36" t="e">
        <f>COUNTIFS(#REF!,"&gt;"&amp;O36,#REF!,"&lt;"&amp;P36,#REF!,"(10.152.26.30)",#REF!,"record_type=QUR")</f>
        <v>#REF!</v>
      </c>
      <c r="C36" t="e">
        <f>COUNTIFS(#REF!,"&gt;"&amp;O36,#REF!,"&lt;"&amp;P36,#REF!,"(10.152.26.31)",#REF!,"record_type=QUR")</f>
        <v>#REF!</v>
      </c>
      <c r="D36" t="e">
        <f>COUNTIFS(#REF!,"&gt;"&amp;O36,#REF!,"&lt;"&amp;P36,#REF!,"(10.152.26.32)",#REF!,"record_type=QUR")</f>
        <v>#REF!</v>
      </c>
      <c r="E36" t="e">
        <f>COUNTIFS(#REF!,"&gt;"&amp;O36,#REF!,"&lt;"&amp;P36,#REF!,"(10.152.26.30)",#REF!,"record_type=DER")</f>
        <v>#REF!</v>
      </c>
      <c r="F36" t="e">
        <f>COUNTIFS(#REF!,"&gt;"&amp;O36,#REF!,"&lt;"&amp;P36,#REF!,"(10.152.26.31)",#REF!,"record_type=DER")</f>
        <v>#REF!</v>
      </c>
      <c r="G36" t="e">
        <f>COUNTIFS(#REF!,"&gt;"&amp;O36,#REF!,"&lt;"&amp;P36,#REF!,"(10.152.26.32)",#REF!,"record_type=DER")</f>
        <v>#REF!</v>
      </c>
      <c r="H36" t="e">
        <f>COUNTIFS(#REF!,"&gt;"&amp;O36,#REF!,"&lt;"&amp;P36,#REF!,"(10.152.26.30)",#REF!,"record_type=QUR")</f>
        <v>#REF!</v>
      </c>
      <c r="I36" t="e">
        <f>COUNTIFS(#REF!,"&gt;"&amp;O36,#REF!,"&lt;"&amp;P36,#REF!,"(10.152.26.31)",#REF!,"record_type=QUR")</f>
        <v>#REF!</v>
      </c>
      <c r="J36" t="e">
        <f>COUNTIFS(#REF!,"&gt;"&amp;O36,#REF!,"&lt;"&amp;P36,#REF!,"(10.152.26.32)",#REF!,"record_type=QUR")</f>
        <v>#REF!</v>
      </c>
      <c r="K36" t="e">
        <f>COUNTIFS(#REF!,"&gt;"&amp;O36,#REF!,"&lt;"&amp;P36,#REF!,"(10.152.26.30)",#REF!,"record_type=DER")</f>
        <v>#REF!</v>
      </c>
      <c r="L36" t="e">
        <f>COUNTIFS(#REF!,"&gt;"&amp;O36,#REF!,"&lt;"&amp;P36,#REF!,"(10.152.26.31)",#REF!,"record_type=DER")</f>
        <v>#REF!</v>
      </c>
      <c r="M36" t="e">
        <f>COUNTIFS(#REF!,"&gt;"&amp;O36,#REF!,"&lt;"&amp;P36,#REF!,"(10.152.26.32)",#REF!,"record_type=DER")</f>
        <v>#REF!</v>
      </c>
      <c r="O36" t="str">
        <f t="shared" si="0"/>
        <v>08:04:21</v>
      </c>
      <c r="P36" t="str">
        <f t="shared" si="1"/>
        <v>08:04:30</v>
      </c>
    </row>
    <row r="37" spans="1:16" x14ac:dyDescent="0.25">
      <c r="A37" s="3" t="s">
        <v>40</v>
      </c>
      <c r="B37" t="e">
        <f>COUNTIFS(#REF!,"&gt;"&amp;O37,#REF!,"&lt;"&amp;P37,#REF!,"(10.152.26.30)",#REF!,"record_type=QUR")</f>
        <v>#REF!</v>
      </c>
      <c r="C37" t="e">
        <f>COUNTIFS(#REF!,"&gt;"&amp;O37,#REF!,"&lt;"&amp;P37,#REF!,"(10.152.26.31)",#REF!,"record_type=QUR")</f>
        <v>#REF!</v>
      </c>
      <c r="D37" t="e">
        <f>COUNTIFS(#REF!,"&gt;"&amp;O37,#REF!,"&lt;"&amp;P37,#REF!,"(10.152.26.32)",#REF!,"record_type=QUR")</f>
        <v>#REF!</v>
      </c>
      <c r="E37" t="e">
        <f>COUNTIFS(#REF!,"&gt;"&amp;O37,#REF!,"&lt;"&amp;P37,#REF!,"(10.152.26.30)",#REF!,"record_type=DER")</f>
        <v>#REF!</v>
      </c>
      <c r="F37" t="e">
        <f>COUNTIFS(#REF!,"&gt;"&amp;O37,#REF!,"&lt;"&amp;P37,#REF!,"(10.152.26.31)",#REF!,"record_type=DER")</f>
        <v>#REF!</v>
      </c>
      <c r="G37" t="e">
        <f>COUNTIFS(#REF!,"&gt;"&amp;O37,#REF!,"&lt;"&amp;P37,#REF!,"(10.152.26.32)",#REF!,"record_type=DER")</f>
        <v>#REF!</v>
      </c>
      <c r="H37" t="e">
        <f>COUNTIFS(#REF!,"&gt;"&amp;O37,#REF!,"&lt;"&amp;P37,#REF!,"(10.152.26.30)",#REF!,"record_type=QUR")</f>
        <v>#REF!</v>
      </c>
      <c r="I37" t="e">
        <f>COUNTIFS(#REF!,"&gt;"&amp;O37,#REF!,"&lt;"&amp;P37,#REF!,"(10.152.26.31)",#REF!,"record_type=QUR")</f>
        <v>#REF!</v>
      </c>
      <c r="J37" t="e">
        <f>COUNTIFS(#REF!,"&gt;"&amp;O37,#REF!,"&lt;"&amp;P37,#REF!,"(10.152.26.32)",#REF!,"record_type=QUR")</f>
        <v>#REF!</v>
      </c>
      <c r="K37" t="e">
        <f>COUNTIFS(#REF!,"&gt;"&amp;O37,#REF!,"&lt;"&amp;P37,#REF!,"(10.152.26.30)",#REF!,"record_type=DER")</f>
        <v>#REF!</v>
      </c>
      <c r="L37" t="e">
        <f>COUNTIFS(#REF!,"&gt;"&amp;O37,#REF!,"&lt;"&amp;P37,#REF!,"(10.152.26.31)",#REF!,"record_type=DER")</f>
        <v>#REF!</v>
      </c>
      <c r="M37" t="e">
        <f>COUNTIFS(#REF!,"&gt;"&amp;O37,#REF!,"&lt;"&amp;P37,#REF!,"(10.152.26.32)",#REF!,"record_type=DER")</f>
        <v>#REF!</v>
      </c>
      <c r="O37" t="str">
        <f t="shared" si="0"/>
        <v>08:04:31</v>
      </c>
      <c r="P37" t="str">
        <f t="shared" si="1"/>
        <v>08:04:40</v>
      </c>
    </row>
    <row r="38" spans="1:16" x14ac:dyDescent="0.25">
      <c r="A38" s="3" t="s">
        <v>41</v>
      </c>
      <c r="B38" t="e">
        <f>COUNTIFS(#REF!,"&gt;"&amp;O38,#REF!,"&lt;"&amp;P38,#REF!,"(10.152.26.30)",#REF!,"record_type=QUR")</f>
        <v>#REF!</v>
      </c>
      <c r="C38" t="e">
        <f>COUNTIFS(#REF!,"&gt;"&amp;O38,#REF!,"&lt;"&amp;P38,#REF!,"(10.152.26.31)",#REF!,"record_type=QUR")</f>
        <v>#REF!</v>
      </c>
      <c r="D38" t="e">
        <f>COUNTIFS(#REF!,"&gt;"&amp;O38,#REF!,"&lt;"&amp;P38,#REF!,"(10.152.26.32)",#REF!,"record_type=QUR")</f>
        <v>#REF!</v>
      </c>
      <c r="E38" t="e">
        <f>COUNTIFS(#REF!,"&gt;"&amp;O38,#REF!,"&lt;"&amp;P38,#REF!,"(10.152.26.30)",#REF!,"record_type=DER")</f>
        <v>#REF!</v>
      </c>
      <c r="F38" t="e">
        <f>COUNTIFS(#REF!,"&gt;"&amp;O38,#REF!,"&lt;"&amp;P38,#REF!,"(10.152.26.31)",#REF!,"record_type=DER")</f>
        <v>#REF!</v>
      </c>
      <c r="G38" t="e">
        <f>COUNTIFS(#REF!,"&gt;"&amp;O38,#REF!,"&lt;"&amp;P38,#REF!,"(10.152.26.32)",#REF!,"record_type=DER")</f>
        <v>#REF!</v>
      </c>
      <c r="H38" t="e">
        <f>COUNTIFS(#REF!,"&gt;"&amp;O38,#REF!,"&lt;"&amp;P38,#REF!,"(10.152.26.30)",#REF!,"record_type=QUR")</f>
        <v>#REF!</v>
      </c>
      <c r="I38" t="e">
        <f>COUNTIFS(#REF!,"&gt;"&amp;O38,#REF!,"&lt;"&amp;P38,#REF!,"(10.152.26.31)",#REF!,"record_type=QUR")</f>
        <v>#REF!</v>
      </c>
      <c r="J38" t="e">
        <f>COUNTIFS(#REF!,"&gt;"&amp;O38,#REF!,"&lt;"&amp;P38,#REF!,"(10.152.26.32)",#REF!,"record_type=QUR")</f>
        <v>#REF!</v>
      </c>
      <c r="K38" t="e">
        <f>COUNTIFS(#REF!,"&gt;"&amp;O38,#REF!,"&lt;"&amp;P38,#REF!,"(10.152.26.30)",#REF!,"record_type=DER")</f>
        <v>#REF!</v>
      </c>
      <c r="L38" t="e">
        <f>COUNTIFS(#REF!,"&gt;"&amp;O38,#REF!,"&lt;"&amp;P38,#REF!,"(10.152.26.31)",#REF!,"record_type=DER")</f>
        <v>#REF!</v>
      </c>
      <c r="M38" t="e">
        <f>COUNTIFS(#REF!,"&gt;"&amp;O38,#REF!,"&lt;"&amp;P38,#REF!,"(10.152.26.32)",#REF!,"record_type=DER")</f>
        <v>#REF!</v>
      </c>
      <c r="O38" t="str">
        <f t="shared" si="0"/>
        <v>08:04:41</v>
      </c>
      <c r="P38" t="str">
        <f t="shared" si="1"/>
        <v>08:04:50</v>
      </c>
    </row>
    <row r="39" spans="1:16" x14ac:dyDescent="0.25">
      <c r="A39" s="3" t="s">
        <v>42</v>
      </c>
      <c r="B39" t="e">
        <f>COUNTIFS(#REF!,"&gt;"&amp;O39,#REF!,"&lt;"&amp;P39,#REF!,"(10.152.26.30)",#REF!,"record_type=QUR")</f>
        <v>#REF!</v>
      </c>
      <c r="C39" t="e">
        <f>COUNTIFS(#REF!,"&gt;"&amp;O39,#REF!,"&lt;"&amp;P39,#REF!,"(10.152.26.31)",#REF!,"record_type=QUR")</f>
        <v>#REF!</v>
      </c>
      <c r="D39" t="e">
        <f>COUNTIFS(#REF!,"&gt;"&amp;O39,#REF!,"&lt;"&amp;P39,#REF!,"(10.152.26.32)",#REF!,"record_type=QUR")</f>
        <v>#REF!</v>
      </c>
      <c r="E39" t="e">
        <f>COUNTIFS(#REF!,"&gt;"&amp;O39,#REF!,"&lt;"&amp;P39,#REF!,"(10.152.26.30)",#REF!,"record_type=DER")</f>
        <v>#REF!</v>
      </c>
      <c r="F39" t="e">
        <f>COUNTIFS(#REF!,"&gt;"&amp;O39,#REF!,"&lt;"&amp;P39,#REF!,"(10.152.26.31)",#REF!,"record_type=DER")</f>
        <v>#REF!</v>
      </c>
      <c r="G39" t="e">
        <f>COUNTIFS(#REF!,"&gt;"&amp;O39,#REF!,"&lt;"&amp;P39,#REF!,"(10.152.26.32)",#REF!,"record_type=DER")</f>
        <v>#REF!</v>
      </c>
      <c r="H39" t="e">
        <f>COUNTIFS(#REF!,"&gt;"&amp;O39,#REF!,"&lt;"&amp;P39,#REF!,"(10.152.26.30)",#REF!,"record_type=QUR")</f>
        <v>#REF!</v>
      </c>
      <c r="I39" t="e">
        <f>COUNTIFS(#REF!,"&gt;"&amp;O39,#REF!,"&lt;"&amp;P39,#REF!,"(10.152.26.31)",#REF!,"record_type=QUR")</f>
        <v>#REF!</v>
      </c>
      <c r="J39" t="e">
        <f>COUNTIFS(#REF!,"&gt;"&amp;O39,#REF!,"&lt;"&amp;P39,#REF!,"(10.152.26.32)",#REF!,"record_type=QUR")</f>
        <v>#REF!</v>
      </c>
      <c r="K39" t="e">
        <f>COUNTIFS(#REF!,"&gt;"&amp;O39,#REF!,"&lt;"&amp;P39,#REF!,"(10.152.26.30)",#REF!,"record_type=DER")</f>
        <v>#REF!</v>
      </c>
      <c r="L39" t="e">
        <f>COUNTIFS(#REF!,"&gt;"&amp;O39,#REF!,"&lt;"&amp;P39,#REF!,"(10.152.26.31)",#REF!,"record_type=DER")</f>
        <v>#REF!</v>
      </c>
      <c r="M39" t="e">
        <f>COUNTIFS(#REF!,"&gt;"&amp;O39,#REF!,"&lt;"&amp;P39,#REF!,"(10.152.26.32)",#REF!,"record_type=DER")</f>
        <v>#REF!</v>
      </c>
      <c r="O39" t="str">
        <f t="shared" si="0"/>
        <v>08:04:51</v>
      </c>
      <c r="P39" t="str">
        <f t="shared" si="1"/>
        <v>08:05:00</v>
      </c>
    </row>
    <row r="40" spans="1:16" x14ac:dyDescent="0.25">
      <c r="A40" s="3" t="s">
        <v>43</v>
      </c>
      <c r="B40" t="e">
        <f>COUNTIFS(#REF!,"&gt;"&amp;O40,#REF!,"&lt;"&amp;P40,#REF!,"(10.152.26.30)",#REF!,"record_type=QUR")</f>
        <v>#REF!</v>
      </c>
      <c r="C40" t="e">
        <f>COUNTIFS(#REF!,"&gt;"&amp;O40,#REF!,"&lt;"&amp;P40,#REF!,"(10.152.26.31)",#REF!,"record_type=QUR")</f>
        <v>#REF!</v>
      </c>
      <c r="D40" t="e">
        <f>COUNTIFS(#REF!,"&gt;"&amp;O40,#REF!,"&lt;"&amp;P40,#REF!,"(10.152.26.32)",#REF!,"record_type=QUR")</f>
        <v>#REF!</v>
      </c>
      <c r="E40" t="e">
        <f>COUNTIFS(#REF!,"&gt;"&amp;O40,#REF!,"&lt;"&amp;P40,#REF!,"(10.152.26.30)",#REF!,"record_type=DER")</f>
        <v>#REF!</v>
      </c>
      <c r="F40" t="e">
        <f>COUNTIFS(#REF!,"&gt;"&amp;O40,#REF!,"&lt;"&amp;P40,#REF!,"(10.152.26.31)",#REF!,"record_type=DER")</f>
        <v>#REF!</v>
      </c>
      <c r="G40" t="e">
        <f>COUNTIFS(#REF!,"&gt;"&amp;O40,#REF!,"&lt;"&amp;P40,#REF!,"(10.152.26.32)",#REF!,"record_type=DER")</f>
        <v>#REF!</v>
      </c>
      <c r="H40" t="e">
        <f>COUNTIFS(#REF!,"&gt;"&amp;O40,#REF!,"&lt;"&amp;P40,#REF!,"(10.152.26.30)",#REF!,"record_type=QUR")</f>
        <v>#REF!</v>
      </c>
      <c r="I40" t="e">
        <f>COUNTIFS(#REF!,"&gt;"&amp;O40,#REF!,"&lt;"&amp;P40,#REF!,"(10.152.26.31)",#REF!,"record_type=QUR")</f>
        <v>#REF!</v>
      </c>
      <c r="J40" t="e">
        <f>COUNTIFS(#REF!,"&gt;"&amp;O40,#REF!,"&lt;"&amp;P40,#REF!,"(10.152.26.32)",#REF!,"record_type=QUR")</f>
        <v>#REF!</v>
      </c>
      <c r="K40" t="e">
        <f>COUNTIFS(#REF!,"&gt;"&amp;O40,#REF!,"&lt;"&amp;P40,#REF!,"(10.152.26.30)",#REF!,"record_type=DER")</f>
        <v>#REF!</v>
      </c>
      <c r="L40" t="e">
        <f>COUNTIFS(#REF!,"&gt;"&amp;O40,#REF!,"&lt;"&amp;P40,#REF!,"(10.152.26.31)",#REF!,"record_type=DER")</f>
        <v>#REF!</v>
      </c>
      <c r="M40" t="e">
        <f>COUNTIFS(#REF!,"&gt;"&amp;O40,#REF!,"&lt;"&amp;P40,#REF!,"(10.152.26.32)",#REF!,"record_type=DER")</f>
        <v>#REF!</v>
      </c>
      <c r="O40" t="str">
        <f t="shared" si="0"/>
        <v>08:05:11</v>
      </c>
      <c r="P40" t="str">
        <f t="shared" si="1"/>
        <v>08:05:20</v>
      </c>
    </row>
    <row r="41" spans="1:16" x14ac:dyDescent="0.25">
      <c r="A41" s="3" t="s">
        <v>44</v>
      </c>
      <c r="B41" t="e">
        <f>COUNTIFS(#REF!,"&gt;"&amp;O41,#REF!,"&lt;"&amp;P41,#REF!,"(10.152.26.30)",#REF!,"record_type=QUR")</f>
        <v>#REF!</v>
      </c>
      <c r="C41" t="e">
        <f>COUNTIFS(#REF!,"&gt;"&amp;O41,#REF!,"&lt;"&amp;P41,#REF!,"(10.152.26.31)",#REF!,"record_type=QUR")</f>
        <v>#REF!</v>
      </c>
      <c r="D41" t="e">
        <f>COUNTIFS(#REF!,"&gt;"&amp;O41,#REF!,"&lt;"&amp;P41,#REF!,"(10.152.26.32)",#REF!,"record_type=QUR")</f>
        <v>#REF!</v>
      </c>
      <c r="E41" t="e">
        <f>COUNTIFS(#REF!,"&gt;"&amp;O41,#REF!,"&lt;"&amp;P41,#REF!,"(10.152.26.30)",#REF!,"record_type=DER")</f>
        <v>#REF!</v>
      </c>
      <c r="F41" t="e">
        <f>COUNTIFS(#REF!,"&gt;"&amp;O41,#REF!,"&lt;"&amp;P41,#REF!,"(10.152.26.31)",#REF!,"record_type=DER")</f>
        <v>#REF!</v>
      </c>
      <c r="G41" t="e">
        <f>COUNTIFS(#REF!,"&gt;"&amp;O41,#REF!,"&lt;"&amp;P41,#REF!,"(10.152.26.32)",#REF!,"record_type=DER")</f>
        <v>#REF!</v>
      </c>
      <c r="H41" t="e">
        <f>COUNTIFS(#REF!,"&gt;"&amp;O41,#REF!,"&lt;"&amp;P41,#REF!,"(10.152.26.30)",#REF!,"record_type=QUR")</f>
        <v>#REF!</v>
      </c>
      <c r="I41" t="e">
        <f>COUNTIFS(#REF!,"&gt;"&amp;O41,#REF!,"&lt;"&amp;P41,#REF!,"(10.152.26.31)",#REF!,"record_type=QUR")</f>
        <v>#REF!</v>
      </c>
      <c r="J41" t="e">
        <f>COUNTIFS(#REF!,"&gt;"&amp;O41,#REF!,"&lt;"&amp;P41,#REF!,"(10.152.26.32)",#REF!,"record_type=QUR")</f>
        <v>#REF!</v>
      </c>
      <c r="K41" t="e">
        <f>COUNTIFS(#REF!,"&gt;"&amp;O41,#REF!,"&lt;"&amp;P41,#REF!,"(10.152.26.30)",#REF!,"record_type=DER")</f>
        <v>#REF!</v>
      </c>
      <c r="L41" t="e">
        <f>COUNTIFS(#REF!,"&gt;"&amp;O41,#REF!,"&lt;"&amp;P41,#REF!,"(10.152.26.31)",#REF!,"record_type=DER")</f>
        <v>#REF!</v>
      </c>
      <c r="M41" t="e">
        <f>COUNTIFS(#REF!,"&gt;"&amp;O41,#REF!,"&lt;"&amp;P41,#REF!,"(10.152.26.32)",#REF!,"record_type=DER")</f>
        <v>#REF!</v>
      </c>
      <c r="O41" t="str">
        <f t="shared" si="0"/>
        <v>08:05:21</v>
      </c>
      <c r="P41" t="str">
        <f t="shared" si="1"/>
        <v>08:05:30</v>
      </c>
    </row>
    <row r="42" spans="1:16" x14ac:dyDescent="0.25">
      <c r="A42" s="3" t="s">
        <v>45</v>
      </c>
      <c r="B42" t="e">
        <f>COUNTIFS(#REF!,"&gt;"&amp;O42,#REF!,"&lt;"&amp;P42,#REF!,"(10.152.26.30)",#REF!,"record_type=QUR")</f>
        <v>#REF!</v>
      </c>
      <c r="C42" t="e">
        <f>COUNTIFS(#REF!,"&gt;"&amp;O42,#REF!,"&lt;"&amp;P42,#REF!,"(10.152.26.31)",#REF!,"record_type=QUR")</f>
        <v>#REF!</v>
      </c>
      <c r="D42" t="e">
        <f>COUNTIFS(#REF!,"&gt;"&amp;O42,#REF!,"&lt;"&amp;P42,#REF!,"(10.152.26.32)",#REF!,"record_type=QUR")</f>
        <v>#REF!</v>
      </c>
      <c r="E42" t="e">
        <f>COUNTIFS(#REF!,"&gt;"&amp;O42,#REF!,"&lt;"&amp;P42,#REF!,"(10.152.26.30)",#REF!,"record_type=DER")</f>
        <v>#REF!</v>
      </c>
      <c r="F42" t="e">
        <f>COUNTIFS(#REF!,"&gt;"&amp;O42,#REF!,"&lt;"&amp;P42,#REF!,"(10.152.26.31)",#REF!,"record_type=DER")</f>
        <v>#REF!</v>
      </c>
      <c r="G42" t="e">
        <f>COUNTIFS(#REF!,"&gt;"&amp;O42,#REF!,"&lt;"&amp;P42,#REF!,"(10.152.26.32)",#REF!,"record_type=DER")</f>
        <v>#REF!</v>
      </c>
      <c r="H42" t="e">
        <f>COUNTIFS(#REF!,"&gt;"&amp;O42,#REF!,"&lt;"&amp;P42,#REF!,"(10.152.26.30)",#REF!,"record_type=QUR")</f>
        <v>#REF!</v>
      </c>
      <c r="I42" t="e">
        <f>COUNTIFS(#REF!,"&gt;"&amp;O42,#REF!,"&lt;"&amp;P42,#REF!,"(10.152.26.31)",#REF!,"record_type=QUR")</f>
        <v>#REF!</v>
      </c>
      <c r="J42" t="e">
        <f>COUNTIFS(#REF!,"&gt;"&amp;O42,#REF!,"&lt;"&amp;P42,#REF!,"(10.152.26.32)",#REF!,"record_type=QUR")</f>
        <v>#REF!</v>
      </c>
      <c r="K42" t="e">
        <f>COUNTIFS(#REF!,"&gt;"&amp;O42,#REF!,"&lt;"&amp;P42,#REF!,"(10.152.26.30)",#REF!,"record_type=DER")</f>
        <v>#REF!</v>
      </c>
      <c r="L42" t="e">
        <f>COUNTIFS(#REF!,"&gt;"&amp;O42,#REF!,"&lt;"&amp;P42,#REF!,"(10.152.26.31)",#REF!,"record_type=DER")</f>
        <v>#REF!</v>
      </c>
      <c r="M42" t="e">
        <f>COUNTIFS(#REF!,"&gt;"&amp;O42,#REF!,"&lt;"&amp;P42,#REF!,"(10.152.26.32)",#REF!,"record_type=DER")</f>
        <v>#REF!</v>
      </c>
      <c r="O42" t="str">
        <f t="shared" si="0"/>
        <v>08:05:31</v>
      </c>
      <c r="P42" t="str">
        <f t="shared" si="1"/>
        <v>08:05:40</v>
      </c>
    </row>
    <row r="43" spans="1:16" x14ac:dyDescent="0.25">
      <c r="A43" s="3" t="s">
        <v>46</v>
      </c>
      <c r="B43" t="e">
        <f>COUNTIFS(#REF!,"&gt;"&amp;O43,#REF!,"&lt;"&amp;P43,#REF!,"(10.152.26.30)",#REF!,"record_type=QUR")</f>
        <v>#REF!</v>
      </c>
      <c r="C43" t="e">
        <f>COUNTIFS(#REF!,"&gt;"&amp;O43,#REF!,"&lt;"&amp;P43,#REF!,"(10.152.26.31)",#REF!,"record_type=QUR")</f>
        <v>#REF!</v>
      </c>
      <c r="D43" t="e">
        <f>COUNTIFS(#REF!,"&gt;"&amp;O43,#REF!,"&lt;"&amp;P43,#REF!,"(10.152.26.32)",#REF!,"record_type=QUR")</f>
        <v>#REF!</v>
      </c>
      <c r="E43" t="e">
        <f>COUNTIFS(#REF!,"&gt;"&amp;O43,#REF!,"&lt;"&amp;P43,#REF!,"(10.152.26.30)",#REF!,"record_type=DER")</f>
        <v>#REF!</v>
      </c>
      <c r="F43" t="e">
        <f>COUNTIFS(#REF!,"&gt;"&amp;O43,#REF!,"&lt;"&amp;P43,#REF!,"(10.152.26.31)",#REF!,"record_type=DER")</f>
        <v>#REF!</v>
      </c>
      <c r="G43" t="e">
        <f>COUNTIFS(#REF!,"&gt;"&amp;O43,#REF!,"&lt;"&amp;P43,#REF!,"(10.152.26.32)",#REF!,"record_type=DER")</f>
        <v>#REF!</v>
      </c>
      <c r="H43" t="e">
        <f>COUNTIFS(#REF!,"&gt;"&amp;O43,#REF!,"&lt;"&amp;P43,#REF!,"(10.152.26.30)",#REF!,"record_type=QUR")</f>
        <v>#REF!</v>
      </c>
      <c r="I43" t="e">
        <f>COUNTIFS(#REF!,"&gt;"&amp;O43,#REF!,"&lt;"&amp;P43,#REF!,"(10.152.26.31)",#REF!,"record_type=QUR")</f>
        <v>#REF!</v>
      </c>
      <c r="J43" t="e">
        <f>COUNTIFS(#REF!,"&gt;"&amp;O43,#REF!,"&lt;"&amp;P43,#REF!,"(10.152.26.32)",#REF!,"record_type=QUR")</f>
        <v>#REF!</v>
      </c>
      <c r="K43" t="e">
        <f>COUNTIFS(#REF!,"&gt;"&amp;O43,#REF!,"&lt;"&amp;P43,#REF!,"(10.152.26.30)",#REF!,"record_type=DER")</f>
        <v>#REF!</v>
      </c>
      <c r="L43" t="e">
        <f>COUNTIFS(#REF!,"&gt;"&amp;O43,#REF!,"&lt;"&amp;P43,#REF!,"(10.152.26.31)",#REF!,"record_type=DER")</f>
        <v>#REF!</v>
      </c>
      <c r="M43" t="e">
        <f>COUNTIFS(#REF!,"&gt;"&amp;O43,#REF!,"&lt;"&amp;P43,#REF!,"(10.152.26.32)",#REF!,"record_type=DER")</f>
        <v>#REF!</v>
      </c>
      <c r="O43" t="str">
        <f t="shared" si="0"/>
        <v>08:05:41</v>
      </c>
      <c r="P43" t="str">
        <f t="shared" si="1"/>
        <v>08:05:50</v>
      </c>
    </row>
    <row r="44" spans="1:16" x14ac:dyDescent="0.25">
      <c r="A44" s="3" t="s">
        <v>47</v>
      </c>
      <c r="B44" t="e">
        <f>COUNTIFS(#REF!,"&gt;"&amp;O44,#REF!,"&lt;"&amp;P44,#REF!,"(10.152.26.30)",#REF!,"record_type=QUR")</f>
        <v>#REF!</v>
      </c>
      <c r="C44" t="e">
        <f>COUNTIFS(#REF!,"&gt;"&amp;O44,#REF!,"&lt;"&amp;P44,#REF!,"(10.152.26.31)",#REF!,"record_type=QUR")</f>
        <v>#REF!</v>
      </c>
      <c r="D44" t="e">
        <f>COUNTIFS(#REF!,"&gt;"&amp;O44,#REF!,"&lt;"&amp;P44,#REF!,"(10.152.26.32)",#REF!,"record_type=QUR")</f>
        <v>#REF!</v>
      </c>
      <c r="E44" t="e">
        <f>COUNTIFS(#REF!,"&gt;"&amp;O44,#REF!,"&lt;"&amp;P44,#REF!,"(10.152.26.30)",#REF!,"record_type=DER")</f>
        <v>#REF!</v>
      </c>
      <c r="F44" t="e">
        <f>COUNTIFS(#REF!,"&gt;"&amp;O44,#REF!,"&lt;"&amp;P44,#REF!,"(10.152.26.31)",#REF!,"record_type=DER")</f>
        <v>#REF!</v>
      </c>
      <c r="G44" t="e">
        <f>COUNTIFS(#REF!,"&gt;"&amp;O44,#REF!,"&lt;"&amp;P44,#REF!,"(10.152.26.32)",#REF!,"record_type=DER")</f>
        <v>#REF!</v>
      </c>
      <c r="H44" t="e">
        <f>COUNTIFS(#REF!,"&gt;"&amp;O44,#REF!,"&lt;"&amp;P44,#REF!,"(10.152.26.30)",#REF!,"record_type=QUR")</f>
        <v>#REF!</v>
      </c>
      <c r="I44" t="e">
        <f>COUNTIFS(#REF!,"&gt;"&amp;O44,#REF!,"&lt;"&amp;P44,#REF!,"(10.152.26.31)",#REF!,"record_type=QUR")</f>
        <v>#REF!</v>
      </c>
      <c r="J44" t="e">
        <f>COUNTIFS(#REF!,"&gt;"&amp;O44,#REF!,"&lt;"&amp;P44,#REF!,"(10.152.26.32)",#REF!,"record_type=QUR")</f>
        <v>#REF!</v>
      </c>
      <c r="K44" t="e">
        <f>COUNTIFS(#REF!,"&gt;"&amp;O44,#REF!,"&lt;"&amp;P44,#REF!,"(10.152.26.30)",#REF!,"record_type=DER")</f>
        <v>#REF!</v>
      </c>
      <c r="L44" t="e">
        <f>COUNTIFS(#REF!,"&gt;"&amp;O44,#REF!,"&lt;"&amp;P44,#REF!,"(10.152.26.31)",#REF!,"record_type=DER")</f>
        <v>#REF!</v>
      </c>
      <c r="M44" t="e">
        <f>COUNTIFS(#REF!,"&gt;"&amp;O44,#REF!,"&lt;"&amp;P44,#REF!,"(10.152.26.32)",#REF!,"record_type=DER")</f>
        <v>#REF!</v>
      </c>
      <c r="O44" t="str">
        <f t="shared" si="0"/>
        <v>08:05:51</v>
      </c>
      <c r="P44" t="str">
        <f t="shared" si="1"/>
        <v>08:06:00</v>
      </c>
    </row>
    <row r="45" spans="1:16" x14ac:dyDescent="0.25">
      <c r="A45" s="3"/>
      <c r="B45" s="2" t="e">
        <f>SUM(B5:B44)</f>
        <v>#REF!</v>
      </c>
      <c r="C45" s="2" t="e">
        <f t="shared" ref="C45:M45" si="2">SUM(C5:C44)</f>
        <v>#REF!</v>
      </c>
      <c r="D45" s="2" t="e">
        <f t="shared" si="2"/>
        <v>#REF!</v>
      </c>
      <c r="E45" s="2" t="e">
        <f t="shared" si="2"/>
        <v>#REF!</v>
      </c>
      <c r="F45" s="2" t="e">
        <f t="shared" si="2"/>
        <v>#REF!</v>
      </c>
      <c r="G45" s="2" t="e">
        <f t="shared" si="2"/>
        <v>#REF!</v>
      </c>
      <c r="H45" s="2" t="e">
        <f t="shared" si="2"/>
        <v>#REF!</v>
      </c>
      <c r="I45" s="2" t="e">
        <f t="shared" si="2"/>
        <v>#REF!</v>
      </c>
      <c r="J45" s="2" t="e">
        <f t="shared" si="2"/>
        <v>#REF!</v>
      </c>
      <c r="K45" s="2" t="e">
        <f t="shared" si="2"/>
        <v>#REF!</v>
      </c>
      <c r="L45" s="2" t="e">
        <f t="shared" si="2"/>
        <v>#REF!</v>
      </c>
      <c r="M45" s="2" t="e">
        <f t="shared" si="2"/>
        <v>#REF!</v>
      </c>
    </row>
  </sheetData>
  <mergeCells count="7">
    <mergeCell ref="B1:M1"/>
    <mergeCell ref="B2:G2"/>
    <mergeCell ref="H2:M2"/>
    <mergeCell ref="B3:D3"/>
    <mergeCell ref="E3:G3"/>
    <mergeCell ref="H3:J3"/>
    <mergeCell ref="K3:M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8EDF6-3AC4-4E31-89E7-345762C808B3}">
  <sheetPr codeName="Sheet8"/>
  <dimension ref="A1:P45"/>
  <sheetViews>
    <sheetView workbookViewId="0">
      <selection activeCell="A12" sqref="A12"/>
    </sheetView>
  </sheetViews>
  <sheetFormatPr defaultRowHeight="15" x14ac:dyDescent="0.25"/>
  <cols>
    <col min="1" max="1" width="17.7109375" bestFit="1" customWidth="1"/>
    <col min="2" max="13" width="11.7109375" bestFit="1" customWidth="1"/>
    <col min="15" max="16" width="8.140625" hidden="1" customWidth="1"/>
  </cols>
  <sheetData>
    <row r="1" spans="1:16" x14ac:dyDescent="0.25">
      <c r="A1" s="3"/>
      <c r="B1" s="29" t="s">
        <v>49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</row>
    <row r="2" spans="1:16" x14ac:dyDescent="0.25">
      <c r="A2" s="3"/>
      <c r="B2" s="29" t="s">
        <v>9</v>
      </c>
      <c r="C2" s="29"/>
      <c r="D2" s="29"/>
      <c r="E2" s="29"/>
      <c r="F2" s="29"/>
      <c r="G2" s="29"/>
      <c r="H2" s="29" t="s">
        <v>13</v>
      </c>
      <c r="I2" s="29"/>
      <c r="J2" s="29"/>
      <c r="K2" s="29"/>
      <c r="L2" s="29"/>
      <c r="M2" s="29"/>
    </row>
    <row r="3" spans="1:16" x14ac:dyDescent="0.25">
      <c r="A3" s="3"/>
      <c r="B3" s="29" t="s">
        <v>11</v>
      </c>
      <c r="C3" s="29"/>
      <c r="D3" s="29"/>
      <c r="E3" s="29" t="s">
        <v>12</v>
      </c>
      <c r="F3" s="29"/>
      <c r="G3" s="29"/>
      <c r="H3" s="29" t="s">
        <v>11</v>
      </c>
      <c r="I3" s="29"/>
      <c r="J3" s="29"/>
      <c r="K3" s="29" t="s">
        <v>12</v>
      </c>
      <c r="L3" s="29"/>
      <c r="M3" s="29"/>
    </row>
    <row r="4" spans="1:16" x14ac:dyDescent="0.25">
      <c r="A4" s="3"/>
      <c r="B4" s="2" t="s">
        <v>0</v>
      </c>
      <c r="C4" s="2" t="s">
        <v>1</v>
      </c>
      <c r="D4" s="2" t="s">
        <v>2</v>
      </c>
      <c r="E4" s="2" t="s">
        <v>0</v>
      </c>
      <c r="F4" s="2" t="s">
        <v>1</v>
      </c>
      <c r="G4" s="2" t="s">
        <v>2</v>
      </c>
      <c r="H4" s="2" t="s">
        <v>0</v>
      </c>
      <c r="I4" s="2" t="s">
        <v>1</v>
      </c>
      <c r="J4" s="2" t="s">
        <v>2</v>
      </c>
      <c r="K4" s="2" t="s">
        <v>0</v>
      </c>
      <c r="L4" s="2" t="s">
        <v>1</v>
      </c>
      <c r="M4" s="2" t="s">
        <v>2</v>
      </c>
    </row>
    <row r="5" spans="1:16" x14ac:dyDescent="0.25">
      <c r="A5" s="3" t="s">
        <v>14</v>
      </c>
      <c r="B5" t="e">
        <f>COUNTIFS(#REF!,"&gt;"&amp;O5,#REF!,"&lt;"&amp;P5,#REF!,"(10.152.26.30)",#REF!,"record_type=QUR")</f>
        <v>#REF!</v>
      </c>
      <c r="C5" t="e">
        <f>COUNTIFS(#REF!,"&gt;"&amp;O5,#REF!,"&lt;"&amp;P5,#REF!,"(10.152.26.31)",#REF!,"record_type=QUR")</f>
        <v>#REF!</v>
      </c>
      <c r="D5" t="e">
        <f>COUNTIFS(#REF!,"&gt;"&amp;O5,#REF!,"&lt;"&amp;P5,#REF!,"(10.152.26.32)",#REF!,"record_type=QUR")</f>
        <v>#REF!</v>
      </c>
      <c r="E5" t="e">
        <f>COUNTIFS(#REF!,"&gt;"&amp;O5,#REF!,"&lt;"&amp;P5,#REF!,"(10.152.26.30)",#REF!,"record_type=DER")</f>
        <v>#REF!</v>
      </c>
      <c r="F5" t="e">
        <f>COUNTIFS(#REF!,"&gt;"&amp;O5,#REF!,"&lt;"&amp;P5,#REF!,"(10.152.26.31)",#REF!,"record_type=DER")</f>
        <v>#REF!</v>
      </c>
      <c r="G5" t="e">
        <f>COUNTIFS(#REF!,"&gt;"&amp;O5,#REF!,"&lt;"&amp;P5,#REF!,"(10.152.26.32)",#REF!,"record_type=DER")</f>
        <v>#REF!</v>
      </c>
      <c r="H5" t="e">
        <f>COUNTIFS(#REF!,"&gt;"&amp;O5,#REF!,"&lt;"&amp;P5,#REF!,"(10.152.26.30)",#REF!,"record_type=QUR")</f>
        <v>#REF!</v>
      </c>
      <c r="I5" t="e">
        <f>COUNTIFS(#REF!,"&gt;"&amp;O5,#REF!,"&lt;"&amp;P5,#REF!,"(10.152.26.31)",#REF!,"record_type=QUR")</f>
        <v>#REF!</v>
      </c>
      <c r="J5" t="e">
        <f>COUNTIFS(#REF!,"&gt;"&amp;O5,#REF!,"&lt;"&amp;P5,#REF!,"(10.152.26.32)",#REF!,"record_type=QUR")</f>
        <v>#REF!</v>
      </c>
      <c r="K5" t="e">
        <f>COUNTIFS(#REF!,"&gt;"&amp;O5,#REF!,"&lt;"&amp;P5,#REF!,"(10.152.26.30)",#REF!,"record_type=DER")</f>
        <v>#REF!</v>
      </c>
      <c r="L5" t="e">
        <f>COUNTIFS(#REF!,"&gt;"&amp;O5,#REF!,"&lt;"&amp;P5,#REF!,"(10.152.26.31)",#REF!,"record_type=DER")</f>
        <v>#REF!</v>
      </c>
      <c r="M5" t="e">
        <f>COUNTIFS(#REF!,"&gt;"&amp;O5,#REF!,"&lt;"&amp;P5,#REF!,"(10.152.26.32)",#REF!,"record_type=DER")</f>
        <v>#REF!</v>
      </c>
      <c r="O5" t="str">
        <f>LEFT(A5,8)</f>
        <v>08:00:00</v>
      </c>
      <c r="P5" t="str">
        <f>RIGHT(A5,8)</f>
        <v>08:00:10</v>
      </c>
    </row>
    <row r="6" spans="1:16" x14ac:dyDescent="0.25">
      <c r="A6" s="3" t="s">
        <v>15</v>
      </c>
      <c r="B6" t="e">
        <f>COUNTIFS(#REF!,"&gt;"&amp;O6,#REF!,"&lt;"&amp;P6,#REF!,"(10.152.26.30)",#REF!,"record_type=QUR")</f>
        <v>#REF!</v>
      </c>
      <c r="C6" t="e">
        <f>COUNTIFS(#REF!,"&gt;"&amp;O6,#REF!,"&lt;"&amp;P6,#REF!,"(10.152.26.31)",#REF!,"record_type=QUR")</f>
        <v>#REF!</v>
      </c>
      <c r="D6" t="e">
        <f>COUNTIFS(#REF!,"&gt;"&amp;O6,#REF!,"&lt;"&amp;P6,#REF!,"(10.152.26.32)",#REF!,"record_type=QUR")</f>
        <v>#REF!</v>
      </c>
      <c r="E6" t="e">
        <f>COUNTIFS(#REF!,"&gt;"&amp;O6,#REF!,"&lt;"&amp;P6,#REF!,"(10.152.26.30)",#REF!,"record_type=DER")</f>
        <v>#REF!</v>
      </c>
      <c r="F6" t="e">
        <f>COUNTIFS(#REF!,"&gt;"&amp;O6,#REF!,"&lt;"&amp;P6,#REF!,"(10.152.26.31)",#REF!,"record_type=DER")</f>
        <v>#REF!</v>
      </c>
      <c r="G6" t="e">
        <f>COUNTIFS(#REF!,"&gt;"&amp;O6,#REF!,"&lt;"&amp;P6,#REF!,"(10.152.26.32)",#REF!,"record_type=DER")</f>
        <v>#REF!</v>
      </c>
      <c r="H6" t="e">
        <f>COUNTIFS(#REF!,"&gt;"&amp;O6,#REF!,"&lt;"&amp;P6,#REF!,"(10.152.26.30)",#REF!,"record_type=QUR")</f>
        <v>#REF!</v>
      </c>
      <c r="I6" t="e">
        <f>COUNTIFS(#REF!,"&gt;"&amp;O6,#REF!,"&lt;"&amp;P6,#REF!,"(10.152.26.31)",#REF!,"record_type=QUR")</f>
        <v>#REF!</v>
      </c>
      <c r="J6" t="e">
        <f>COUNTIFS(#REF!,"&gt;"&amp;O6,#REF!,"&lt;"&amp;P6,#REF!,"(10.152.26.32)",#REF!,"record_type=QUR")</f>
        <v>#REF!</v>
      </c>
      <c r="K6" t="e">
        <f>COUNTIFS(#REF!,"&gt;"&amp;O6,#REF!,"&lt;"&amp;P6,#REF!,"(10.152.26.30)",#REF!,"record_type=DER")</f>
        <v>#REF!</v>
      </c>
      <c r="L6" t="e">
        <f>COUNTIFS(#REF!,"&gt;"&amp;O6,#REF!,"&lt;"&amp;P6,#REF!,"(10.152.26.31)",#REF!,"record_type=DER")</f>
        <v>#REF!</v>
      </c>
      <c r="M6" t="e">
        <f>COUNTIFS(#REF!,"&gt;"&amp;O6,#REF!,"&lt;"&amp;P6,#REF!,"(10.152.26.32)",#REF!,"record_type=DER")</f>
        <v>#REF!</v>
      </c>
      <c r="O6" t="str">
        <f t="shared" ref="O6:O44" si="0">LEFT(A6,8)</f>
        <v>08:00:11</v>
      </c>
      <c r="P6" t="str">
        <f t="shared" ref="P6:P44" si="1">RIGHT(A6,8)</f>
        <v>08:00:20</v>
      </c>
    </row>
    <row r="7" spans="1:16" x14ac:dyDescent="0.25">
      <c r="A7" s="3" t="s">
        <v>16</v>
      </c>
      <c r="B7" t="e">
        <f>COUNTIFS(#REF!,"&gt;"&amp;O7,#REF!,"&lt;"&amp;P7,#REF!,"(10.152.26.30)",#REF!,"record_type=QUR")</f>
        <v>#REF!</v>
      </c>
      <c r="C7" t="e">
        <f>COUNTIFS(#REF!,"&gt;"&amp;O7,#REF!,"&lt;"&amp;P7,#REF!,"(10.152.26.31)",#REF!,"record_type=QUR")</f>
        <v>#REF!</v>
      </c>
      <c r="D7" t="e">
        <f>COUNTIFS(#REF!,"&gt;"&amp;O7,#REF!,"&lt;"&amp;P7,#REF!,"(10.152.26.32)",#REF!,"record_type=QUR")</f>
        <v>#REF!</v>
      </c>
      <c r="E7" t="e">
        <f>COUNTIFS(#REF!,"&gt;"&amp;O7,#REF!,"&lt;"&amp;P7,#REF!,"(10.152.26.30)",#REF!,"record_type=DER")</f>
        <v>#REF!</v>
      </c>
      <c r="F7" t="e">
        <f>COUNTIFS(#REF!,"&gt;"&amp;O7,#REF!,"&lt;"&amp;P7,#REF!,"(10.152.26.31)",#REF!,"record_type=DER")</f>
        <v>#REF!</v>
      </c>
      <c r="G7" t="e">
        <f>COUNTIFS(#REF!,"&gt;"&amp;O7,#REF!,"&lt;"&amp;P7,#REF!,"(10.152.26.32)",#REF!,"record_type=DER")</f>
        <v>#REF!</v>
      </c>
      <c r="H7" t="e">
        <f>COUNTIFS(#REF!,"&gt;"&amp;O7,#REF!,"&lt;"&amp;P7,#REF!,"(10.152.26.30)",#REF!,"record_type=QUR")</f>
        <v>#REF!</v>
      </c>
      <c r="I7" t="e">
        <f>COUNTIFS(#REF!,"&gt;"&amp;O7,#REF!,"&lt;"&amp;P7,#REF!,"(10.152.26.31)",#REF!,"record_type=QUR")</f>
        <v>#REF!</v>
      </c>
      <c r="J7" t="e">
        <f>COUNTIFS(#REF!,"&gt;"&amp;O7,#REF!,"&lt;"&amp;P7,#REF!,"(10.152.26.32)",#REF!,"record_type=QUR")</f>
        <v>#REF!</v>
      </c>
      <c r="K7" t="e">
        <f>COUNTIFS(#REF!,"&gt;"&amp;O7,#REF!,"&lt;"&amp;P7,#REF!,"(10.152.26.30)",#REF!,"record_type=DER")</f>
        <v>#REF!</v>
      </c>
      <c r="L7" t="e">
        <f>COUNTIFS(#REF!,"&gt;"&amp;O7,#REF!,"&lt;"&amp;P7,#REF!,"(10.152.26.31)",#REF!,"record_type=DER")</f>
        <v>#REF!</v>
      </c>
      <c r="M7" t="e">
        <f>COUNTIFS(#REF!,"&gt;"&amp;O7,#REF!,"&lt;"&amp;P7,#REF!,"(10.152.26.32)",#REF!,"record_type=DER")</f>
        <v>#REF!</v>
      </c>
      <c r="O7" t="str">
        <f t="shared" si="0"/>
        <v>08:00:21</v>
      </c>
      <c r="P7" t="str">
        <f t="shared" si="1"/>
        <v>08:00:30</v>
      </c>
    </row>
    <row r="8" spans="1:16" x14ac:dyDescent="0.25">
      <c r="A8" s="3" t="s">
        <v>17</v>
      </c>
      <c r="B8" t="e">
        <f>COUNTIFS(#REF!,"&gt;"&amp;O8,#REF!,"&lt;"&amp;P8,#REF!,"(10.152.26.30)",#REF!,"record_type=QUR")</f>
        <v>#REF!</v>
      </c>
      <c r="C8" t="e">
        <f>COUNTIFS(#REF!,"&gt;"&amp;O8,#REF!,"&lt;"&amp;P8,#REF!,"(10.152.26.31)",#REF!,"record_type=QUR")</f>
        <v>#REF!</v>
      </c>
      <c r="D8" t="e">
        <f>COUNTIFS(#REF!,"&gt;"&amp;O8,#REF!,"&lt;"&amp;P8,#REF!,"(10.152.26.32)",#REF!,"record_type=QUR")</f>
        <v>#REF!</v>
      </c>
      <c r="E8" t="e">
        <f>COUNTIFS(#REF!,"&gt;"&amp;O8,#REF!,"&lt;"&amp;P8,#REF!,"(10.152.26.30)",#REF!,"record_type=DER")</f>
        <v>#REF!</v>
      </c>
      <c r="F8" t="e">
        <f>COUNTIFS(#REF!,"&gt;"&amp;O8,#REF!,"&lt;"&amp;P8,#REF!,"(10.152.26.31)",#REF!,"record_type=DER")</f>
        <v>#REF!</v>
      </c>
      <c r="G8" t="e">
        <f>COUNTIFS(#REF!,"&gt;"&amp;O8,#REF!,"&lt;"&amp;P8,#REF!,"(10.152.26.32)",#REF!,"record_type=DER")</f>
        <v>#REF!</v>
      </c>
      <c r="H8" t="e">
        <f>COUNTIFS(#REF!,"&gt;"&amp;O8,#REF!,"&lt;"&amp;P8,#REF!,"(10.152.26.30)",#REF!,"record_type=QUR")</f>
        <v>#REF!</v>
      </c>
      <c r="I8" t="e">
        <f>COUNTIFS(#REF!,"&gt;"&amp;O8,#REF!,"&lt;"&amp;P8,#REF!,"(10.152.26.31)",#REF!,"record_type=QUR")</f>
        <v>#REF!</v>
      </c>
      <c r="J8" t="e">
        <f>COUNTIFS(#REF!,"&gt;"&amp;O8,#REF!,"&lt;"&amp;P8,#REF!,"(10.152.26.32)",#REF!,"record_type=QUR")</f>
        <v>#REF!</v>
      </c>
      <c r="K8" t="e">
        <f>COUNTIFS(#REF!,"&gt;"&amp;O8,#REF!,"&lt;"&amp;P8,#REF!,"(10.152.26.30)",#REF!,"record_type=DER")</f>
        <v>#REF!</v>
      </c>
      <c r="L8" t="e">
        <f>COUNTIFS(#REF!,"&gt;"&amp;O8,#REF!,"&lt;"&amp;P8,#REF!,"(10.152.26.31)",#REF!,"record_type=DER")</f>
        <v>#REF!</v>
      </c>
      <c r="M8" t="e">
        <f>COUNTIFS(#REF!,"&gt;"&amp;O8,#REF!,"&lt;"&amp;P8,#REF!,"(10.152.26.32)",#REF!,"record_type=DER")</f>
        <v>#REF!</v>
      </c>
      <c r="O8" t="str">
        <f t="shared" si="0"/>
        <v>08:00:31</v>
      </c>
      <c r="P8" t="str">
        <f t="shared" si="1"/>
        <v>08:00:40</v>
      </c>
    </row>
    <row r="9" spans="1:16" x14ac:dyDescent="0.25">
      <c r="A9" s="3" t="s">
        <v>18</v>
      </c>
      <c r="B9" t="e">
        <f>COUNTIFS(#REF!,"&gt;"&amp;O9,#REF!,"&lt;"&amp;P9,#REF!,"(10.152.26.30)",#REF!,"record_type=QUR")</f>
        <v>#REF!</v>
      </c>
      <c r="C9" t="e">
        <f>COUNTIFS(#REF!,"&gt;"&amp;O9,#REF!,"&lt;"&amp;P9,#REF!,"(10.152.26.31)",#REF!,"record_type=QUR")</f>
        <v>#REF!</v>
      </c>
      <c r="D9" t="e">
        <f>COUNTIFS(#REF!,"&gt;"&amp;O9,#REF!,"&lt;"&amp;P9,#REF!,"(10.152.26.32)",#REF!,"record_type=QUR")</f>
        <v>#REF!</v>
      </c>
      <c r="E9" t="e">
        <f>COUNTIFS(#REF!,"&gt;"&amp;O9,#REF!,"&lt;"&amp;P9,#REF!,"(10.152.26.30)",#REF!,"record_type=DER")</f>
        <v>#REF!</v>
      </c>
      <c r="F9" t="e">
        <f>COUNTIFS(#REF!,"&gt;"&amp;O9,#REF!,"&lt;"&amp;P9,#REF!,"(10.152.26.31)",#REF!,"record_type=DER")</f>
        <v>#REF!</v>
      </c>
      <c r="G9" t="e">
        <f>COUNTIFS(#REF!,"&gt;"&amp;O9,#REF!,"&lt;"&amp;P9,#REF!,"(10.152.26.32)",#REF!,"record_type=DER")</f>
        <v>#REF!</v>
      </c>
      <c r="H9" t="e">
        <f>COUNTIFS(#REF!,"&gt;"&amp;O9,#REF!,"&lt;"&amp;P9,#REF!,"(10.152.26.30)",#REF!,"record_type=QUR")</f>
        <v>#REF!</v>
      </c>
      <c r="I9" t="e">
        <f>COUNTIFS(#REF!,"&gt;"&amp;O9,#REF!,"&lt;"&amp;P9,#REF!,"(10.152.26.31)",#REF!,"record_type=QUR")</f>
        <v>#REF!</v>
      </c>
      <c r="J9" t="e">
        <f>COUNTIFS(#REF!,"&gt;"&amp;O9,#REF!,"&lt;"&amp;P9,#REF!,"(10.152.26.32)",#REF!,"record_type=QUR")</f>
        <v>#REF!</v>
      </c>
      <c r="K9" t="e">
        <f>COUNTIFS(#REF!,"&gt;"&amp;O9,#REF!,"&lt;"&amp;P9,#REF!,"(10.152.26.30)",#REF!,"record_type=DER")</f>
        <v>#REF!</v>
      </c>
      <c r="L9" t="e">
        <f>COUNTIFS(#REF!,"&gt;"&amp;O9,#REF!,"&lt;"&amp;P9,#REF!,"(10.152.26.31)",#REF!,"record_type=DER")</f>
        <v>#REF!</v>
      </c>
      <c r="M9" t="e">
        <f>COUNTIFS(#REF!,"&gt;"&amp;O9,#REF!,"&lt;"&amp;P9,#REF!,"(10.152.26.32)",#REF!,"record_type=DER")</f>
        <v>#REF!</v>
      </c>
      <c r="O9" t="str">
        <f t="shared" si="0"/>
        <v>08:00:41</v>
      </c>
      <c r="P9" t="str">
        <f t="shared" si="1"/>
        <v>08:00:50</v>
      </c>
    </row>
    <row r="10" spans="1:16" x14ac:dyDescent="0.25">
      <c r="A10" s="3" t="s">
        <v>19</v>
      </c>
      <c r="B10" t="e">
        <f>COUNTIFS(#REF!,"&gt;"&amp;O10,#REF!,"&lt;"&amp;P10,#REF!,"(10.152.26.30)",#REF!,"record_type=QUR")</f>
        <v>#REF!</v>
      </c>
      <c r="C10" t="e">
        <f>COUNTIFS(#REF!,"&gt;"&amp;O10,#REF!,"&lt;"&amp;P10,#REF!,"(10.152.26.31)",#REF!,"record_type=QUR")</f>
        <v>#REF!</v>
      </c>
      <c r="D10" t="e">
        <f>COUNTIFS(#REF!,"&gt;"&amp;O10,#REF!,"&lt;"&amp;P10,#REF!,"(10.152.26.32)",#REF!,"record_type=QUR")</f>
        <v>#REF!</v>
      </c>
      <c r="E10" t="e">
        <f>COUNTIFS(#REF!,"&gt;"&amp;O10,#REF!,"&lt;"&amp;P10,#REF!,"(10.152.26.30)",#REF!,"record_type=DER")</f>
        <v>#REF!</v>
      </c>
      <c r="F10" t="e">
        <f>COUNTIFS(#REF!,"&gt;"&amp;O10,#REF!,"&lt;"&amp;P10,#REF!,"(10.152.26.31)",#REF!,"record_type=DER")</f>
        <v>#REF!</v>
      </c>
      <c r="G10" t="e">
        <f>COUNTIFS(#REF!,"&gt;"&amp;O10,#REF!,"&lt;"&amp;P10,#REF!,"(10.152.26.32)",#REF!,"record_type=DER")</f>
        <v>#REF!</v>
      </c>
      <c r="H10" t="e">
        <f>COUNTIFS(#REF!,"&gt;"&amp;O10,#REF!,"&lt;"&amp;P10,#REF!,"(10.152.26.30)",#REF!,"record_type=QUR")</f>
        <v>#REF!</v>
      </c>
      <c r="I10" t="e">
        <f>COUNTIFS(#REF!,"&gt;"&amp;O10,#REF!,"&lt;"&amp;P10,#REF!,"(10.152.26.31)",#REF!,"record_type=QUR")</f>
        <v>#REF!</v>
      </c>
      <c r="J10" t="e">
        <f>COUNTIFS(#REF!,"&gt;"&amp;O10,#REF!,"&lt;"&amp;P10,#REF!,"(10.152.26.32)",#REF!,"record_type=QUR")</f>
        <v>#REF!</v>
      </c>
      <c r="K10" t="e">
        <f>COUNTIFS(#REF!,"&gt;"&amp;O10,#REF!,"&lt;"&amp;P10,#REF!,"(10.152.26.30)",#REF!,"record_type=DER")</f>
        <v>#REF!</v>
      </c>
      <c r="L10" t="e">
        <f>COUNTIFS(#REF!,"&gt;"&amp;O10,#REF!,"&lt;"&amp;P10,#REF!,"(10.152.26.31)",#REF!,"record_type=DER")</f>
        <v>#REF!</v>
      </c>
      <c r="M10" t="e">
        <f>COUNTIFS(#REF!,"&gt;"&amp;O10,#REF!,"&lt;"&amp;P10,#REF!,"(10.152.26.32)",#REF!,"record_type=DER")</f>
        <v>#REF!</v>
      </c>
      <c r="O10" t="str">
        <f t="shared" si="0"/>
        <v>08:00:51</v>
      </c>
      <c r="P10" t="str">
        <f t="shared" si="1"/>
        <v>08:01:00</v>
      </c>
    </row>
    <row r="11" spans="1:16" x14ac:dyDescent="0.25">
      <c r="A11" s="3" t="s">
        <v>55</v>
      </c>
      <c r="B11" t="e">
        <f>COUNTIFS(#REF!,"&gt;"&amp;O11,#REF!,"&lt;"&amp;P11,#REF!,"(10.152.26.30)",#REF!,"record_type=QUR")</f>
        <v>#REF!</v>
      </c>
      <c r="C11" t="e">
        <f>COUNTIFS(#REF!,"&gt;"&amp;O11,#REF!,"&lt;"&amp;P11,#REF!,"(10.152.26.31)",#REF!,"record_type=QUR")</f>
        <v>#REF!</v>
      </c>
      <c r="D11" t="e">
        <f>COUNTIFS(#REF!,"&gt;"&amp;O11,#REF!,"&lt;"&amp;P11,#REF!,"(10.152.26.32)",#REF!,"record_type=QUR")</f>
        <v>#REF!</v>
      </c>
      <c r="E11" t="e">
        <f>COUNTIFS(#REF!,"&gt;"&amp;O11,#REF!,"&lt;"&amp;P11,#REF!,"(10.152.26.30)",#REF!,"record_type=DER")</f>
        <v>#REF!</v>
      </c>
      <c r="F11" t="e">
        <f>COUNTIFS(#REF!,"&gt;"&amp;O11,#REF!,"&lt;"&amp;P11,#REF!,"(10.152.26.31)",#REF!,"record_type=DER")</f>
        <v>#REF!</v>
      </c>
      <c r="G11" t="e">
        <f>COUNTIFS(#REF!,"&gt;"&amp;O11,#REF!,"&lt;"&amp;P11,#REF!,"(10.152.26.32)",#REF!,"record_type=DER")</f>
        <v>#REF!</v>
      </c>
      <c r="H11" t="e">
        <f>COUNTIFS(#REF!,"&gt;"&amp;O11,#REF!,"&lt;"&amp;P11,#REF!,"(10.152.26.30)",#REF!,"record_type=QUR")</f>
        <v>#REF!</v>
      </c>
      <c r="I11" t="e">
        <f>COUNTIFS(#REF!,"&gt;"&amp;O11,#REF!,"&lt;"&amp;P11,#REF!,"(10.152.26.31)",#REF!,"record_type=QUR")</f>
        <v>#REF!</v>
      </c>
      <c r="J11" t="e">
        <f>COUNTIFS(#REF!,"&gt;"&amp;O11,#REF!,"&lt;"&amp;P11,#REF!,"(10.152.26.32)",#REF!,"record_type=QUR")</f>
        <v>#REF!</v>
      </c>
      <c r="K11" t="e">
        <f>COUNTIFS(#REF!,"&gt;"&amp;O11,#REF!,"&lt;"&amp;P11,#REF!,"(10.152.26.30)",#REF!,"record_type=DER")</f>
        <v>#REF!</v>
      </c>
      <c r="L11" t="e">
        <f>COUNTIFS(#REF!,"&gt;"&amp;O11,#REF!,"&lt;"&amp;P11,#REF!,"(10.152.26.31)",#REF!,"record_type=DER")</f>
        <v>#REF!</v>
      </c>
      <c r="M11" t="e">
        <f>COUNTIFS(#REF!,"&gt;"&amp;O11,#REF!,"&lt;"&amp;P11,#REF!,"(10.152.26.32)",#REF!,"record_type=DER")</f>
        <v>#REF!</v>
      </c>
      <c r="O11" t="str">
        <f t="shared" si="0"/>
        <v>08:01:01</v>
      </c>
      <c r="P11" t="str">
        <f t="shared" si="1"/>
        <v>08:01:10</v>
      </c>
    </row>
    <row r="12" spans="1:16" x14ac:dyDescent="0.25">
      <c r="A12" s="3" t="s">
        <v>20</v>
      </c>
      <c r="B12" t="e">
        <f>COUNTIFS(#REF!,"&gt;"&amp;O12,#REF!,"&lt;"&amp;P12,#REF!,"(10.152.26.30)",#REF!,"record_type=QUR")</f>
        <v>#REF!</v>
      </c>
      <c r="C12" t="e">
        <f>COUNTIFS(#REF!,"&gt;"&amp;O12,#REF!,"&lt;"&amp;P12,#REF!,"(10.152.26.31)",#REF!,"record_type=QUR")</f>
        <v>#REF!</v>
      </c>
      <c r="D12" t="e">
        <f>COUNTIFS(#REF!,"&gt;"&amp;O12,#REF!,"&lt;"&amp;P12,#REF!,"(10.152.26.32)",#REF!,"record_type=QUR")</f>
        <v>#REF!</v>
      </c>
      <c r="E12" t="e">
        <f>COUNTIFS(#REF!,"&gt;"&amp;O12,#REF!,"&lt;"&amp;P12,#REF!,"(10.152.26.30)",#REF!,"record_type=DER")</f>
        <v>#REF!</v>
      </c>
      <c r="F12" t="e">
        <f>COUNTIFS(#REF!,"&gt;"&amp;O12,#REF!,"&lt;"&amp;P12,#REF!,"(10.152.26.31)",#REF!,"record_type=DER")</f>
        <v>#REF!</v>
      </c>
      <c r="G12" t="e">
        <f>COUNTIFS(#REF!,"&gt;"&amp;O12,#REF!,"&lt;"&amp;P12,#REF!,"(10.152.26.32)",#REF!,"record_type=DER")</f>
        <v>#REF!</v>
      </c>
      <c r="H12" t="e">
        <f>COUNTIFS(#REF!,"&gt;"&amp;O12,#REF!,"&lt;"&amp;P12,#REF!,"(10.152.26.30)",#REF!,"record_type=QUR")</f>
        <v>#REF!</v>
      </c>
      <c r="I12" t="e">
        <f>COUNTIFS(#REF!,"&gt;"&amp;O12,#REF!,"&lt;"&amp;P12,#REF!,"(10.152.26.31)",#REF!,"record_type=QUR")</f>
        <v>#REF!</v>
      </c>
      <c r="J12" t="e">
        <f>COUNTIFS(#REF!,"&gt;"&amp;O12,#REF!,"&lt;"&amp;P12,#REF!,"(10.152.26.32)",#REF!,"record_type=QUR")</f>
        <v>#REF!</v>
      </c>
      <c r="K12" t="e">
        <f>COUNTIFS(#REF!,"&gt;"&amp;O12,#REF!,"&lt;"&amp;P12,#REF!,"(10.152.26.30)",#REF!,"record_type=DER")</f>
        <v>#REF!</v>
      </c>
      <c r="L12" t="e">
        <f>COUNTIFS(#REF!,"&gt;"&amp;O12,#REF!,"&lt;"&amp;P12,#REF!,"(10.152.26.31)",#REF!,"record_type=DER")</f>
        <v>#REF!</v>
      </c>
      <c r="M12" t="e">
        <f>COUNTIFS(#REF!,"&gt;"&amp;O12,#REF!,"&lt;"&amp;P12,#REF!,"(10.152.26.32)",#REF!,"record_type=DER")</f>
        <v>#REF!</v>
      </c>
      <c r="O12" t="str">
        <f t="shared" si="0"/>
        <v>08:01:11</v>
      </c>
      <c r="P12" t="str">
        <f t="shared" si="1"/>
        <v>08:01:20</v>
      </c>
    </row>
    <row r="13" spans="1:16" x14ac:dyDescent="0.25">
      <c r="A13" s="3" t="s">
        <v>21</v>
      </c>
      <c r="B13" t="e">
        <f>COUNTIFS(#REF!,"&gt;"&amp;O13,#REF!,"&lt;"&amp;P13,#REF!,"(10.152.26.30)",#REF!,"record_type=QUR")</f>
        <v>#REF!</v>
      </c>
      <c r="C13" t="e">
        <f>COUNTIFS(#REF!,"&gt;"&amp;O13,#REF!,"&lt;"&amp;P13,#REF!,"(10.152.26.31)",#REF!,"record_type=QUR")</f>
        <v>#REF!</v>
      </c>
      <c r="D13" t="e">
        <f>COUNTIFS(#REF!,"&gt;"&amp;O13,#REF!,"&lt;"&amp;P13,#REF!,"(10.152.26.32)",#REF!,"record_type=QUR")</f>
        <v>#REF!</v>
      </c>
      <c r="E13" t="e">
        <f>COUNTIFS(#REF!,"&gt;"&amp;O13,#REF!,"&lt;"&amp;P13,#REF!,"(10.152.26.30)",#REF!,"record_type=DER")</f>
        <v>#REF!</v>
      </c>
      <c r="F13" t="e">
        <f>COUNTIFS(#REF!,"&gt;"&amp;O13,#REF!,"&lt;"&amp;P13,#REF!,"(10.152.26.31)",#REF!,"record_type=DER")</f>
        <v>#REF!</v>
      </c>
      <c r="G13" t="e">
        <f>COUNTIFS(#REF!,"&gt;"&amp;O13,#REF!,"&lt;"&amp;P13,#REF!,"(10.152.26.32)",#REF!,"record_type=DER")</f>
        <v>#REF!</v>
      </c>
      <c r="H13" t="e">
        <f>COUNTIFS(#REF!,"&gt;"&amp;O13,#REF!,"&lt;"&amp;P13,#REF!,"(10.152.26.30)",#REF!,"record_type=QUR")</f>
        <v>#REF!</v>
      </c>
      <c r="I13" t="e">
        <f>COUNTIFS(#REF!,"&gt;"&amp;O13,#REF!,"&lt;"&amp;P13,#REF!,"(10.152.26.31)",#REF!,"record_type=QUR")</f>
        <v>#REF!</v>
      </c>
      <c r="J13" t="e">
        <f>COUNTIFS(#REF!,"&gt;"&amp;O13,#REF!,"&lt;"&amp;P13,#REF!,"(10.152.26.32)",#REF!,"record_type=QUR")</f>
        <v>#REF!</v>
      </c>
      <c r="K13" t="e">
        <f>COUNTIFS(#REF!,"&gt;"&amp;O13,#REF!,"&lt;"&amp;P13,#REF!,"(10.152.26.30)",#REF!,"record_type=DER")</f>
        <v>#REF!</v>
      </c>
      <c r="L13" t="e">
        <f>COUNTIFS(#REF!,"&gt;"&amp;O13,#REF!,"&lt;"&amp;P13,#REF!,"(10.152.26.31)",#REF!,"record_type=DER")</f>
        <v>#REF!</v>
      </c>
      <c r="M13" t="e">
        <f>COUNTIFS(#REF!,"&gt;"&amp;O13,#REF!,"&lt;"&amp;P13,#REF!,"(10.152.26.32)",#REF!,"record_type=DER")</f>
        <v>#REF!</v>
      </c>
      <c r="O13" t="str">
        <f t="shared" si="0"/>
        <v>08:01:21</v>
      </c>
      <c r="P13" t="str">
        <f t="shared" si="1"/>
        <v>08:01:30</v>
      </c>
    </row>
    <row r="14" spans="1:16" x14ac:dyDescent="0.25">
      <c r="A14" s="3" t="s">
        <v>22</v>
      </c>
      <c r="B14" t="e">
        <f>COUNTIFS(#REF!,"&gt;"&amp;O14,#REF!,"&lt;"&amp;P14,#REF!,"(10.152.26.30)",#REF!,"record_type=QUR")</f>
        <v>#REF!</v>
      </c>
      <c r="C14" t="e">
        <f>COUNTIFS(#REF!,"&gt;"&amp;O14,#REF!,"&lt;"&amp;P14,#REF!,"(10.152.26.31)",#REF!,"record_type=QUR")</f>
        <v>#REF!</v>
      </c>
      <c r="D14" t="e">
        <f>COUNTIFS(#REF!,"&gt;"&amp;O14,#REF!,"&lt;"&amp;P14,#REF!,"(10.152.26.32)",#REF!,"record_type=QUR")</f>
        <v>#REF!</v>
      </c>
      <c r="E14" t="e">
        <f>COUNTIFS(#REF!,"&gt;"&amp;O14,#REF!,"&lt;"&amp;P14,#REF!,"(10.152.26.30)",#REF!,"record_type=DER")</f>
        <v>#REF!</v>
      </c>
      <c r="F14" t="e">
        <f>COUNTIFS(#REF!,"&gt;"&amp;O14,#REF!,"&lt;"&amp;P14,#REF!,"(10.152.26.31)",#REF!,"record_type=DER")</f>
        <v>#REF!</v>
      </c>
      <c r="G14" t="e">
        <f>COUNTIFS(#REF!,"&gt;"&amp;O14,#REF!,"&lt;"&amp;P14,#REF!,"(10.152.26.32)",#REF!,"record_type=DER")</f>
        <v>#REF!</v>
      </c>
      <c r="H14" t="e">
        <f>COUNTIFS(#REF!,"&gt;"&amp;O14,#REF!,"&lt;"&amp;P14,#REF!,"(10.152.26.30)",#REF!,"record_type=QUR")</f>
        <v>#REF!</v>
      </c>
      <c r="I14" t="e">
        <f>COUNTIFS(#REF!,"&gt;"&amp;O14,#REF!,"&lt;"&amp;P14,#REF!,"(10.152.26.31)",#REF!,"record_type=QUR")</f>
        <v>#REF!</v>
      </c>
      <c r="J14" t="e">
        <f>COUNTIFS(#REF!,"&gt;"&amp;O14,#REF!,"&lt;"&amp;P14,#REF!,"(10.152.26.32)",#REF!,"record_type=QUR")</f>
        <v>#REF!</v>
      </c>
      <c r="K14" t="e">
        <f>COUNTIFS(#REF!,"&gt;"&amp;O14,#REF!,"&lt;"&amp;P14,#REF!,"(10.152.26.30)",#REF!,"record_type=DER")</f>
        <v>#REF!</v>
      </c>
      <c r="L14" t="e">
        <f>COUNTIFS(#REF!,"&gt;"&amp;O14,#REF!,"&lt;"&amp;P14,#REF!,"(10.152.26.31)",#REF!,"record_type=DER")</f>
        <v>#REF!</v>
      </c>
      <c r="M14" t="e">
        <f>COUNTIFS(#REF!,"&gt;"&amp;O14,#REF!,"&lt;"&amp;P14,#REF!,"(10.152.26.32)",#REF!,"record_type=DER")</f>
        <v>#REF!</v>
      </c>
      <c r="O14" t="str">
        <f t="shared" si="0"/>
        <v>08:01:31</v>
      </c>
      <c r="P14" t="str">
        <f t="shared" si="1"/>
        <v>08:01:40</v>
      </c>
    </row>
    <row r="15" spans="1:16" x14ac:dyDescent="0.25">
      <c r="A15" s="3" t="s">
        <v>23</v>
      </c>
      <c r="B15" t="e">
        <f>COUNTIFS(#REF!,"&gt;"&amp;O15,#REF!,"&lt;"&amp;P15,#REF!,"(10.152.26.30)",#REF!,"record_type=QUR")</f>
        <v>#REF!</v>
      </c>
      <c r="C15" t="e">
        <f>COUNTIFS(#REF!,"&gt;"&amp;O15,#REF!,"&lt;"&amp;P15,#REF!,"(10.152.26.31)",#REF!,"record_type=QUR")</f>
        <v>#REF!</v>
      </c>
      <c r="D15" t="e">
        <f>COUNTIFS(#REF!,"&gt;"&amp;O15,#REF!,"&lt;"&amp;P15,#REF!,"(10.152.26.32)",#REF!,"record_type=QUR")</f>
        <v>#REF!</v>
      </c>
      <c r="E15" t="e">
        <f>COUNTIFS(#REF!,"&gt;"&amp;O15,#REF!,"&lt;"&amp;P15,#REF!,"(10.152.26.30)",#REF!,"record_type=DER")</f>
        <v>#REF!</v>
      </c>
      <c r="F15" t="e">
        <f>COUNTIFS(#REF!,"&gt;"&amp;O15,#REF!,"&lt;"&amp;P15,#REF!,"(10.152.26.31)",#REF!,"record_type=DER")</f>
        <v>#REF!</v>
      </c>
      <c r="G15" t="e">
        <f>COUNTIFS(#REF!,"&gt;"&amp;O15,#REF!,"&lt;"&amp;P15,#REF!,"(10.152.26.32)",#REF!,"record_type=DER")</f>
        <v>#REF!</v>
      </c>
      <c r="H15" t="e">
        <f>COUNTIFS(#REF!,"&gt;"&amp;O15,#REF!,"&lt;"&amp;P15,#REF!,"(10.152.26.30)",#REF!,"record_type=QUR")</f>
        <v>#REF!</v>
      </c>
      <c r="I15" t="e">
        <f>COUNTIFS(#REF!,"&gt;"&amp;O15,#REF!,"&lt;"&amp;P15,#REF!,"(10.152.26.31)",#REF!,"record_type=QUR")</f>
        <v>#REF!</v>
      </c>
      <c r="J15" t="e">
        <f>COUNTIFS(#REF!,"&gt;"&amp;O15,#REF!,"&lt;"&amp;P15,#REF!,"(10.152.26.32)",#REF!,"record_type=QUR")</f>
        <v>#REF!</v>
      </c>
      <c r="K15" t="e">
        <f>COUNTIFS(#REF!,"&gt;"&amp;O15,#REF!,"&lt;"&amp;P15,#REF!,"(10.152.26.30)",#REF!,"record_type=DER")</f>
        <v>#REF!</v>
      </c>
      <c r="L15" t="e">
        <f>COUNTIFS(#REF!,"&gt;"&amp;O15,#REF!,"&lt;"&amp;P15,#REF!,"(10.152.26.31)",#REF!,"record_type=DER")</f>
        <v>#REF!</v>
      </c>
      <c r="M15" t="e">
        <f>COUNTIFS(#REF!,"&gt;"&amp;O15,#REF!,"&lt;"&amp;P15,#REF!,"(10.152.26.32)",#REF!,"record_type=DER")</f>
        <v>#REF!</v>
      </c>
      <c r="O15" t="str">
        <f t="shared" si="0"/>
        <v>08:01:41</v>
      </c>
      <c r="P15" t="str">
        <f t="shared" si="1"/>
        <v>08:01:50</v>
      </c>
    </row>
    <row r="16" spans="1:16" x14ac:dyDescent="0.25">
      <c r="A16" s="3" t="s">
        <v>24</v>
      </c>
      <c r="B16" t="e">
        <f>COUNTIFS(#REF!,"&gt;"&amp;O16,#REF!,"&lt;"&amp;P16,#REF!,"(10.152.26.30)",#REF!,"record_type=QUR")</f>
        <v>#REF!</v>
      </c>
      <c r="C16" t="e">
        <f>COUNTIFS(#REF!,"&gt;"&amp;O16,#REF!,"&lt;"&amp;P16,#REF!,"(10.152.26.31)",#REF!,"record_type=QUR")</f>
        <v>#REF!</v>
      </c>
      <c r="D16" t="e">
        <f>COUNTIFS(#REF!,"&gt;"&amp;O16,#REF!,"&lt;"&amp;P16,#REF!,"(10.152.26.32)",#REF!,"record_type=QUR")</f>
        <v>#REF!</v>
      </c>
      <c r="E16" t="e">
        <f>COUNTIFS(#REF!,"&gt;"&amp;O16,#REF!,"&lt;"&amp;P16,#REF!,"(10.152.26.30)",#REF!,"record_type=DER")</f>
        <v>#REF!</v>
      </c>
      <c r="F16" t="e">
        <f>COUNTIFS(#REF!,"&gt;"&amp;O16,#REF!,"&lt;"&amp;P16,#REF!,"(10.152.26.31)",#REF!,"record_type=DER")</f>
        <v>#REF!</v>
      </c>
      <c r="G16" t="e">
        <f>COUNTIFS(#REF!,"&gt;"&amp;O16,#REF!,"&lt;"&amp;P16,#REF!,"(10.152.26.32)",#REF!,"record_type=DER")</f>
        <v>#REF!</v>
      </c>
      <c r="H16" t="e">
        <f>COUNTIFS(#REF!,"&gt;"&amp;O16,#REF!,"&lt;"&amp;P16,#REF!,"(10.152.26.30)",#REF!,"record_type=QUR")</f>
        <v>#REF!</v>
      </c>
      <c r="I16" t="e">
        <f>COUNTIFS(#REF!,"&gt;"&amp;O16,#REF!,"&lt;"&amp;P16,#REF!,"(10.152.26.31)",#REF!,"record_type=QUR")</f>
        <v>#REF!</v>
      </c>
      <c r="J16" t="e">
        <f>COUNTIFS(#REF!,"&gt;"&amp;O16,#REF!,"&lt;"&amp;P16,#REF!,"(10.152.26.32)",#REF!,"record_type=QUR")</f>
        <v>#REF!</v>
      </c>
      <c r="K16" t="e">
        <f>COUNTIFS(#REF!,"&gt;"&amp;O16,#REF!,"&lt;"&amp;P16,#REF!,"(10.152.26.30)",#REF!,"record_type=DER")</f>
        <v>#REF!</v>
      </c>
      <c r="L16" t="e">
        <f>COUNTIFS(#REF!,"&gt;"&amp;O16,#REF!,"&lt;"&amp;P16,#REF!,"(10.152.26.31)",#REF!,"record_type=DER")</f>
        <v>#REF!</v>
      </c>
      <c r="M16" t="e">
        <f>COUNTIFS(#REF!,"&gt;"&amp;O16,#REF!,"&lt;"&amp;P16,#REF!,"(10.152.26.32)",#REF!,"record_type=DER")</f>
        <v>#REF!</v>
      </c>
      <c r="O16" t="str">
        <f t="shared" si="0"/>
        <v>08:01:51</v>
      </c>
      <c r="P16" t="str">
        <f t="shared" si="1"/>
        <v>08:02:00</v>
      </c>
    </row>
    <row r="17" spans="1:16" x14ac:dyDescent="0.25">
      <c r="A17" s="3" t="s">
        <v>25</v>
      </c>
      <c r="B17" t="e">
        <f>COUNTIFS(#REF!,"&gt;"&amp;O17,#REF!,"&lt;"&amp;P17,#REF!,"(10.152.26.30)",#REF!,"record_type=QUR")</f>
        <v>#REF!</v>
      </c>
      <c r="C17" t="e">
        <f>COUNTIFS(#REF!,"&gt;"&amp;O17,#REF!,"&lt;"&amp;P17,#REF!,"(10.152.26.31)",#REF!,"record_type=QUR")</f>
        <v>#REF!</v>
      </c>
      <c r="D17" t="e">
        <f>COUNTIFS(#REF!,"&gt;"&amp;O17,#REF!,"&lt;"&amp;P17,#REF!,"(10.152.26.32)",#REF!,"record_type=QUR")</f>
        <v>#REF!</v>
      </c>
      <c r="E17" t="e">
        <f>COUNTIFS(#REF!,"&gt;"&amp;O17,#REF!,"&lt;"&amp;P17,#REF!,"(10.152.26.30)",#REF!,"record_type=DER")</f>
        <v>#REF!</v>
      </c>
      <c r="F17" t="e">
        <f>COUNTIFS(#REF!,"&gt;"&amp;O17,#REF!,"&lt;"&amp;P17,#REF!,"(10.152.26.31)",#REF!,"record_type=DER")</f>
        <v>#REF!</v>
      </c>
      <c r="G17" t="e">
        <f>COUNTIFS(#REF!,"&gt;"&amp;O17,#REF!,"&lt;"&amp;P17,#REF!,"(10.152.26.32)",#REF!,"record_type=DER")</f>
        <v>#REF!</v>
      </c>
      <c r="H17" t="e">
        <f>COUNTIFS(#REF!,"&gt;"&amp;O17,#REF!,"&lt;"&amp;P17,#REF!,"(10.152.26.30)",#REF!,"record_type=QUR")</f>
        <v>#REF!</v>
      </c>
      <c r="I17" t="e">
        <f>COUNTIFS(#REF!,"&gt;"&amp;O17,#REF!,"&lt;"&amp;P17,#REF!,"(10.152.26.31)",#REF!,"record_type=QUR")</f>
        <v>#REF!</v>
      </c>
      <c r="J17" t="e">
        <f>COUNTIFS(#REF!,"&gt;"&amp;O17,#REF!,"&lt;"&amp;P17,#REF!,"(10.152.26.32)",#REF!,"record_type=QUR")</f>
        <v>#REF!</v>
      </c>
      <c r="K17" t="e">
        <f>COUNTIFS(#REF!,"&gt;"&amp;O17,#REF!,"&lt;"&amp;P17,#REF!,"(10.152.26.30)",#REF!,"record_type=DER")</f>
        <v>#REF!</v>
      </c>
      <c r="L17" t="e">
        <f>COUNTIFS(#REF!,"&gt;"&amp;O17,#REF!,"&lt;"&amp;P17,#REF!,"(10.152.26.31)",#REF!,"record_type=DER")</f>
        <v>#REF!</v>
      </c>
      <c r="M17" t="e">
        <f>COUNTIFS(#REF!,"&gt;"&amp;O17,#REF!,"&lt;"&amp;P17,#REF!,"(10.152.26.32)",#REF!,"record_type=DER")</f>
        <v>#REF!</v>
      </c>
      <c r="O17" t="str">
        <f t="shared" si="0"/>
        <v>08:02:00</v>
      </c>
      <c r="P17" t="str">
        <f t="shared" si="1"/>
        <v>08:02:10</v>
      </c>
    </row>
    <row r="18" spans="1:16" x14ac:dyDescent="0.25">
      <c r="A18" s="3" t="s">
        <v>26</v>
      </c>
      <c r="B18" t="e">
        <f>COUNTIFS(#REF!,"&gt;"&amp;O18,#REF!,"&lt;"&amp;P18,#REF!,"(10.152.26.30)",#REF!,"record_type=QUR")</f>
        <v>#REF!</v>
      </c>
      <c r="C18" t="e">
        <f>COUNTIFS(#REF!,"&gt;"&amp;O18,#REF!,"&lt;"&amp;P18,#REF!,"(10.152.26.31)",#REF!,"record_type=QUR")</f>
        <v>#REF!</v>
      </c>
      <c r="D18" t="e">
        <f>COUNTIFS(#REF!,"&gt;"&amp;O18,#REF!,"&lt;"&amp;P18,#REF!,"(10.152.26.32)",#REF!,"record_type=QUR")</f>
        <v>#REF!</v>
      </c>
      <c r="E18" t="e">
        <f>COUNTIFS(#REF!,"&gt;"&amp;O18,#REF!,"&lt;"&amp;P18,#REF!,"(10.152.26.30)",#REF!,"record_type=DER")</f>
        <v>#REF!</v>
      </c>
      <c r="F18" t="e">
        <f>COUNTIFS(#REF!,"&gt;"&amp;O18,#REF!,"&lt;"&amp;P18,#REF!,"(10.152.26.31)",#REF!,"record_type=DER")</f>
        <v>#REF!</v>
      </c>
      <c r="G18" t="e">
        <f>COUNTIFS(#REF!,"&gt;"&amp;O18,#REF!,"&lt;"&amp;P18,#REF!,"(10.152.26.32)",#REF!,"record_type=DER")</f>
        <v>#REF!</v>
      </c>
      <c r="H18" t="e">
        <f>COUNTIFS(#REF!,"&gt;"&amp;O18,#REF!,"&lt;"&amp;P18,#REF!,"(10.152.26.30)",#REF!,"record_type=QUR")</f>
        <v>#REF!</v>
      </c>
      <c r="I18" t="e">
        <f>COUNTIFS(#REF!,"&gt;"&amp;O18,#REF!,"&lt;"&amp;P18,#REF!,"(10.152.26.31)",#REF!,"record_type=QUR")</f>
        <v>#REF!</v>
      </c>
      <c r="J18" t="e">
        <f>COUNTIFS(#REF!,"&gt;"&amp;O18,#REF!,"&lt;"&amp;P18,#REF!,"(10.152.26.32)",#REF!,"record_type=QUR")</f>
        <v>#REF!</v>
      </c>
      <c r="K18" t="e">
        <f>COUNTIFS(#REF!,"&gt;"&amp;O18,#REF!,"&lt;"&amp;P18,#REF!,"(10.152.26.30)",#REF!,"record_type=DER")</f>
        <v>#REF!</v>
      </c>
      <c r="L18" t="e">
        <f>COUNTIFS(#REF!,"&gt;"&amp;O18,#REF!,"&lt;"&amp;P18,#REF!,"(10.152.26.31)",#REF!,"record_type=DER")</f>
        <v>#REF!</v>
      </c>
      <c r="M18" t="e">
        <f>COUNTIFS(#REF!,"&gt;"&amp;O18,#REF!,"&lt;"&amp;P18,#REF!,"(10.152.26.32)",#REF!,"record_type=DER")</f>
        <v>#REF!</v>
      </c>
      <c r="O18" t="str">
        <f t="shared" si="0"/>
        <v>08:02:11</v>
      </c>
      <c r="P18" t="str">
        <f t="shared" si="1"/>
        <v>08:02:20</v>
      </c>
    </row>
    <row r="19" spans="1:16" x14ac:dyDescent="0.25">
      <c r="A19" s="3" t="s">
        <v>27</v>
      </c>
      <c r="B19" t="e">
        <f>COUNTIFS(#REF!,"&gt;"&amp;O19,#REF!,"&lt;"&amp;P19,#REF!,"(10.152.26.30)",#REF!,"record_type=QUR")</f>
        <v>#REF!</v>
      </c>
      <c r="C19" t="e">
        <f>COUNTIFS(#REF!,"&gt;"&amp;O19,#REF!,"&lt;"&amp;P19,#REF!,"(10.152.26.31)",#REF!,"record_type=QUR")</f>
        <v>#REF!</v>
      </c>
      <c r="D19" t="e">
        <f>COUNTIFS(#REF!,"&gt;"&amp;O19,#REF!,"&lt;"&amp;P19,#REF!,"(10.152.26.32)",#REF!,"record_type=QUR")</f>
        <v>#REF!</v>
      </c>
      <c r="E19" t="e">
        <f>COUNTIFS(#REF!,"&gt;"&amp;O19,#REF!,"&lt;"&amp;P19,#REF!,"(10.152.26.30)",#REF!,"record_type=DER")</f>
        <v>#REF!</v>
      </c>
      <c r="F19" t="e">
        <f>COUNTIFS(#REF!,"&gt;"&amp;O19,#REF!,"&lt;"&amp;P19,#REF!,"(10.152.26.31)",#REF!,"record_type=DER")</f>
        <v>#REF!</v>
      </c>
      <c r="G19" t="e">
        <f>COUNTIFS(#REF!,"&gt;"&amp;O19,#REF!,"&lt;"&amp;P19,#REF!,"(10.152.26.32)",#REF!,"record_type=DER")</f>
        <v>#REF!</v>
      </c>
      <c r="H19" t="e">
        <f>COUNTIFS(#REF!,"&gt;"&amp;O19,#REF!,"&lt;"&amp;P19,#REF!,"(10.152.26.30)",#REF!,"record_type=QUR")</f>
        <v>#REF!</v>
      </c>
      <c r="I19" t="e">
        <f>COUNTIFS(#REF!,"&gt;"&amp;O19,#REF!,"&lt;"&amp;P19,#REF!,"(10.152.26.31)",#REF!,"record_type=QUR")</f>
        <v>#REF!</v>
      </c>
      <c r="J19" t="e">
        <f>COUNTIFS(#REF!,"&gt;"&amp;O19,#REF!,"&lt;"&amp;P19,#REF!,"(10.152.26.32)",#REF!,"record_type=QUR")</f>
        <v>#REF!</v>
      </c>
      <c r="K19" t="e">
        <f>COUNTIFS(#REF!,"&gt;"&amp;O19,#REF!,"&lt;"&amp;P19,#REF!,"(10.152.26.30)",#REF!,"record_type=DER")</f>
        <v>#REF!</v>
      </c>
      <c r="L19" t="e">
        <f>COUNTIFS(#REF!,"&gt;"&amp;O19,#REF!,"&lt;"&amp;P19,#REF!,"(10.152.26.31)",#REF!,"record_type=DER")</f>
        <v>#REF!</v>
      </c>
      <c r="M19" t="e">
        <f>COUNTIFS(#REF!,"&gt;"&amp;O19,#REF!,"&lt;"&amp;P19,#REF!,"(10.152.26.32)",#REF!,"record_type=DER")</f>
        <v>#REF!</v>
      </c>
      <c r="O19" t="str">
        <f t="shared" si="0"/>
        <v>08:02:21</v>
      </c>
      <c r="P19" t="str">
        <f t="shared" si="1"/>
        <v>08:02:30</v>
      </c>
    </row>
    <row r="20" spans="1:16" x14ac:dyDescent="0.25">
      <c r="A20" s="3" t="s">
        <v>28</v>
      </c>
      <c r="B20" t="e">
        <f>COUNTIFS(#REF!,"&gt;"&amp;O20,#REF!,"&lt;"&amp;P20,#REF!,"(10.152.26.30)",#REF!,"record_type=QUR")</f>
        <v>#REF!</v>
      </c>
      <c r="C20" t="e">
        <f>COUNTIFS(#REF!,"&gt;"&amp;O20,#REF!,"&lt;"&amp;P20,#REF!,"(10.152.26.31)",#REF!,"record_type=QUR")</f>
        <v>#REF!</v>
      </c>
      <c r="D20" t="e">
        <f>COUNTIFS(#REF!,"&gt;"&amp;O20,#REF!,"&lt;"&amp;P20,#REF!,"(10.152.26.32)",#REF!,"record_type=QUR")</f>
        <v>#REF!</v>
      </c>
      <c r="E20" t="e">
        <f>COUNTIFS(#REF!,"&gt;"&amp;O20,#REF!,"&lt;"&amp;P20,#REF!,"(10.152.26.30)",#REF!,"record_type=DER")</f>
        <v>#REF!</v>
      </c>
      <c r="F20" t="e">
        <f>COUNTIFS(#REF!,"&gt;"&amp;O20,#REF!,"&lt;"&amp;P20,#REF!,"(10.152.26.31)",#REF!,"record_type=DER")</f>
        <v>#REF!</v>
      </c>
      <c r="G20" t="e">
        <f>COUNTIFS(#REF!,"&gt;"&amp;O20,#REF!,"&lt;"&amp;P20,#REF!,"(10.152.26.32)",#REF!,"record_type=DER")</f>
        <v>#REF!</v>
      </c>
      <c r="H20" t="e">
        <f>COUNTIFS(#REF!,"&gt;"&amp;O20,#REF!,"&lt;"&amp;P20,#REF!,"(10.152.26.30)",#REF!,"record_type=QUR")</f>
        <v>#REF!</v>
      </c>
      <c r="I20" t="e">
        <f>COUNTIFS(#REF!,"&gt;"&amp;O20,#REF!,"&lt;"&amp;P20,#REF!,"(10.152.26.31)",#REF!,"record_type=QUR")</f>
        <v>#REF!</v>
      </c>
      <c r="J20" t="e">
        <f>COUNTIFS(#REF!,"&gt;"&amp;O20,#REF!,"&lt;"&amp;P20,#REF!,"(10.152.26.32)",#REF!,"record_type=QUR")</f>
        <v>#REF!</v>
      </c>
      <c r="K20" t="e">
        <f>COUNTIFS(#REF!,"&gt;"&amp;O20,#REF!,"&lt;"&amp;P20,#REF!,"(10.152.26.30)",#REF!,"record_type=DER")</f>
        <v>#REF!</v>
      </c>
      <c r="L20" t="e">
        <f>COUNTIFS(#REF!,"&gt;"&amp;O20,#REF!,"&lt;"&amp;P20,#REF!,"(10.152.26.31)",#REF!,"record_type=DER")</f>
        <v>#REF!</v>
      </c>
      <c r="M20" t="e">
        <f>COUNTIFS(#REF!,"&gt;"&amp;O20,#REF!,"&lt;"&amp;P20,#REF!,"(10.152.26.32)",#REF!,"record_type=DER")</f>
        <v>#REF!</v>
      </c>
      <c r="O20" t="str">
        <f t="shared" si="0"/>
        <v>08:02:31</v>
      </c>
      <c r="P20" t="str">
        <f t="shared" si="1"/>
        <v>08:02:40</v>
      </c>
    </row>
    <row r="21" spans="1:16" x14ac:dyDescent="0.25">
      <c r="A21" s="3" t="s">
        <v>29</v>
      </c>
      <c r="B21" t="e">
        <f>COUNTIFS(#REF!,"&gt;"&amp;O21,#REF!,"&lt;"&amp;P21,#REF!,"(10.152.26.30)",#REF!,"record_type=QUR")</f>
        <v>#REF!</v>
      </c>
      <c r="C21" t="e">
        <f>COUNTIFS(#REF!,"&gt;"&amp;O21,#REF!,"&lt;"&amp;P21,#REF!,"(10.152.26.31)",#REF!,"record_type=QUR")</f>
        <v>#REF!</v>
      </c>
      <c r="D21" t="e">
        <f>COUNTIFS(#REF!,"&gt;"&amp;O21,#REF!,"&lt;"&amp;P21,#REF!,"(10.152.26.32)",#REF!,"record_type=QUR")</f>
        <v>#REF!</v>
      </c>
      <c r="E21" t="e">
        <f>COUNTIFS(#REF!,"&gt;"&amp;O21,#REF!,"&lt;"&amp;P21,#REF!,"(10.152.26.30)",#REF!,"record_type=DER")</f>
        <v>#REF!</v>
      </c>
      <c r="F21" t="e">
        <f>COUNTIFS(#REF!,"&gt;"&amp;O21,#REF!,"&lt;"&amp;P21,#REF!,"(10.152.26.31)",#REF!,"record_type=DER")</f>
        <v>#REF!</v>
      </c>
      <c r="G21" t="e">
        <f>COUNTIFS(#REF!,"&gt;"&amp;O21,#REF!,"&lt;"&amp;P21,#REF!,"(10.152.26.32)",#REF!,"record_type=DER")</f>
        <v>#REF!</v>
      </c>
      <c r="H21" t="e">
        <f>COUNTIFS(#REF!,"&gt;"&amp;O21,#REF!,"&lt;"&amp;P21,#REF!,"(10.152.26.30)",#REF!,"record_type=QUR")</f>
        <v>#REF!</v>
      </c>
      <c r="I21" t="e">
        <f>COUNTIFS(#REF!,"&gt;"&amp;O21,#REF!,"&lt;"&amp;P21,#REF!,"(10.152.26.31)",#REF!,"record_type=QUR")</f>
        <v>#REF!</v>
      </c>
      <c r="J21" t="e">
        <f>COUNTIFS(#REF!,"&gt;"&amp;O21,#REF!,"&lt;"&amp;P21,#REF!,"(10.152.26.32)",#REF!,"record_type=QUR")</f>
        <v>#REF!</v>
      </c>
      <c r="K21" t="e">
        <f>COUNTIFS(#REF!,"&gt;"&amp;O21,#REF!,"&lt;"&amp;P21,#REF!,"(10.152.26.30)",#REF!,"record_type=DER")</f>
        <v>#REF!</v>
      </c>
      <c r="L21" t="e">
        <f>COUNTIFS(#REF!,"&gt;"&amp;O21,#REF!,"&lt;"&amp;P21,#REF!,"(10.152.26.31)",#REF!,"record_type=DER")</f>
        <v>#REF!</v>
      </c>
      <c r="M21" t="e">
        <f>COUNTIFS(#REF!,"&gt;"&amp;O21,#REF!,"&lt;"&amp;P21,#REF!,"(10.152.26.32)",#REF!,"record_type=DER")</f>
        <v>#REF!</v>
      </c>
      <c r="O21" t="str">
        <f t="shared" si="0"/>
        <v>08:02:41</v>
      </c>
      <c r="P21" t="str">
        <f t="shared" si="1"/>
        <v>08:02:50</v>
      </c>
    </row>
    <row r="22" spans="1:16" x14ac:dyDescent="0.25">
      <c r="A22" s="3" t="s">
        <v>30</v>
      </c>
      <c r="B22" t="e">
        <f>COUNTIFS(#REF!,"&gt;"&amp;O22,#REF!,"&lt;"&amp;P22,#REF!,"(10.152.26.30)",#REF!,"record_type=QUR")</f>
        <v>#REF!</v>
      </c>
      <c r="C22" t="e">
        <f>COUNTIFS(#REF!,"&gt;"&amp;O22,#REF!,"&lt;"&amp;P22,#REF!,"(10.152.26.31)",#REF!,"record_type=QUR")</f>
        <v>#REF!</v>
      </c>
      <c r="D22" t="e">
        <f>COUNTIFS(#REF!,"&gt;"&amp;O22,#REF!,"&lt;"&amp;P22,#REF!,"(10.152.26.32)",#REF!,"record_type=QUR")</f>
        <v>#REF!</v>
      </c>
      <c r="E22" t="e">
        <f>COUNTIFS(#REF!,"&gt;"&amp;O22,#REF!,"&lt;"&amp;P22,#REF!,"(10.152.26.30)",#REF!,"record_type=DER")</f>
        <v>#REF!</v>
      </c>
      <c r="F22" t="e">
        <f>COUNTIFS(#REF!,"&gt;"&amp;O22,#REF!,"&lt;"&amp;P22,#REF!,"(10.152.26.31)",#REF!,"record_type=DER")</f>
        <v>#REF!</v>
      </c>
      <c r="G22" t="e">
        <f>COUNTIFS(#REF!,"&gt;"&amp;O22,#REF!,"&lt;"&amp;P22,#REF!,"(10.152.26.32)",#REF!,"record_type=DER")</f>
        <v>#REF!</v>
      </c>
      <c r="H22" t="e">
        <f>COUNTIFS(#REF!,"&gt;"&amp;O22,#REF!,"&lt;"&amp;P22,#REF!,"(10.152.26.30)",#REF!,"record_type=QUR")</f>
        <v>#REF!</v>
      </c>
      <c r="I22" t="e">
        <f>COUNTIFS(#REF!,"&gt;"&amp;O22,#REF!,"&lt;"&amp;P22,#REF!,"(10.152.26.31)",#REF!,"record_type=QUR")</f>
        <v>#REF!</v>
      </c>
      <c r="J22" t="e">
        <f>COUNTIFS(#REF!,"&gt;"&amp;O22,#REF!,"&lt;"&amp;P22,#REF!,"(10.152.26.32)",#REF!,"record_type=QUR")</f>
        <v>#REF!</v>
      </c>
      <c r="K22" t="e">
        <f>COUNTIFS(#REF!,"&gt;"&amp;O22,#REF!,"&lt;"&amp;P22,#REF!,"(10.152.26.30)",#REF!,"record_type=DER")</f>
        <v>#REF!</v>
      </c>
      <c r="L22" t="e">
        <f>COUNTIFS(#REF!,"&gt;"&amp;O22,#REF!,"&lt;"&amp;P22,#REF!,"(10.152.26.31)",#REF!,"record_type=DER")</f>
        <v>#REF!</v>
      </c>
      <c r="M22" t="e">
        <f>COUNTIFS(#REF!,"&gt;"&amp;O22,#REF!,"&lt;"&amp;P22,#REF!,"(10.152.26.32)",#REF!,"record_type=DER")</f>
        <v>#REF!</v>
      </c>
      <c r="O22" t="str">
        <f t="shared" si="0"/>
        <v>08:02:51</v>
      </c>
      <c r="P22" t="str">
        <f t="shared" si="1"/>
        <v>08:03:00</v>
      </c>
    </row>
    <row r="23" spans="1:16" x14ac:dyDescent="0.25">
      <c r="A23" s="3" t="s">
        <v>31</v>
      </c>
      <c r="B23" t="e">
        <f>COUNTIFS(#REF!,"&gt;"&amp;O23,#REF!,"&lt;"&amp;P23,#REF!,"(10.152.26.30)",#REF!,"record_type=QUR")</f>
        <v>#REF!</v>
      </c>
      <c r="C23" t="e">
        <f>COUNTIFS(#REF!,"&gt;"&amp;O23,#REF!,"&lt;"&amp;P23,#REF!,"(10.152.26.31)",#REF!,"record_type=QUR")</f>
        <v>#REF!</v>
      </c>
      <c r="D23" t="e">
        <f>COUNTIFS(#REF!,"&gt;"&amp;O23,#REF!,"&lt;"&amp;P23,#REF!,"(10.152.26.32)",#REF!,"record_type=QUR")</f>
        <v>#REF!</v>
      </c>
      <c r="E23" t="e">
        <f>COUNTIFS(#REF!,"&gt;"&amp;O23,#REF!,"&lt;"&amp;P23,#REF!,"(10.152.26.30)",#REF!,"record_type=DER")</f>
        <v>#REF!</v>
      </c>
      <c r="F23" t="e">
        <f>COUNTIFS(#REF!,"&gt;"&amp;O23,#REF!,"&lt;"&amp;P23,#REF!,"(10.152.26.31)",#REF!,"record_type=DER")</f>
        <v>#REF!</v>
      </c>
      <c r="G23" t="e">
        <f>COUNTIFS(#REF!,"&gt;"&amp;O23,#REF!,"&lt;"&amp;P23,#REF!,"(10.152.26.32)",#REF!,"record_type=DER")</f>
        <v>#REF!</v>
      </c>
      <c r="H23" t="e">
        <f>COUNTIFS(#REF!,"&gt;"&amp;O23,#REF!,"&lt;"&amp;P23,#REF!,"(10.152.26.30)",#REF!,"record_type=QUR")</f>
        <v>#REF!</v>
      </c>
      <c r="I23" t="e">
        <f>COUNTIFS(#REF!,"&gt;"&amp;O23,#REF!,"&lt;"&amp;P23,#REF!,"(10.152.26.31)",#REF!,"record_type=QUR")</f>
        <v>#REF!</v>
      </c>
      <c r="J23" t="e">
        <f>COUNTIFS(#REF!,"&gt;"&amp;O23,#REF!,"&lt;"&amp;P23,#REF!,"(10.152.26.32)",#REF!,"record_type=QUR")</f>
        <v>#REF!</v>
      </c>
      <c r="K23" t="e">
        <f>COUNTIFS(#REF!,"&gt;"&amp;O23,#REF!,"&lt;"&amp;P23,#REF!,"(10.152.26.30)",#REF!,"record_type=DER")</f>
        <v>#REF!</v>
      </c>
      <c r="L23" t="e">
        <f>COUNTIFS(#REF!,"&gt;"&amp;O23,#REF!,"&lt;"&amp;P23,#REF!,"(10.152.26.31)",#REF!,"record_type=DER")</f>
        <v>#REF!</v>
      </c>
      <c r="M23" t="e">
        <f>COUNTIFS(#REF!,"&gt;"&amp;O23,#REF!,"&lt;"&amp;P23,#REF!,"(10.152.26.32)",#REF!,"record_type=DER")</f>
        <v>#REF!</v>
      </c>
      <c r="O23" t="str">
        <f t="shared" si="0"/>
        <v>08:03:00</v>
      </c>
      <c r="P23" t="str">
        <f t="shared" si="1"/>
        <v>08:03:10</v>
      </c>
    </row>
    <row r="24" spans="1:16" x14ac:dyDescent="0.25">
      <c r="A24" s="3" t="s">
        <v>32</v>
      </c>
      <c r="B24" t="e">
        <f>COUNTIFS(#REF!,"&gt;"&amp;O24,#REF!,"&lt;"&amp;P24,#REF!,"(10.152.26.30)",#REF!,"record_type=QUR")</f>
        <v>#REF!</v>
      </c>
      <c r="C24" t="e">
        <f>COUNTIFS(#REF!,"&gt;"&amp;O24,#REF!,"&lt;"&amp;P24,#REF!,"(10.152.26.31)",#REF!,"record_type=QUR")</f>
        <v>#REF!</v>
      </c>
      <c r="D24" t="e">
        <f>COUNTIFS(#REF!,"&gt;"&amp;O24,#REF!,"&lt;"&amp;P24,#REF!,"(10.152.26.32)",#REF!,"record_type=QUR")</f>
        <v>#REF!</v>
      </c>
      <c r="E24" t="e">
        <f>COUNTIFS(#REF!,"&gt;"&amp;O24,#REF!,"&lt;"&amp;P24,#REF!,"(10.152.26.30)",#REF!,"record_type=DER")</f>
        <v>#REF!</v>
      </c>
      <c r="F24" t="e">
        <f>COUNTIFS(#REF!,"&gt;"&amp;O24,#REF!,"&lt;"&amp;P24,#REF!,"(10.152.26.31)",#REF!,"record_type=DER")</f>
        <v>#REF!</v>
      </c>
      <c r="G24" t="e">
        <f>COUNTIFS(#REF!,"&gt;"&amp;O24,#REF!,"&lt;"&amp;P24,#REF!,"(10.152.26.32)",#REF!,"record_type=DER")</f>
        <v>#REF!</v>
      </c>
      <c r="H24" t="e">
        <f>COUNTIFS(#REF!,"&gt;"&amp;O24,#REF!,"&lt;"&amp;P24,#REF!,"(10.152.26.30)",#REF!,"record_type=QUR")</f>
        <v>#REF!</v>
      </c>
      <c r="I24" t="e">
        <f>COUNTIFS(#REF!,"&gt;"&amp;O24,#REF!,"&lt;"&amp;P24,#REF!,"(10.152.26.31)",#REF!,"record_type=QUR")</f>
        <v>#REF!</v>
      </c>
      <c r="J24" t="e">
        <f>COUNTIFS(#REF!,"&gt;"&amp;O24,#REF!,"&lt;"&amp;P24,#REF!,"(10.152.26.32)",#REF!,"record_type=QUR")</f>
        <v>#REF!</v>
      </c>
      <c r="K24" t="e">
        <f>COUNTIFS(#REF!,"&gt;"&amp;O24,#REF!,"&lt;"&amp;P24,#REF!,"(10.152.26.30)",#REF!,"record_type=DER")</f>
        <v>#REF!</v>
      </c>
      <c r="L24" t="e">
        <f>COUNTIFS(#REF!,"&gt;"&amp;O24,#REF!,"&lt;"&amp;P24,#REF!,"(10.152.26.31)",#REF!,"record_type=DER")</f>
        <v>#REF!</v>
      </c>
      <c r="M24" t="e">
        <f>COUNTIFS(#REF!,"&gt;"&amp;O24,#REF!,"&lt;"&amp;P24,#REF!,"(10.152.26.32)",#REF!,"record_type=DER")</f>
        <v>#REF!</v>
      </c>
      <c r="O24" t="str">
        <f t="shared" si="0"/>
        <v>08:03:11</v>
      </c>
      <c r="P24" t="str">
        <f t="shared" si="1"/>
        <v>08:03:20</v>
      </c>
    </row>
    <row r="25" spans="1:16" x14ac:dyDescent="0.25">
      <c r="A25" s="3" t="s">
        <v>33</v>
      </c>
      <c r="B25" t="e">
        <f>COUNTIFS(#REF!,"&gt;"&amp;O25,#REF!,"&lt;"&amp;P25,#REF!,"(10.152.26.30)",#REF!,"record_type=QUR")</f>
        <v>#REF!</v>
      </c>
      <c r="C25" t="e">
        <f>COUNTIFS(#REF!,"&gt;"&amp;O25,#REF!,"&lt;"&amp;P25,#REF!,"(10.152.26.31)",#REF!,"record_type=QUR")</f>
        <v>#REF!</v>
      </c>
      <c r="D25" t="e">
        <f>COUNTIFS(#REF!,"&gt;"&amp;O25,#REF!,"&lt;"&amp;P25,#REF!,"(10.152.26.32)",#REF!,"record_type=QUR")</f>
        <v>#REF!</v>
      </c>
      <c r="E25" t="e">
        <f>COUNTIFS(#REF!,"&gt;"&amp;O25,#REF!,"&lt;"&amp;P25,#REF!,"(10.152.26.30)",#REF!,"record_type=DER")</f>
        <v>#REF!</v>
      </c>
      <c r="F25" t="e">
        <f>COUNTIFS(#REF!,"&gt;"&amp;O25,#REF!,"&lt;"&amp;P25,#REF!,"(10.152.26.31)",#REF!,"record_type=DER")</f>
        <v>#REF!</v>
      </c>
      <c r="G25" t="e">
        <f>COUNTIFS(#REF!,"&gt;"&amp;O25,#REF!,"&lt;"&amp;P25,#REF!,"(10.152.26.32)",#REF!,"record_type=DER")</f>
        <v>#REF!</v>
      </c>
      <c r="H25" t="e">
        <f>COUNTIFS(#REF!,"&gt;"&amp;O25,#REF!,"&lt;"&amp;P25,#REF!,"(10.152.26.30)",#REF!,"record_type=QUR")</f>
        <v>#REF!</v>
      </c>
      <c r="I25" t="e">
        <f>COUNTIFS(#REF!,"&gt;"&amp;O25,#REF!,"&lt;"&amp;P25,#REF!,"(10.152.26.31)",#REF!,"record_type=QUR")</f>
        <v>#REF!</v>
      </c>
      <c r="J25" t="e">
        <f>COUNTIFS(#REF!,"&gt;"&amp;O25,#REF!,"&lt;"&amp;P25,#REF!,"(10.152.26.32)",#REF!,"record_type=QUR")</f>
        <v>#REF!</v>
      </c>
      <c r="K25" t="e">
        <f>COUNTIFS(#REF!,"&gt;"&amp;O25,#REF!,"&lt;"&amp;P25,#REF!,"(10.152.26.30)",#REF!,"record_type=DER")</f>
        <v>#REF!</v>
      </c>
      <c r="L25" t="e">
        <f>COUNTIFS(#REF!,"&gt;"&amp;O25,#REF!,"&lt;"&amp;P25,#REF!,"(10.152.26.31)",#REF!,"record_type=DER")</f>
        <v>#REF!</v>
      </c>
      <c r="M25" t="e">
        <f>COUNTIFS(#REF!,"&gt;"&amp;O25,#REF!,"&lt;"&amp;P25,#REF!,"(10.152.26.32)",#REF!,"record_type=DER")</f>
        <v>#REF!</v>
      </c>
      <c r="O25" t="str">
        <f t="shared" si="0"/>
        <v>08:03:21</v>
      </c>
      <c r="P25" t="str">
        <f t="shared" si="1"/>
        <v>08:03:30</v>
      </c>
    </row>
    <row r="26" spans="1:16" x14ac:dyDescent="0.25">
      <c r="A26" s="3" t="s">
        <v>34</v>
      </c>
      <c r="B26" t="e">
        <f>COUNTIFS(#REF!,"&gt;"&amp;O26,#REF!,"&lt;"&amp;P26,#REF!,"(10.152.26.30)",#REF!,"record_type=QUR")</f>
        <v>#REF!</v>
      </c>
      <c r="C26" t="e">
        <f>COUNTIFS(#REF!,"&gt;"&amp;O26,#REF!,"&lt;"&amp;P26,#REF!,"(10.152.26.31)",#REF!,"record_type=QUR")</f>
        <v>#REF!</v>
      </c>
      <c r="D26" t="e">
        <f>COUNTIFS(#REF!,"&gt;"&amp;O26,#REF!,"&lt;"&amp;P26,#REF!,"(10.152.26.32)",#REF!,"record_type=QUR")</f>
        <v>#REF!</v>
      </c>
      <c r="E26" t="e">
        <f>COUNTIFS(#REF!,"&gt;"&amp;O26,#REF!,"&lt;"&amp;P26,#REF!,"(10.152.26.30)",#REF!,"record_type=DER")</f>
        <v>#REF!</v>
      </c>
      <c r="F26" t="e">
        <f>COUNTIFS(#REF!,"&gt;"&amp;O26,#REF!,"&lt;"&amp;P26,#REF!,"(10.152.26.31)",#REF!,"record_type=DER")</f>
        <v>#REF!</v>
      </c>
      <c r="G26" t="e">
        <f>COUNTIFS(#REF!,"&gt;"&amp;O26,#REF!,"&lt;"&amp;P26,#REF!,"(10.152.26.32)",#REF!,"record_type=DER")</f>
        <v>#REF!</v>
      </c>
      <c r="H26" t="e">
        <f>COUNTIFS(#REF!,"&gt;"&amp;O26,#REF!,"&lt;"&amp;P26,#REF!,"(10.152.26.30)",#REF!,"record_type=QUR")</f>
        <v>#REF!</v>
      </c>
      <c r="I26" t="e">
        <f>COUNTIFS(#REF!,"&gt;"&amp;O26,#REF!,"&lt;"&amp;P26,#REF!,"(10.152.26.31)",#REF!,"record_type=QUR")</f>
        <v>#REF!</v>
      </c>
      <c r="J26" t="e">
        <f>COUNTIFS(#REF!,"&gt;"&amp;O26,#REF!,"&lt;"&amp;P26,#REF!,"(10.152.26.32)",#REF!,"record_type=QUR")</f>
        <v>#REF!</v>
      </c>
      <c r="K26" t="e">
        <f>COUNTIFS(#REF!,"&gt;"&amp;O26,#REF!,"&lt;"&amp;P26,#REF!,"(10.152.26.30)",#REF!,"record_type=DER")</f>
        <v>#REF!</v>
      </c>
      <c r="L26" t="e">
        <f>COUNTIFS(#REF!,"&gt;"&amp;O26,#REF!,"&lt;"&amp;P26,#REF!,"(10.152.26.31)",#REF!,"record_type=DER")</f>
        <v>#REF!</v>
      </c>
      <c r="M26" t="e">
        <f>COUNTIFS(#REF!,"&gt;"&amp;O26,#REF!,"&lt;"&amp;P26,#REF!,"(10.152.26.32)",#REF!,"record_type=DER")</f>
        <v>#REF!</v>
      </c>
      <c r="O26" t="str">
        <f t="shared" si="0"/>
        <v>08:03:31</v>
      </c>
      <c r="P26" t="str">
        <f t="shared" si="1"/>
        <v>08:03:40</v>
      </c>
    </row>
    <row r="27" spans="1:16" x14ac:dyDescent="0.25">
      <c r="A27" s="3" t="s">
        <v>35</v>
      </c>
      <c r="B27" t="e">
        <f>COUNTIFS(#REF!,"&gt;"&amp;O27,#REF!,"&lt;"&amp;P27,#REF!,"(10.152.26.30)",#REF!,"record_type=QUR")</f>
        <v>#REF!</v>
      </c>
      <c r="C27" t="e">
        <f>COUNTIFS(#REF!,"&gt;"&amp;O27,#REF!,"&lt;"&amp;P27,#REF!,"(10.152.26.31)",#REF!,"record_type=QUR")</f>
        <v>#REF!</v>
      </c>
      <c r="D27" t="e">
        <f>COUNTIFS(#REF!,"&gt;"&amp;O27,#REF!,"&lt;"&amp;P27,#REF!,"(10.152.26.32)",#REF!,"record_type=QUR")</f>
        <v>#REF!</v>
      </c>
      <c r="E27" t="e">
        <f>COUNTIFS(#REF!,"&gt;"&amp;O27,#REF!,"&lt;"&amp;P27,#REF!,"(10.152.26.30)",#REF!,"record_type=DER")</f>
        <v>#REF!</v>
      </c>
      <c r="F27" t="e">
        <f>COUNTIFS(#REF!,"&gt;"&amp;O27,#REF!,"&lt;"&amp;P27,#REF!,"(10.152.26.31)",#REF!,"record_type=DER")</f>
        <v>#REF!</v>
      </c>
      <c r="G27" t="e">
        <f>COUNTIFS(#REF!,"&gt;"&amp;O27,#REF!,"&lt;"&amp;P27,#REF!,"(10.152.26.32)",#REF!,"record_type=DER")</f>
        <v>#REF!</v>
      </c>
      <c r="H27" t="e">
        <f>COUNTIFS(#REF!,"&gt;"&amp;O27,#REF!,"&lt;"&amp;P27,#REF!,"(10.152.26.30)",#REF!,"record_type=QUR")</f>
        <v>#REF!</v>
      </c>
      <c r="I27" t="e">
        <f>COUNTIFS(#REF!,"&gt;"&amp;O27,#REF!,"&lt;"&amp;P27,#REF!,"(10.152.26.31)",#REF!,"record_type=QUR")</f>
        <v>#REF!</v>
      </c>
      <c r="J27" t="e">
        <f>COUNTIFS(#REF!,"&gt;"&amp;O27,#REF!,"&lt;"&amp;P27,#REF!,"(10.152.26.32)",#REF!,"record_type=QUR")</f>
        <v>#REF!</v>
      </c>
      <c r="K27" t="e">
        <f>COUNTIFS(#REF!,"&gt;"&amp;O27,#REF!,"&lt;"&amp;P27,#REF!,"(10.152.26.30)",#REF!,"record_type=DER")</f>
        <v>#REF!</v>
      </c>
      <c r="L27" t="e">
        <f>COUNTIFS(#REF!,"&gt;"&amp;O27,#REF!,"&lt;"&amp;P27,#REF!,"(10.152.26.31)",#REF!,"record_type=DER")</f>
        <v>#REF!</v>
      </c>
      <c r="M27" t="e">
        <f>COUNTIFS(#REF!,"&gt;"&amp;O27,#REF!,"&lt;"&amp;P27,#REF!,"(10.152.26.32)",#REF!,"record_type=DER")</f>
        <v>#REF!</v>
      </c>
      <c r="O27" t="str">
        <f t="shared" si="0"/>
        <v>08:03:41</v>
      </c>
      <c r="P27" t="str">
        <f t="shared" si="1"/>
        <v>08:03:50</v>
      </c>
    </row>
    <row r="28" spans="1:16" x14ac:dyDescent="0.25">
      <c r="A28" s="3" t="s">
        <v>36</v>
      </c>
      <c r="B28" t="e">
        <f>COUNTIFS(#REF!,"&gt;"&amp;O28,#REF!,"&lt;"&amp;P28,#REF!,"(10.152.26.30)",#REF!,"record_type=QUR")</f>
        <v>#REF!</v>
      </c>
      <c r="C28" t="e">
        <f>COUNTIFS(#REF!,"&gt;"&amp;O28,#REF!,"&lt;"&amp;P28,#REF!,"(10.152.26.31)",#REF!,"record_type=QUR")</f>
        <v>#REF!</v>
      </c>
      <c r="D28" t="e">
        <f>COUNTIFS(#REF!,"&gt;"&amp;O28,#REF!,"&lt;"&amp;P28,#REF!,"(10.152.26.32)",#REF!,"record_type=QUR")</f>
        <v>#REF!</v>
      </c>
      <c r="E28" t="e">
        <f>COUNTIFS(#REF!,"&gt;"&amp;O28,#REF!,"&lt;"&amp;P28,#REF!,"(10.152.26.30)",#REF!,"record_type=DER")</f>
        <v>#REF!</v>
      </c>
      <c r="F28" t="e">
        <f>COUNTIFS(#REF!,"&gt;"&amp;O28,#REF!,"&lt;"&amp;P28,#REF!,"(10.152.26.31)",#REF!,"record_type=DER")</f>
        <v>#REF!</v>
      </c>
      <c r="G28" t="e">
        <f>COUNTIFS(#REF!,"&gt;"&amp;O28,#REF!,"&lt;"&amp;P28,#REF!,"(10.152.26.32)",#REF!,"record_type=DER")</f>
        <v>#REF!</v>
      </c>
      <c r="H28" t="e">
        <f>COUNTIFS(#REF!,"&gt;"&amp;O28,#REF!,"&lt;"&amp;P28,#REF!,"(10.152.26.30)",#REF!,"record_type=QUR")</f>
        <v>#REF!</v>
      </c>
      <c r="I28" t="e">
        <f>COUNTIFS(#REF!,"&gt;"&amp;O28,#REF!,"&lt;"&amp;P28,#REF!,"(10.152.26.31)",#REF!,"record_type=QUR")</f>
        <v>#REF!</v>
      </c>
      <c r="J28" t="e">
        <f>COUNTIFS(#REF!,"&gt;"&amp;O28,#REF!,"&lt;"&amp;P28,#REF!,"(10.152.26.32)",#REF!,"record_type=QUR")</f>
        <v>#REF!</v>
      </c>
      <c r="K28" t="e">
        <f>COUNTIFS(#REF!,"&gt;"&amp;O28,#REF!,"&lt;"&amp;P28,#REF!,"(10.152.26.30)",#REF!,"record_type=DER")</f>
        <v>#REF!</v>
      </c>
      <c r="L28" t="e">
        <f>COUNTIFS(#REF!,"&gt;"&amp;O28,#REF!,"&lt;"&amp;P28,#REF!,"(10.152.26.31)",#REF!,"record_type=DER")</f>
        <v>#REF!</v>
      </c>
      <c r="M28" t="e">
        <f>COUNTIFS(#REF!,"&gt;"&amp;O28,#REF!,"&lt;"&amp;P28,#REF!,"(10.152.26.32)",#REF!,"record_type=DER")</f>
        <v>#REF!</v>
      </c>
      <c r="O28" t="str">
        <f t="shared" si="0"/>
        <v>08:03:51</v>
      </c>
      <c r="P28" t="str">
        <f t="shared" si="1"/>
        <v>08:04:00</v>
      </c>
    </row>
    <row r="29" spans="1:16" x14ac:dyDescent="0.25">
      <c r="A29" s="3" t="s">
        <v>32</v>
      </c>
      <c r="B29" t="e">
        <f>COUNTIFS(#REF!,"&gt;"&amp;O29,#REF!,"&lt;"&amp;P29,#REF!,"(10.152.26.30)",#REF!,"record_type=QUR")</f>
        <v>#REF!</v>
      </c>
      <c r="C29" t="e">
        <f>COUNTIFS(#REF!,"&gt;"&amp;O29,#REF!,"&lt;"&amp;P29,#REF!,"(10.152.26.31)",#REF!,"record_type=QUR")</f>
        <v>#REF!</v>
      </c>
      <c r="D29" t="e">
        <f>COUNTIFS(#REF!,"&gt;"&amp;O29,#REF!,"&lt;"&amp;P29,#REF!,"(10.152.26.32)",#REF!,"record_type=QUR")</f>
        <v>#REF!</v>
      </c>
      <c r="E29" t="e">
        <f>COUNTIFS(#REF!,"&gt;"&amp;O29,#REF!,"&lt;"&amp;P29,#REF!,"(10.152.26.30)",#REF!,"record_type=DER")</f>
        <v>#REF!</v>
      </c>
      <c r="F29" t="e">
        <f>COUNTIFS(#REF!,"&gt;"&amp;O29,#REF!,"&lt;"&amp;P29,#REF!,"(10.152.26.31)",#REF!,"record_type=DER")</f>
        <v>#REF!</v>
      </c>
      <c r="G29" t="e">
        <f>COUNTIFS(#REF!,"&gt;"&amp;O29,#REF!,"&lt;"&amp;P29,#REF!,"(10.152.26.32)",#REF!,"record_type=DER")</f>
        <v>#REF!</v>
      </c>
      <c r="H29" t="e">
        <f>COUNTIFS(#REF!,"&gt;"&amp;O29,#REF!,"&lt;"&amp;P29,#REF!,"(10.152.26.30)",#REF!,"record_type=QUR")</f>
        <v>#REF!</v>
      </c>
      <c r="I29" t="e">
        <f>COUNTIFS(#REF!,"&gt;"&amp;O29,#REF!,"&lt;"&amp;P29,#REF!,"(10.152.26.31)",#REF!,"record_type=QUR")</f>
        <v>#REF!</v>
      </c>
      <c r="J29" t="e">
        <f>COUNTIFS(#REF!,"&gt;"&amp;O29,#REF!,"&lt;"&amp;P29,#REF!,"(10.152.26.32)",#REF!,"record_type=QUR")</f>
        <v>#REF!</v>
      </c>
      <c r="K29" t="e">
        <f>COUNTIFS(#REF!,"&gt;"&amp;O29,#REF!,"&lt;"&amp;P29,#REF!,"(10.152.26.30)",#REF!,"record_type=DER")</f>
        <v>#REF!</v>
      </c>
      <c r="L29" t="e">
        <f>COUNTIFS(#REF!,"&gt;"&amp;O29,#REF!,"&lt;"&amp;P29,#REF!,"(10.152.26.31)",#REF!,"record_type=DER")</f>
        <v>#REF!</v>
      </c>
      <c r="M29" t="e">
        <f>COUNTIFS(#REF!,"&gt;"&amp;O29,#REF!,"&lt;"&amp;P29,#REF!,"(10.152.26.32)",#REF!,"record_type=DER")</f>
        <v>#REF!</v>
      </c>
      <c r="O29" t="str">
        <f t="shared" si="0"/>
        <v>08:03:11</v>
      </c>
      <c r="P29" t="str">
        <f t="shared" si="1"/>
        <v>08:03:20</v>
      </c>
    </row>
    <row r="30" spans="1:16" x14ac:dyDescent="0.25">
      <c r="A30" s="3" t="s">
        <v>33</v>
      </c>
      <c r="B30" t="e">
        <f>COUNTIFS(#REF!,"&gt;"&amp;O30,#REF!,"&lt;"&amp;P30,#REF!,"(10.152.26.30)",#REF!,"record_type=QUR")</f>
        <v>#REF!</v>
      </c>
      <c r="C30" t="e">
        <f>COUNTIFS(#REF!,"&gt;"&amp;O30,#REF!,"&lt;"&amp;P30,#REF!,"(10.152.26.31)",#REF!,"record_type=QUR")</f>
        <v>#REF!</v>
      </c>
      <c r="D30" t="e">
        <f>COUNTIFS(#REF!,"&gt;"&amp;O30,#REF!,"&lt;"&amp;P30,#REF!,"(10.152.26.32)",#REF!,"record_type=QUR")</f>
        <v>#REF!</v>
      </c>
      <c r="E30" t="e">
        <f>COUNTIFS(#REF!,"&gt;"&amp;O30,#REF!,"&lt;"&amp;P30,#REF!,"(10.152.26.30)",#REF!,"record_type=DER")</f>
        <v>#REF!</v>
      </c>
      <c r="F30" t="e">
        <f>COUNTIFS(#REF!,"&gt;"&amp;O30,#REF!,"&lt;"&amp;P30,#REF!,"(10.152.26.31)",#REF!,"record_type=DER")</f>
        <v>#REF!</v>
      </c>
      <c r="G30" t="e">
        <f>COUNTIFS(#REF!,"&gt;"&amp;O30,#REF!,"&lt;"&amp;P30,#REF!,"(10.152.26.32)",#REF!,"record_type=DER")</f>
        <v>#REF!</v>
      </c>
      <c r="H30" t="e">
        <f>COUNTIFS(#REF!,"&gt;"&amp;O30,#REF!,"&lt;"&amp;P30,#REF!,"(10.152.26.30)",#REF!,"record_type=QUR")</f>
        <v>#REF!</v>
      </c>
      <c r="I30" t="e">
        <f>COUNTIFS(#REF!,"&gt;"&amp;O30,#REF!,"&lt;"&amp;P30,#REF!,"(10.152.26.31)",#REF!,"record_type=QUR")</f>
        <v>#REF!</v>
      </c>
      <c r="J30" t="e">
        <f>COUNTIFS(#REF!,"&gt;"&amp;O30,#REF!,"&lt;"&amp;P30,#REF!,"(10.152.26.32)",#REF!,"record_type=QUR")</f>
        <v>#REF!</v>
      </c>
      <c r="K30" t="e">
        <f>COUNTIFS(#REF!,"&gt;"&amp;O30,#REF!,"&lt;"&amp;P30,#REF!,"(10.152.26.30)",#REF!,"record_type=DER")</f>
        <v>#REF!</v>
      </c>
      <c r="L30" t="e">
        <f>COUNTIFS(#REF!,"&gt;"&amp;O30,#REF!,"&lt;"&amp;P30,#REF!,"(10.152.26.31)",#REF!,"record_type=DER")</f>
        <v>#REF!</v>
      </c>
      <c r="M30" t="e">
        <f>COUNTIFS(#REF!,"&gt;"&amp;O30,#REF!,"&lt;"&amp;P30,#REF!,"(10.152.26.32)",#REF!,"record_type=DER")</f>
        <v>#REF!</v>
      </c>
      <c r="O30" t="str">
        <f t="shared" si="0"/>
        <v>08:03:21</v>
      </c>
      <c r="P30" t="str">
        <f t="shared" si="1"/>
        <v>08:03:30</v>
      </c>
    </row>
    <row r="31" spans="1:16" x14ac:dyDescent="0.25">
      <c r="A31" s="3" t="s">
        <v>34</v>
      </c>
      <c r="B31" t="e">
        <f>COUNTIFS(#REF!,"&gt;"&amp;O31,#REF!,"&lt;"&amp;P31,#REF!,"(10.152.26.30)",#REF!,"record_type=QUR")</f>
        <v>#REF!</v>
      </c>
      <c r="C31" t="e">
        <f>COUNTIFS(#REF!,"&gt;"&amp;O31,#REF!,"&lt;"&amp;P31,#REF!,"(10.152.26.31)",#REF!,"record_type=QUR")</f>
        <v>#REF!</v>
      </c>
      <c r="D31" t="e">
        <f>COUNTIFS(#REF!,"&gt;"&amp;O31,#REF!,"&lt;"&amp;P31,#REF!,"(10.152.26.32)",#REF!,"record_type=QUR")</f>
        <v>#REF!</v>
      </c>
      <c r="E31" t="e">
        <f>COUNTIFS(#REF!,"&gt;"&amp;O31,#REF!,"&lt;"&amp;P31,#REF!,"(10.152.26.30)",#REF!,"record_type=DER")</f>
        <v>#REF!</v>
      </c>
      <c r="F31" t="e">
        <f>COUNTIFS(#REF!,"&gt;"&amp;O31,#REF!,"&lt;"&amp;P31,#REF!,"(10.152.26.31)",#REF!,"record_type=DER")</f>
        <v>#REF!</v>
      </c>
      <c r="G31" t="e">
        <f>COUNTIFS(#REF!,"&gt;"&amp;O31,#REF!,"&lt;"&amp;P31,#REF!,"(10.152.26.32)",#REF!,"record_type=DER")</f>
        <v>#REF!</v>
      </c>
      <c r="H31" t="e">
        <f>COUNTIFS(#REF!,"&gt;"&amp;O31,#REF!,"&lt;"&amp;P31,#REF!,"(10.152.26.30)",#REF!,"record_type=QUR")</f>
        <v>#REF!</v>
      </c>
      <c r="I31" t="e">
        <f>COUNTIFS(#REF!,"&gt;"&amp;O31,#REF!,"&lt;"&amp;P31,#REF!,"(10.152.26.31)",#REF!,"record_type=QUR")</f>
        <v>#REF!</v>
      </c>
      <c r="J31" t="e">
        <f>COUNTIFS(#REF!,"&gt;"&amp;O31,#REF!,"&lt;"&amp;P31,#REF!,"(10.152.26.32)",#REF!,"record_type=QUR")</f>
        <v>#REF!</v>
      </c>
      <c r="K31" t="e">
        <f>COUNTIFS(#REF!,"&gt;"&amp;O31,#REF!,"&lt;"&amp;P31,#REF!,"(10.152.26.30)",#REF!,"record_type=DER")</f>
        <v>#REF!</v>
      </c>
      <c r="L31" t="e">
        <f>COUNTIFS(#REF!,"&gt;"&amp;O31,#REF!,"&lt;"&amp;P31,#REF!,"(10.152.26.31)",#REF!,"record_type=DER")</f>
        <v>#REF!</v>
      </c>
      <c r="M31" t="e">
        <f>COUNTIFS(#REF!,"&gt;"&amp;O31,#REF!,"&lt;"&amp;P31,#REF!,"(10.152.26.32)",#REF!,"record_type=DER")</f>
        <v>#REF!</v>
      </c>
      <c r="O31" t="str">
        <f t="shared" si="0"/>
        <v>08:03:31</v>
      </c>
      <c r="P31" t="str">
        <f t="shared" si="1"/>
        <v>08:03:40</v>
      </c>
    </row>
    <row r="32" spans="1:16" x14ac:dyDescent="0.25">
      <c r="A32" s="3" t="s">
        <v>35</v>
      </c>
      <c r="B32" t="e">
        <f>COUNTIFS(#REF!,"&gt;"&amp;O32,#REF!,"&lt;"&amp;P32,#REF!,"(10.152.26.30)",#REF!,"record_type=QUR")</f>
        <v>#REF!</v>
      </c>
      <c r="C32" t="e">
        <f>COUNTIFS(#REF!,"&gt;"&amp;O32,#REF!,"&lt;"&amp;P32,#REF!,"(10.152.26.31)",#REF!,"record_type=QUR")</f>
        <v>#REF!</v>
      </c>
      <c r="D32" t="e">
        <f>COUNTIFS(#REF!,"&gt;"&amp;O32,#REF!,"&lt;"&amp;P32,#REF!,"(10.152.26.32)",#REF!,"record_type=QUR")</f>
        <v>#REF!</v>
      </c>
      <c r="E32" t="e">
        <f>COUNTIFS(#REF!,"&gt;"&amp;O32,#REF!,"&lt;"&amp;P32,#REF!,"(10.152.26.30)",#REF!,"record_type=DER")</f>
        <v>#REF!</v>
      </c>
      <c r="F32" t="e">
        <f>COUNTIFS(#REF!,"&gt;"&amp;O32,#REF!,"&lt;"&amp;P32,#REF!,"(10.152.26.31)",#REF!,"record_type=DER")</f>
        <v>#REF!</v>
      </c>
      <c r="G32" t="e">
        <f>COUNTIFS(#REF!,"&gt;"&amp;O32,#REF!,"&lt;"&amp;P32,#REF!,"(10.152.26.32)",#REF!,"record_type=DER")</f>
        <v>#REF!</v>
      </c>
      <c r="H32" t="e">
        <f>COUNTIFS(#REF!,"&gt;"&amp;O32,#REF!,"&lt;"&amp;P32,#REF!,"(10.152.26.30)",#REF!,"record_type=QUR")</f>
        <v>#REF!</v>
      </c>
      <c r="I32" t="e">
        <f>COUNTIFS(#REF!,"&gt;"&amp;O32,#REF!,"&lt;"&amp;P32,#REF!,"(10.152.26.31)",#REF!,"record_type=QUR")</f>
        <v>#REF!</v>
      </c>
      <c r="J32" t="e">
        <f>COUNTIFS(#REF!,"&gt;"&amp;O32,#REF!,"&lt;"&amp;P32,#REF!,"(10.152.26.32)",#REF!,"record_type=QUR")</f>
        <v>#REF!</v>
      </c>
      <c r="K32" t="e">
        <f>COUNTIFS(#REF!,"&gt;"&amp;O32,#REF!,"&lt;"&amp;P32,#REF!,"(10.152.26.30)",#REF!,"record_type=DER")</f>
        <v>#REF!</v>
      </c>
      <c r="L32" t="e">
        <f>COUNTIFS(#REF!,"&gt;"&amp;O32,#REF!,"&lt;"&amp;P32,#REF!,"(10.152.26.31)",#REF!,"record_type=DER")</f>
        <v>#REF!</v>
      </c>
      <c r="M32" t="e">
        <f>COUNTIFS(#REF!,"&gt;"&amp;O32,#REF!,"&lt;"&amp;P32,#REF!,"(10.152.26.32)",#REF!,"record_type=DER")</f>
        <v>#REF!</v>
      </c>
      <c r="O32" t="str">
        <f t="shared" si="0"/>
        <v>08:03:41</v>
      </c>
      <c r="P32" t="str">
        <f t="shared" si="1"/>
        <v>08:03:50</v>
      </c>
    </row>
    <row r="33" spans="1:16" x14ac:dyDescent="0.25">
      <c r="A33" s="3" t="s">
        <v>36</v>
      </c>
      <c r="B33" t="e">
        <f>COUNTIFS(#REF!,"&gt;"&amp;O33,#REF!,"&lt;"&amp;P33,#REF!,"(10.152.26.30)",#REF!,"record_type=QUR")</f>
        <v>#REF!</v>
      </c>
      <c r="C33" t="e">
        <f>COUNTIFS(#REF!,"&gt;"&amp;O33,#REF!,"&lt;"&amp;P33,#REF!,"(10.152.26.31)",#REF!,"record_type=QUR")</f>
        <v>#REF!</v>
      </c>
      <c r="D33" t="e">
        <f>COUNTIFS(#REF!,"&gt;"&amp;O33,#REF!,"&lt;"&amp;P33,#REF!,"(10.152.26.32)",#REF!,"record_type=QUR")</f>
        <v>#REF!</v>
      </c>
      <c r="E33" t="e">
        <f>COUNTIFS(#REF!,"&gt;"&amp;O33,#REF!,"&lt;"&amp;P33,#REF!,"(10.152.26.30)",#REF!,"record_type=DER")</f>
        <v>#REF!</v>
      </c>
      <c r="F33" t="e">
        <f>COUNTIFS(#REF!,"&gt;"&amp;O33,#REF!,"&lt;"&amp;P33,#REF!,"(10.152.26.31)",#REF!,"record_type=DER")</f>
        <v>#REF!</v>
      </c>
      <c r="G33" t="e">
        <f>COUNTIFS(#REF!,"&gt;"&amp;O33,#REF!,"&lt;"&amp;P33,#REF!,"(10.152.26.32)",#REF!,"record_type=DER")</f>
        <v>#REF!</v>
      </c>
      <c r="H33" t="e">
        <f>COUNTIFS(#REF!,"&gt;"&amp;O33,#REF!,"&lt;"&amp;P33,#REF!,"(10.152.26.30)",#REF!,"record_type=QUR")</f>
        <v>#REF!</v>
      </c>
      <c r="I33" t="e">
        <f>COUNTIFS(#REF!,"&gt;"&amp;O33,#REF!,"&lt;"&amp;P33,#REF!,"(10.152.26.31)",#REF!,"record_type=QUR")</f>
        <v>#REF!</v>
      </c>
      <c r="J33" t="e">
        <f>COUNTIFS(#REF!,"&gt;"&amp;O33,#REF!,"&lt;"&amp;P33,#REF!,"(10.152.26.32)",#REF!,"record_type=QUR")</f>
        <v>#REF!</v>
      </c>
      <c r="K33" t="e">
        <f>COUNTIFS(#REF!,"&gt;"&amp;O33,#REF!,"&lt;"&amp;P33,#REF!,"(10.152.26.30)",#REF!,"record_type=DER")</f>
        <v>#REF!</v>
      </c>
      <c r="L33" t="e">
        <f>COUNTIFS(#REF!,"&gt;"&amp;O33,#REF!,"&lt;"&amp;P33,#REF!,"(10.152.26.31)",#REF!,"record_type=DER")</f>
        <v>#REF!</v>
      </c>
      <c r="M33" t="e">
        <f>COUNTIFS(#REF!,"&gt;"&amp;O33,#REF!,"&lt;"&amp;P33,#REF!,"(10.152.26.32)",#REF!,"record_type=DER")</f>
        <v>#REF!</v>
      </c>
      <c r="O33" t="str">
        <f t="shared" si="0"/>
        <v>08:03:51</v>
      </c>
      <c r="P33" t="str">
        <f t="shared" si="1"/>
        <v>08:04:00</v>
      </c>
    </row>
    <row r="34" spans="1:16" x14ac:dyDescent="0.25">
      <c r="A34" s="3" t="s">
        <v>37</v>
      </c>
      <c r="B34" t="e">
        <f>COUNTIFS(#REF!,"&gt;"&amp;O34,#REF!,"&lt;"&amp;P34,#REF!,"(10.152.26.30)",#REF!,"record_type=QUR")</f>
        <v>#REF!</v>
      </c>
      <c r="C34" t="e">
        <f>COUNTIFS(#REF!,"&gt;"&amp;O34,#REF!,"&lt;"&amp;P34,#REF!,"(10.152.26.31)",#REF!,"record_type=QUR")</f>
        <v>#REF!</v>
      </c>
      <c r="D34" t="e">
        <f>COUNTIFS(#REF!,"&gt;"&amp;O34,#REF!,"&lt;"&amp;P34,#REF!,"(10.152.26.32)",#REF!,"record_type=QUR")</f>
        <v>#REF!</v>
      </c>
      <c r="E34" t="e">
        <f>COUNTIFS(#REF!,"&gt;"&amp;O34,#REF!,"&lt;"&amp;P34,#REF!,"(10.152.26.30)",#REF!,"record_type=DER")</f>
        <v>#REF!</v>
      </c>
      <c r="F34" t="e">
        <f>COUNTIFS(#REF!,"&gt;"&amp;O34,#REF!,"&lt;"&amp;P34,#REF!,"(10.152.26.31)",#REF!,"record_type=DER")</f>
        <v>#REF!</v>
      </c>
      <c r="G34" t="e">
        <f>COUNTIFS(#REF!,"&gt;"&amp;O34,#REF!,"&lt;"&amp;P34,#REF!,"(10.152.26.32)",#REF!,"record_type=DER")</f>
        <v>#REF!</v>
      </c>
      <c r="H34" t="e">
        <f>COUNTIFS(#REF!,"&gt;"&amp;O34,#REF!,"&lt;"&amp;P34,#REF!,"(10.152.26.30)",#REF!,"record_type=QUR")</f>
        <v>#REF!</v>
      </c>
      <c r="I34" t="e">
        <f>COUNTIFS(#REF!,"&gt;"&amp;O34,#REF!,"&lt;"&amp;P34,#REF!,"(10.152.26.31)",#REF!,"record_type=QUR")</f>
        <v>#REF!</v>
      </c>
      <c r="J34" t="e">
        <f>COUNTIFS(#REF!,"&gt;"&amp;O34,#REF!,"&lt;"&amp;P34,#REF!,"(10.152.26.32)",#REF!,"record_type=QUR")</f>
        <v>#REF!</v>
      </c>
      <c r="K34" t="e">
        <f>COUNTIFS(#REF!,"&gt;"&amp;O34,#REF!,"&lt;"&amp;P34,#REF!,"(10.152.26.30)",#REF!,"record_type=DER")</f>
        <v>#REF!</v>
      </c>
      <c r="L34" t="e">
        <f>COUNTIFS(#REF!,"&gt;"&amp;O34,#REF!,"&lt;"&amp;P34,#REF!,"(10.152.26.31)",#REF!,"record_type=DER")</f>
        <v>#REF!</v>
      </c>
      <c r="M34" t="e">
        <f>COUNTIFS(#REF!,"&gt;"&amp;O34,#REF!,"&lt;"&amp;P34,#REF!,"(10.152.26.32)",#REF!,"record_type=DER")</f>
        <v>#REF!</v>
      </c>
      <c r="O34" t="str">
        <f t="shared" si="0"/>
        <v>08:04:00</v>
      </c>
      <c r="P34" t="str">
        <f t="shared" si="1"/>
        <v>08:04:10</v>
      </c>
    </row>
    <row r="35" spans="1:16" x14ac:dyDescent="0.25">
      <c r="A35" s="3" t="s">
        <v>38</v>
      </c>
      <c r="B35" t="e">
        <f>COUNTIFS(#REF!,"&gt;"&amp;O35,#REF!,"&lt;"&amp;P35,#REF!,"(10.152.26.30)",#REF!,"record_type=QUR")</f>
        <v>#REF!</v>
      </c>
      <c r="C35" t="e">
        <f>COUNTIFS(#REF!,"&gt;"&amp;O35,#REF!,"&lt;"&amp;P35,#REF!,"(10.152.26.31)",#REF!,"record_type=QUR")</f>
        <v>#REF!</v>
      </c>
      <c r="D35" t="e">
        <f>COUNTIFS(#REF!,"&gt;"&amp;O35,#REF!,"&lt;"&amp;P35,#REF!,"(10.152.26.32)",#REF!,"record_type=QUR")</f>
        <v>#REF!</v>
      </c>
      <c r="E35" t="e">
        <f>COUNTIFS(#REF!,"&gt;"&amp;O35,#REF!,"&lt;"&amp;P35,#REF!,"(10.152.26.30)",#REF!,"record_type=DER")</f>
        <v>#REF!</v>
      </c>
      <c r="F35" t="e">
        <f>COUNTIFS(#REF!,"&gt;"&amp;O35,#REF!,"&lt;"&amp;P35,#REF!,"(10.152.26.31)",#REF!,"record_type=DER")</f>
        <v>#REF!</v>
      </c>
      <c r="G35" t="e">
        <f>COUNTIFS(#REF!,"&gt;"&amp;O35,#REF!,"&lt;"&amp;P35,#REF!,"(10.152.26.32)",#REF!,"record_type=DER")</f>
        <v>#REF!</v>
      </c>
      <c r="H35" t="e">
        <f>COUNTIFS(#REF!,"&gt;"&amp;O35,#REF!,"&lt;"&amp;P35,#REF!,"(10.152.26.30)",#REF!,"record_type=QUR")</f>
        <v>#REF!</v>
      </c>
      <c r="I35" t="e">
        <f>COUNTIFS(#REF!,"&gt;"&amp;O35,#REF!,"&lt;"&amp;P35,#REF!,"(10.152.26.31)",#REF!,"record_type=QUR")</f>
        <v>#REF!</v>
      </c>
      <c r="J35" t="e">
        <f>COUNTIFS(#REF!,"&gt;"&amp;O35,#REF!,"&lt;"&amp;P35,#REF!,"(10.152.26.32)",#REF!,"record_type=QUR")</f>
        <v>#REF!</v>
      </c>
      <c r="K35" t="e">
        <f>COUNTIFS(#REF!,"&gt;"&amp;O35,#REF!,"&lt;"&amp;P35,#REF!,"(10.152.26.30)",#REF!,"record_type=DER")</f>
        <v>#REF!</v>
      </c>
      <c r="L35" t="e">
        <f>COUNTIFS(#REF!,"&gt;"&amp;O35,#REF!,"&lt;"&amp;P35,#REF!,"(10.152.26.31)",#REF!,"record_type=DER")</f>
        <v>#REF!</v>
      </c>
      <c r="M35" t="e">
        <f>COUNTIFS(#REF!,"&gt;"&amp;O35,#REF!,"&lt;"&amp;P35,#REF!,"(10.152.26.32)",#REF!,"record_type=DER")</f>
        <v>#REF!</v>
      </c>
      <c r="O35" t="str">
        <f t="shared" si="0"/>
        <v>08:04:11</v>
      </c>
      <c r="P35" t="str">
        <f t="shared" si="1"/>
        <v>08:04:20</v>
      </c>
    </row>
    <row r="36" spans="1:16" x14ac:dyDescent="0.25">
      <c r="A36" s="3" t="s">
        <v>39</v>
      </c>
      <c r="B36" t="e">
        <f>COUNTIFS(#REF!,"&gt;"&amp;O36,#REF!,"&lt;"&amp;P36,#REF!,"(10.152.26.30)",#REF!,"record_type=QUR")</f>
        <v>#REF!</v>
      </c>
      <c r="C36" t="e">
        <f>COUNTIFS(#REF!,"&gt;"&amp;O36,#REF!,"&lt;"&amp;P36,#REF!,"(10.152.26.31)",#REF!,"record_type=QUR")</f>
        <v>#REF!</v>
      </c>
      <c r="D36" t="e">
        <f>COUNTIFS(#REF!,"&gt;"&amp;O36,#REF!,"&lt;"&amp;P36,#REF!,"(10.152.26.32)",#REF!,"record_type=QUR")</f>
        <v>#REF!</v>
      </c>
      <c r="E36" t="e">
        <f>COUNTIFS(#REF!,"&gt;"&amp;O36,#REF!,"&lt;"&amp;P36,#REF!,"(10.152.26.30)",#REF!,"record_type=DER")</f>
        <v>#REF!</v>
      </c>
      <c r="F36" t="e">
        <f>COUNTIFS(#REF!,"&gt;"&amp;O36,#REF!,"&lt;"&amp;P36,#REF!,"(10.152.26.31)",#REF!,"record_type=DER")</f>
        <v>#REF!</v>
      </c>
      <c r="G36" t="e">
        <f>COUNTIFS(#REF!,"&gt;"&amp;O36,#REF!,"&lt;"&amp;P36,#REF!,"(10.152.26.32)",#REF!,"record_type=DER")</f>
        <v>#REF!</v>
      </c>
      <c r="H36" t="e">
        <f>COUNTIFS(#REF!,"&gt;"&amp;O36,#REF!,"&lt;"&amp;P36,#REF!,"(10.152.26.30)",#REF!,"record_type=QUR")</f>
        <v>#REF!</v>
      </c>
      <c r="I36" t="e">
        <f>COUNTIFS(#REF!,"&gt;"&amp;O36,#REF!,"&lt;"&amp;P36,#REF!,"(10.152.26.31)",#REF!,"record_type=QUR")</f>
        <v>#REF!</v>
      </c>
      <c r="J36" t="e">
        <f>COUNTIFS(#REF!,"&gt;"&amp;O36,#REF!,"&lt;"&amp;P36,#REF!,"(10.152.26.32)",#REF!,"record_type=QUR")</f>
        <v>#REF!</v>
      </c>
      <c r="K36" t="e">
        <f>COUNTIFS(#REF!,"&gt;"&amp;O36,#REF!,"&lt;"&amp;P36,#REF!,"(10.152.26.30)",#REF!,"record_type=DER")</f>
        <v>#REF!</v>
      </c>
      <c r="L36" t="e">
        <f>COUNTIFS(#REF!,"&gt;"&amp;O36,#REF!,"&lt;"&amp;P36,#REF!,"(10.152.26.31)",#REF!,"record_type=DER")</f>
        <v>#REF!</v>
      </c>
      <c r="M36" t="e">
        <f>COUNTIFS(#REF!,"&gt;"&amp;O36,#REF!,"&lt;"&amp;P36,#REF!,"(10.152.26.32)",#REF!,"record_type=DER")</f>
        <v>#REF!</v>
      </c>
      <c r="O36" t="str">
        <f t="shared" si="0"/>
        <v>08:04:21</v>
      </c>
      <c r="P36" t="str">
        <f t="shared" si="1"/>
        <v>08:04:30</v>
      </c>
    </row>
    <row r="37" spans="1:16" x14ac:dyDescent="0.25">
      <c r="A37" s="3" t="s">
        <v>40</v>
      </c>
      <c r="B37" t="e">
        <f>COUNTIFS(#REF!,"&gt;"&amp;O37,#REF!,"&lt;"&amp;P37,#REF!,"(10.152.26.30)",#REF!,"record_type=QUR")</f>
        <v>#REF!</v>
      </c>
      <c r="C37" t="e">
        <f>COUNTIFS(#REF!,"&gt;"&amp;O37,#REF!,"&lt;"&amp;P37,#REF!,"(10.152.26.31)",#REF!,"record_type=QUR")</f>
        <v>#REF!</v>
      </c>
      <c r="D37" t="e">
        <f>COUNTIFS(#REF!,"&gt;"&amp;O37,#REF!,"&lt;"&amp;P37,#REF!,"(10.152.26.32)",#REF!,"record_type=QUR")</f>
        <v>#REF!</v>
      </c>
      <c r="E37" t="e">
        <f>COUNTIFS(#REF!,"&gt;"&amp;O37,#REF!,"&lt;"&amp;P37,#REF!,"(10.152.26.30)",#REF!,"record_type=DER")</f>
        <v>#REF!</v>
      </c>
      <c r="F37" t="e">
        <f>COUNTIFS(#REF!,"&gt;"&amp;O37,#REF!,"&lt;"&amp;P37,#REF!,"(10.152.26.31)",#REF!,"record_type=DER")</f>
        <v>#REF!</v>
      </c>
      <c r="G37" t="e">
        <f>COUNTIFS(#REF!,"&gt;"&amp;O37,#REF!,"&lt;"&amp;P37,#REF!,"(10.152.26.32)",#REF!,"record_type=DER")</f>
        <v>#REF!</v>
      </c>
      <c r="H37" t="e">
        <f>COUNTIFS(#REF!,"&gt;"&amp;O37,#REF!,"&lt;"&amp;P37,#REF!,"(10.152.26.30)",#REF!,"record_type=QUR")</f>
        <v>#REF!</v>
      </c>
      <c r="I37" t="e">
        <f>COUNTIFS(#REF!,"&gt;"&amp;O37,#REF!,"&lt;"&amp;P37,#REF!,"(10.152.26.31)",#REF!,"record_type=QUR")</f>
        <v>#REF!</v>
      </c>
      <c r="J37" t="e">
        <f>COUNTIFS(#REF!,"&gt;"&amp;O37,#REF!,"&lt;"&amp;P37,#REF!,"(10.152.26.32)",#REF!,"record_type=QUR")</f>
        <v>#REF!</v>
      </c>
      <c r="K37" t="e">
        <f>COUNTIFS(#REF!,"&gt;"&amp;O37,#REF!,"&lt;"&amp;P37,#REF!,"(10.152.26.30)",#REF!,"record_type=DER")</f>
        <v>#REF!</v>
      </c>
      <c r="L37" t="e">
        <f>COUNTIFS(#REF!,"&gt;"&amp;O37,#REF!,"&lt;"&amp;P37,#REF!,"(10.152.26.31)",#REF!,"record_type=DER")</f>
        <v>#REF!</v>
      </c>
      <c r="M37" t="e">
        <f>COUNTIFS(#REF!,"&gt;"&amp;O37,#REF!,"&lt;"&amp;P37,#REF!,"(10.152.26.32)",#REF!,"record_type=DER")</f>
        <v>#REF!</v>
      </c>
      <c r="O37" t="str">
        <f t="shared" si="0"/>
        <v>08:04:31</v>
      </c>
      <c r="P37" t="str">
        <f t="shared" si="1"/>
        <v>08:04:40</v>
      </c>
    </row>
    <row r="38" spans="1:16" x14ac:dyDescent="0.25">
      <c r="A38" s="3" t="s">
        <v>41</v>
      </c>
      <c r="B38" t="e">
        <f>COUNTIFS(#REF!,"&gt;"&amp;O38,#REF!,"&lt;"&amp;P38,#REF!,"(10.152.26.30)",#REF!,"record_type=QUR")</f>
        <v>#REF!</v>
      </c>
      <c r="C38" t="e">
        <f>COUNTIFS(#REF!,"&gt;"&amp;O38,#REF!,"&lt;"&amp;P38,#REF!,"(10.152.26.31)",#REF!,"record_type=QUR")</f>
        <v>#REF!</v>
      </c>
      <c r="D38" t="e">
        <f>COUNTIFS(#REF!,"&gt;"&amp;O38,#REF!,"&lt;"&amp;P38,#REF!,"(10.152.26.32)",#REF!,"record_type=QUR")</f>
        <v>#REF!</v>
      </c>
      <c r="E38" t="e">
        <f>COUNTIFS(#REF!,"&gt;"&amp;O38,#REF!,"&lt;"&amp;P38,#REF!,"(10.152.26.30)",#REF!,"record_type=DER")</f>
        <v>#REF!</v>
      </c>
      <c r="F38" t="e">
        <f>COUNTIFS(#REF!,"&gt;"&amp;O38,#REF!,"&lt;"&amp;P38,#REF!,"(10.152.26.31)",#REF!,"record_type=DER")</f>
        <v>#REF!</v>
      </c>
      <c r="G38" t="e">
        <f>COUNTIFS(#REF!,"&gt;"&amp;O38,#REF!,"&lt;"&amp;P38,#REF!,"(10.152.26.32)",#REF!,"record_type=DER")</f>
        <v>#REF!</v>
      </c>
      <c r="H38" t="e">
        <f>COUNTIFS(#REF!,"&gt;"&amp;O38,#REF!,"&lt;"&amp;P38,#REF!,"(10.152.26.30)",#REF!,"record_type=QUR")</f>
        <v>#REF!</v>
      </c>
      <c r="I38" t="e">
        <f>COUNTIFS(#REF!,"&gt;"&amp;O38,#REF!,"&lt;"&amp;P38,#REF!,"(10.152.26.31)",#REF!,"record_type=QUR")</f>
        <v>#REF!</v>
      </c>
      <c r="J38" t="e">
        <f>COUNTIFS(#REF!,"&gt;"&amp;O38,#REF!,"&lt;"&amp;P38,#REF!,"(10.152.26.32)",#REF!,"record_type=QUR")</f>
        <v>#REF!</v>
      </c>
      <c r="K38" t="e">
        <f>COUNTIFS(#REF!,"&gt;"&amp;O38,#REF!,"&lt;"&amp;P38,#REF!,"(10.152.26.30)",#REF!,"record_type=DER")</f>
        <v>#REF!</v>
      </c>
      <c r="L38" t="e">
        <f>COUNTIFS(#REF!,"&gt;"&amp;O38,#REF!,"&lt;"&amp;P38,#REF!,"(10.152.26.31)",#REF!,"record_type=DER")</f>
        <v>#REF!</v>
      </c>
      <c r="M38" t="e">
        <f>COUNTIFS(#REF!,"&gt;"&amp;O38,#REF!,"&lt;"&amp;P38,#REF!,"(10.152.26.32)",#REF!,"record_type=DER")</f>
        <v>#REF!</v>
      </c>
      <c r="O38" t="str">
        <f t="shared" si="0"/>
        <v>08:04:41</v>
      </c>
      <c r="P38" t="str">
        <f t="shared" si="1"/>
        <v>08:04:50</v>
      </c>
    </row>
    <row r="39" spans="1:16" x14ac:dyDescent="0.25">
      <c r="A39" s="3" t="s">
        <v>42</v>
      </c>
      <c r="B39" t="e">
        <f>COUNTIFS(#REF!,"&gt;"&amp;O39,#REF!,"&lt;"&amp;P39,#REF!,"(10.152.26.30)",#REF!,"record_type=QUR")</f>
        <v>#REF!</v>
      </c>
      <c r="C39" t="e">
        <f>COUNTIFS(#REF!,"&gt;"&amp;O39,#REF!,"&lt;"&amp;P39,#REF!,"(10.152.26.31)",#REF!,"record_type=QUR")</f>
        <v>#REF!</v>
      </c>
      <c r="D39" t="e">
        <f>COUNTIFS(#REF!,"&gt;"&amp;O39,#REF!,"&lt;"&amp;P39,#REF!,"(10.152.26.32)",#REF!,"record_type=QUR")</f>
        <v>#REF!</v>
      </c>
      <c r="E39" t="e">
        <f>COUNTIFS(#REF!,"&gt;"&amp;O39,#REF!,"&lt;"&amp;P39,#REF!,"(10.152.26.30)",#REF!,"record_type=DER")</f>
        <v>#REF!</v>
      </c>
      <c r="F39" t="e">
        <f>COUNTIFS(#REF!,"&gt;"&amp;O39,#REF!,"&lt;"&amp;P39,#REF!,"(10.152.26.31)",#REF!,"record_type=DER")</f>
        <v>#REF!</v>
      </c>
      <c r="G39" t="e">
        <f>COUNTIFS(#REF!,"&gt;"&amp;O39,#REF!,"&lt;"&amp;P39,#REF!,"(10.152.26.32)",#REF!,"record_type=DER")</f>
        <v>#REF!</v>
      </c>
      <c r="H39" t="e">
        <f>COUNTIFS(#REF!,"&gt;"&amp;O39,#REF!,"&lt;"&amp;P39,#REF!,"(10.152.26.30)",#REF!,"record_type=QUR")</f>
        <v>#REF!</v>
      </c>
      <c r="I39" t="e">
        <f>COUNTIFS(#REF!,"&gt;"&amp;O39,#REF!,"&lt;"&amp;P39,#REF!,"(10.152.26.31)",#REF!,"record_type=QUR")</f>
        <v>#REF!</v>
      </c>
      <c r="J39" t="e">
        <f>COUNTIFS(#REF!,"&gt;"&amp;O39,#REF!,"&lt;"&amp;P39,#REF!,"(10.152.26.32)",#REF!,"record_type=QUR")</f>
        <v>#REF!</v>
      </c>
      <c r="K39" t="e">
        <f>COUNTIFS(#REF!,"&gt;"&amp;O39,#REF!,"&lt;"&amp;P39,#REF!,"(10.152.26.30)",#REF!,"record_type=DER")</f>
        <v>#REF!</v>
      </c>
      <c r="L39" t="e">
        <f>COUNTIFS(#REF!,"&gt;"&amp;O39,#REF!,"&lt;"&amp;P39,#REF!,"(10.152.26.31)",#REF!,"record_type=DER")</f>
        <v>#REF!</v>
      </c>
      <c r="M39" t="e">
        <f>COUNTIFS(#REF!,"&gt;"&amp;O39,#REF!,"&lt;"&amp;P39,#REF!,"(10.152.26.32)",#REF!,"record_type=DER")</f>
        <v>#REF!</v>
      </c>
      <c r="O39" t="str">
        <f t="shared" si="0"/>
        <v>08:04:51</v>
      </c>
      <c r="P39" t="str">
        <f t="shared" si="1"/>
        <v>08:05:00</v>
      </c>
    </row>
    <row r="40" spans="1:16" x14ac:dyDescent="0.25">
      <c r="A40" s="3" t="s">
        <v>43</v>
      </c>
      <c r="B40" t="e">
        <f>COUNTIFS(#REF!,"&gt;"&amp;O40,#REF!,"&lt;"&amp;P40,#REF!,"(10.152.26.30)",#REF!,"record_type=QUR")</f>
        <v>#REF!</v>
      </c>
      <c r="C40" t="e">
        <f>COUNTIFS(#REF!,"&gt;"&amp;O40,#REF!,"&lt;"&amp;P40,#REF!,"(10.152.26.31)",#REF!,"record_type=QUR")</f>
        <v>#REF!</v>
      </c>
      <c r="D40" t="e">
        <f>COUNTIFS(#REF!,"&gt;"&amp;O40,#REF!,"&lt;"&amp;P40,#REF!,"(10.152.26.32)",#REF!,"record_type=QUR")</f>
        <v>#REF!</v>
      </c>
      <c r="E40" t="e">
        <f>COUNTIFS(#REF!,"&gt;"&amp;O40,#REF!,"&lt;"&amp;P40,#REF!,"(10.152.26.30)",#REF!,"record_type=DER")</f>
        <v>#REF!</v>
      </c>
      <c r="F40" t="e">
        <f>COUNTIFS(#REF!,"&gt;"&amp;O40,#REF!,"&lt;"&amp;P40,#REF!,"(10.152.26.31)",#REF!,"record_type=DER")</f>
        <v>#REF!</v>
      </c>
      <c r="G40" t="e">
        <f>COUNTIFS(#REF!,"&gt;"&amp;O40,#REF!,"&lt;"&amp;P40,#REF!,"(10.152.26.32)",#REF!,"record_type=DER")</f>
        <v>#REF!</v>
      </c>
      <c r="H40" t="e">
        <f>COUNTIFS(#REF!,"&gt;"&amp;O40,#REF!,"&lt;"&amp;P40,#REF!,"(10.152.26.30)",#REF!,"record_type=QUR")</f>
        <v>#REF!</v>
      </c>
      <c r="I40" t="e">
        <f>COUNTIFS(#REF!,"&gt;"&amp;O40,#REF!,"&lt;"&amp;P40,#REF!,"(10.152.26.31)",#REF!,"record_type=QUR")</f>
        <v>#REF!</v>
      </c>
      <c r="J40" t="e">
        <f>COUNTIFS(#REF!,"&gt;"&amp;O40,#REF!,"&lt;"&amp;P40,#REF!,"(10.152.26.32)",#REF!,"record_type=QUR")</f>
        <v>#REF!</v>
      </c>
      <c r="K40" t="e">
        <f>COUNTIFS(#REF!,"&gt;"&amp;O40,#REF!,"&lt;"&amp;P40,#REF!,"(10.152.26.30)",#REF!,"record_type=DER")</f>
        <v>#REF!</v>
      </c>
      <c r="L40" t="e">
        <f>COUNTIFS(#REF!,"&gt;"&amp;O40,#REF!,"&lt;"&amp;P40,#REF!,"(10.152.26.31)",#REF!,"record_type=DER")</f>
        <v>#REF!</v>
      </c>
      <c r="M40" t="e">
        <f>COUNTIFS(#REF!,"&gt;"&amp;O40,#REF!,"&lt;"&amp;P40,#REF!,"(10.152.26.32)",#REF!,"record_type=DER")</f>
        <v>#REF!</v>
      </c>
      <c r="O40" t="str">
        <f t="shared" si="0"/>
        <v>08:05:11</v>
      </c>
      <c r="P40" t="str">
        <f t="shared" si="1"/>
        <v>08:05:20</v>
      </c>
    </row>
    <row r="41" spans="1:16" x14ac:dyDescent="0.25">
      <c r="A41" s="3" t="s">
        <v>44</v>
      </c>
      <c r="B41" t="e">
        <f>COUNTIFS(#REF!,"&gt;"&amp;O41,#REF!,"&lt;"&amp;P41,#REF!,"(10.152.26.30)",#REF!,"record_type=QUR")</f>
        <v>#REF!</v>
      </c>
      <c r="C41" t="e">
        <f>COUNTIFS(#REF!,"&gt;"&amp;O41,#REF!,"&lt;"&amp;P41,#REF!,"(10.152.26.31)",#REF!,"record_type=QUR")</f>
        <v>#REF!</v>
      </c>
      <c r="D41" t="e">
        <f>COUNTIFS(#REF!,"&gt;"&amp;O41,#REF!,"&lt;"&amp;P41,#REF!,"(10.152.26.32)",#REF!,"record_type=QUR")</f>
        <v>#REF!</v>
      </c>
      <c r="E41" t="e">
        <f>COUNTIFS(#REF!,"&gt;"&amp;O41,#REF!,"&lt;"&amp;P41,#REF!,"(10.152.26.30)",#REF!,"record_type=DER")</f>
        <v>#REF!</v>
      </c>
      <c r="F41" t="e">
        <f>COUNTIFS(#REF!,"&gt;"&amp;O41,#REF!,"&lt;"&amp;P41,#REF!,"(10.152.26.31)",#REF!,"record_type=DER")</f>
        <v>#REF!</v>
      </c>
      <c r="G41" t="e">
        <f>COUNTIFS(#REF!,"&gt;"&amp;O41,#REF!,"&lt;"&amp;P41,#REF!,"(10.152.26.32)",#REF!,"record_type=DER")</f>
        <v>#REF!</v>
      </c>
      <c r="H41" t="e">
        <f>COUNTIFS(#REF!,"&gt;"&amp;O41,#REF!,"&lt;"&amp;P41,#REF!,"(10.152.26.30)",#REF!,"record_type=QUR")</f>
        <v>#REF!</v>
      </c>
      <c r="I41" t="e">
        <f>COUNTIFS(#REF!,"&gt;"&amp;O41,#REF!,"&lt;"&amp;P41,#REF!,"(10.152.26.31)",#REF!,"record_type=QUR")</f>
        <v>#REF!</v>
      </c>
      <c r="J41" t="e">
        <f>COUNTIFS(#REF!,"&gt;"&amp;O41,#REF!,"&lt;"&amp;P41,#REF!,"(10.152.26.32)",#REF!,"record_type=QUR")</f>
        <v>#REF!</v>
      </c>
      <c r="K41" t="e">
        <f>COUNTIFS(#REF!,"&gt;"&amp;O41,#REF!,"&lt;"&amp;P41,#REF!,"(10.152.26.30)",#REF!,"record_type=DER")</f>
        <v>#REF!</v>
      </c>
      <c r="L41" t="e">
        <f>COUNTIFS(#REF!,"&gt;"&amp;O41,#REF!,"&lt;"&amp;P41,#REF!,"(10.152.26.31)",#REF!,"record_type=DER")</f>
        <v>#REF!</v>
      </c>
      <c r="M41" t="e">
        <f>COUNTIFS(#REF!,"&gt;"&amp;O41,#REF!,"&lt;"&amp;P41,#REF!,"(10.152.26.32)",#REF!,"record_type=DER")</f>
        <v>#REF!</v>
      </c>
      <c r="O41" t="str">
        <f t="shared" si="0"/>
        <v>08:05:21</v>
      </c>
      <c r="P41" t="str">
        <f t="shared" si="1"/>
        <v>08:05:30</v>
      </c>
    </row>
    <row r="42" spans="1:16" x14ac:dyDescent="0.25">
      <c r="A42" s="3" t="s">
        <v>45</v>
      </c>
      <c r="B42" t="e">
        <f>COUNTIFS(#REF!,"&gt;"&amp;O42,#REF!,"&lt;"&amp;P42,#REF!,"(10.152.26.30)",#REF!,"record_type=QUR")</f>
        <v>#REF!</v>
      </c>
      <c r="C42" t="e">
        <f>COUNTIFS(#REF!,"&gt;"&amp;O42,#REF!,"&lt;"&amp;P42,#REF!,"(10.152.26.31)",#REF!,"record_type=QUR")</f>
        <v>#REF!</v>
      </c>
      <c r="D42" t="e">
        <f>COUNTIFS(#REF!,"&gt;"&amp;O42,#REF!,"&lt;"&amp;P42,#REF!,"(10.152.26.32)",#REF!,"record_type=QUR")</f>
        <v>#REF!</v>
      </c>
      <c r="E42" t="e">
        <f>COUNTIFS(#REF!,"&gt;"&amp;O42,#REF!,"&lt;"&amp;P42,#REF!,"(10.152.26.30)",#REF!,"record_type=DER")</f>
        <v>#REF!</v>
      </c>
      <c r="F42" t="e">
        <f>COUNTIFS(#REF!,"&gt;"&amp;O42,#REF!,"&lt;"&amp;P42,#REF!,"(10.152.26.31)",#REF!,"record_type=DER")</f>
        <v>#REF!</v>
      </c>
      <c r="G42" t="e">
        <f>COUNTIFS(#REF!,"&gt;"&amp;O42,#REF!,"&lt;"&amp;P42,#REF!,"(10.152.26.32)",#REF!,"record_type=DER")</f>
        <v>#REF!</v>
      </c>
      <c r="H42" t="e">
        <f>COUNTIFS(#REF!,"&gt;"&amp;O42,#REF!,"&lt;"&amp;P42,#REF!,"(10.152.26.30)",#REF!,"record_type=QUR")</f>
        <v>#REF!</v>
      </c>
      <c r="I42" t="e">
        <f>COUNTIFS(#REF!,"&gt;"&amp;O42,#REF!,"&lt;"&amp;P42,#REF!,"(10.152.26.31)",#REF!,"record_type=QUR")</f>
        <v>#REF!</v>
      </c>
      <c r="J42" t="e">
        <f>COUNTIFS(#REF!,"&gt;"&amp;O42,#REF!,"&lt;"&amp;P42,#REF!,"(10.152.26.32)",#REF!,"record_type=QUR")</f>
        <v>#REF!</v>
      </c>
      <c r="K42" t="e">
        <f>COUNTIFS(#REF!,"&gt;"&amp;O42,#REF!,"&lt;"&amp;P42,#REF!,"(10.152.26.30)",#REF!,"record_type=DER")</f>
        <v>#REF!</v>
      </c>
      <c r="L42" t="e">
        <f>COUNTIFS(#REF!,"&gt;"&amp;O42,#REF!,"&lt;"&amp;P42,#REF!,"(10.152.26.31)",#REF!,"record_type=DER")</f>
        <v>#REF!</v>
      </c>
      <c r="M42" t="e">
        <f>COUNTIFS(#REF!,"&gt;"&amp;O42,#REF!,"&lt;"&amp;P42,#REF!,"(10.152.26.32)",#REF!,"record_type=DER")</f>
        <v>#REF!</v>
      </c>
      <c r="O42" t="str">
        <f t="shared" si="0"/>
        <v>08:05:31</v>
      </c>
      <c r="P42" t="str">
        <f t="shared" si="1"/>
        <v>08:05:40</v>
      </c>
    </row>
    <row r="43" spans="1:16" x14ac:dyDescent="0.25">
      <c r="A43" s="3" t="s">
        <v>46</v>
      </c>
      <c r="B43" t="e">
        <f>COUNTIFS(#REF!,"&gt;"&amp;O43,#REF!,"&lt;"&amp;P43,#REF!,"(10.152.26.30)",#REF!,"record_type=QUR")</f>
        <v>#REF!</v>
      </c>
      <c r="C43" t="e">
        <f>COUNTIFS(#REF!,"&gt;"&amp;O43,#REF!,"&lt;"&amp;P43,#REF!,"(10.152.26.31)",#REF!,"record_type=QUR")</f>
        <v>#REF!</v>
      </c>
      <c r="D43" t="e">
        <f>COUNTIFS(#REF!,"&gt;"&amp;O43,#REF!,"&lt;"&amp;P43,#REF!,"(10.152.26.32)",#REF!,"record_type=QUR")</f>
        <v>#REF!</v>
      </c>
      <c r="E43" t="e">
        <f>COUNTIFS(#REF!,"&gt;"&amp;O43,#REF!,"&lt;"&amp;P43,#REF!,"(10.152.26.30)",#REF!,"record_type=DER")</f>
        <v>#REF!</v>
      </c>
      <c r="F43" t="e">
        <f>COUNTIFS(#REF!,"&gt;"&amp;O43,#REF!,"&lt;"&amp;P43,#REF!,"(10.152.26.31)",#REF!,"record_type=DER")</f>
        <v>#REF!</v>
      </c>
      <c r="G43" t="e">
        <f>COUNTIFS(#REF!,"&gt;"&amp;O43,#REF!,"&lt;"&amp;P43,#REF!,"(10.152.26.32)",#REF!,"record_type=DER")</f>
        <v>#REF!</v>
      </c>
      <c r="H43" t="e">
        <f>COUNTIFS(#REF!,"&gt;"&amp;O43,#REF!,"&lt;"&amp;P43,#REF!,"(10.152.26.30)",#REF!,"record_type=QUR")</f>
        <v>#REF!</v>
      </c>
      <c r="I43" t="e">
        <f>COUNTIFS(#REF!,"&gt;"&amp;O43,#REF!,"&lt;"&amp;P43,#REF!,"(10.152.26.31)",#REF!,"record_type=QUR")</f>
        <v>#REF!</v>
      </c>
      <c r="J43" t="e">
        <f>COUNTIFS(#REF!,"&gt;"&amp;O43,#REF!,"&lt;"&amp;P43,#REF!,"(10.152.26.32)",#REF!,"record_type=QUR")</f>
        <v>#REF!</v>
      </c>
      <c r="K43" t="e">
        <f>COUNTIFS(#REF!,"&gt;"&amp;O43,#REF!,"&lt;"&amp;P43,#REF!,"(10.152.26.30)",#REF!,"record_type=DER")</f>
        <v>#REF!</v>
      </c>
      <c r="L43" t="e">
        <f>COUNTIFS(#REF!,"&gt;"&amp;O43,#REF!,"&lt;"&amp;P43,#REF!,"(10.152.26.31)",#REF!,"record_type=DER")</f>
        <v>#REF!</v>
      </c>
      <c r="M43" t="e">
        <f>COUNTIFS(#REF!,"&gt;"&amp;O43,#REF!,"&lt;"&amp;P43,#REF!,"(10.152.26.32)",#REF!,"record_type=DER")</f>
        <v>#REF!</v>
      </c>
      <c r="O43" t="str">
        <f t="shared" si="0"/>
        <v>08:05:41</v>
      </c>
      <c r="P43" t="str">
        <f t="shared" si="1"/>
        <v>08:05:50</v>
      </c>
    </row>
    <row r="44" spans="1:16" x14ac:dyDescent="0.25">
      <c r="A44" s="3" t="s">
        <v>47</v>
      </c>
      <c r="B44" t="e">
        <f>COUNTIFS(#REF!,"&gt;"&amp;O44,#REF!,"&lt;"&amp;P44,#REF!,"(10.152.26.30)",#REF!,"record_type=QUR")</f>
        <v>#REF!</v>
      </c>
      <c r="C44" t="e">
        <f>COUNTIFS(#REF!,"&gt;"&amp;O44,#REF!,"&lt;"&amp;P44,#REF!,"(10.152.26.31)",#REF!,"record_type=QUR")</f>
        <v>#REF!</v>
      </c>
      <c r="D44" t="e">
        <f>COUNTIFS(#REF!,"&gt;"&amp;O44,#REF!,"&lt;"&amp;P44,#REF!,"(10.152.26.32)",#REF!,"record_type=QUR")</f>
        <v>#REF!</v>
      </c>
      <c r="E44" t="e">
        <f>COUNTIFS(#REF!,"&gt;"&amp;O44,#REF!,"&lt;"&amp;P44,#REF!,"(10.152.26.30)",#REF!,"record_type=DER")</f>
        <v>#REF!</v>
      </c>
      <c r="F44" t="e">
        <f>COUNTIFS(#REF!,"&gt;"&amp;O44,#REF!,"&lt;"&amp;P44,#REF!,"(10.152.26.31)",#REF!,"record_type=DER")</f>
        <v>#REF!</v>
      </c>
      <c r="G44" t="e">
        <f>COUNTIFS(#REF!,"&gt;"&amp;O44,#REF!,"&lt;"&amp;P44,#REF!,"(10.152.26.32)",#REF!,"record_type=DER")</f>
        <v>#REF!</v>
      </c>
      <c r="H44" t="e">
        <f>COUNTIFS(#REF!,"&gt;"&amp;O44,#REF!,"&lt;"&amp;P44,#REF!,"(10.152.26.30)",#REF!,"record_type=QUR")</f>
        <v>#REF!</v>
      </c>
      <c r="I44" t="e">
        <f>COUNTIFS(#REF!,"&gt;"&amp;O44,#REF!,"&lt;"&amp;P44,#REF!,"(10.152.26.31)",#REF!,"record_type=QUR")</f>
        <v>#REF!</v>
      </c>
      <c r="J44" t="e">
        <f>COUNTIFS(#REF!,"&gt;"&amp;O44,#REF!,"&lt;"&amp;P44,#REF!,"(10.152.26.32)",#REF!,"record_type=QUR")</f>
        <v>#REF!</v>
      </c>
      <c r="K44" t="e">
        <f>COUNTIFS(#REF!,"&gt;"&amp;O44,#REF!,"&lt;"&amp;P44,#REF!,"(10.152.26.30)",#REF!,"record_type=DER")</f>
        <v>#REF!</v>
      </c>
      <c r="L44" t="e">
        <f>COUNTIFS(#REF!,"&gt;"&amp;O44,#REF!,"&lt;"&amp;P44,#REF!,"(10.152.26.31)",#REF!,"record_type=DER")</f>
        <v>#REF!</v>
      </c>
      <c r="M44" t="e">
        <f>COUNTIFS(#REF!,"&gt;"&amp;O44,#REF!,"&lt;"&amp;P44,#REF!,"(10.152.26.32)",#REF!,"record_type=DER")</f>
        <v>#REF!</v>
      </c>
      <c r="O44" t="str">
        <f t="shared" si="0"/>
        <v>08:05:51</v>
      </c>
      <c r="P44" t="str">
        <f t="shared" si="1"/>
        <v>08:06:00</v>
      </c>
    </row>
    <row r="45" spans="1:16" x14ac:dyDescent="0.25">
      <c r="A45" s="3"/>
      <c r="B45" s="2" t="e">
        <f>SUM(B5:B44)</f>
        <v>#REF!</v>
      </c>
      <c r="C45" s="2" t="e">
        <f t="shared" ref="C45:M45" si="2">SUM(C5:C44)</f>
        <v>#REF!</v>
      </c>
      <c r="D45" s="2" t="e">
        <f t="shared" si="2"/>
        <v>#REF!</v>
      </c>
      <c r="E45" s="2" t="e">
        <f t="shared" si="2"/>
        <v>#REF!</v>
      </c>
      <c r="F45" s="2" t="e">
        <f t="shared" si="2"/>
        <v>#REF!</v>
      </c>
      <c r="G45" s="2" t="e">
        <f t="shared" si="2"/>
        <v>#REF!</v>
      </c>
      <c r="H45" s="2" t="e">
        <f t="shared" si="2"/>
        <v>#REF!</v>
      </c>
      <c r="I45" s="2" t="e">
        <f t="shared" si="2"/>
        <v>#REF!</v>
      </c>
      <c r="J45" s="2" t="e">
        <f t="shared" si="2"/>
        <v>#REF!</v>
      </c>
      <c r="K45" s="2" t="e">
        <f t="shared" si="2"/>
        <v>#REF!</v>
      </c>
      <c r="L45" s="2" t="e">
        <f t="shared" si="2"/>
        <v>#REF!</v>
      </c>
      <c r="M45" s="2" t="e">
        <f t="shared" si="2"/>
        <v>#REF!</v>
      </c>
    </row>
  </sheetData>
  <mergeCells count="7">
    <mergeCell ref="B1:M1"/>
    <mergeCell ref="B2:G2"/>
    <mergeCell ref="H2:M2"/>
    <mergeCell ref="B3:D3"/>
    <mergeCell ref="E3:G3"/>
    <mergeCell ref="H3:J3"/>
    <mergeCell ref="K3:M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5CC95-8E70-4EB2-A8EA-7FD999F8B040}">
  <sheetPr codeName="Sheet9"/>
  <dimension ref="A1:X43"/>
  <sheetViews>
    <sheetView workbookViewId="0">
      <selection activeCell="U41" sqref="U41"/>
    </sheetView>
  </sheetViews>
  <sheetFormatPr defaultRowHeight="15" x14ac:dyDescent="0.25"/>
  <cols>
    <col min="1" max="1" width="17.7109375" bestFit="1" customWidth="1"/>
    <col min="18" max="18" width="15.140625" bestFit="1" customWidth="1"/>
    <col min="20" max="20" width="10.140625" bestFit="1" customWidth="1"/>
  </cols>
  <sheetData>
    <row r="1" spans="1:20" ht="15.75" thickBot="1" x14ac:dyDescent="0.3">
      <c r="B1" s="34" t="s">
        <v>53</v>
      </c>
      <c r="C1" s="35"/>
      <c r="D1" s="35"/>
      <c r="E1" s="35"/>
      <c r="F1" s="36"/>
      <c r="G1" s="34" t="s">
        <v>52</v>
      </c>
      <c r="H1" s="35"/>
      <c r="I1" s="35"/>
      <c r="J1" s="35"/>
      <c r="K1" s="36"/>
      <c r="L1" s="34" t="s">
        <v>52</v>
      </c>
      <c r="M1" s="35"/>
      <c r="N1" s="35"/>
      <c r="O1" s="35"/>
      <c r="P1" s="36"/>
      <c r="Q1" s="26" t="s">
        <v>3</v>
      </c>
      <c r="R1" s="27"/>
      <c r="S1" s="26" t="s">
        <v>62</v>
      </c>
      <c r="T1" s="28"/>
    </row>
    <row r="2" spans="1:20" ht="15.75" thickBot="1" x14ac:dyDescent="0.3">
      <c r="B2" s="16" t="s">
        <v>57</v>
      </c>
      <c r="C2" s="17" t="s">
        <v>56</v>
      </c>
      <c r="D2" s="17" t="s">
        <v>9</v>
      </c>
      <c r="E2" s="17" t="s">
        <v>13</v>
      </c>
      <c r="F2" s="18" t="s">
        <v>54</v>
      </c>
      <c r="G2" s="16" t="s">
        <v>57</v>
      </c>
      <c r="H2" s="17" t="s">
        <v>56</v>
      </c>
      <c r="I2" s="17" t="s">
        <v>9</v>
      </c>
      <c r="J2" s="17" t="s">
        <v>13</v>
      </c>
      <c r="K2" s="18" t="s">
        <v>54</v>
      </c>
      <c r="L2" s="16" t="s">
        <v>57</v>
      </c>
      <c r="M2" s="17" t="s">
        <v>56</v>
      </c>
      <c r="N2" s="17" t="s">
        <v>9</v>
      </c>
      <c r="O2" s="17" t="s">
        <v>13</v>
      </c>
      <c r="P2" s="18" t="s">
        <v>54</v>
      </c>
      <c r="Q2" s="19" t="s">
        <v>58</v>
      </c>
      <c r="R2" s="20" t="s">
        <v>59</v>
      </c>
      <c r="S2" s="17" t="s">
        <v>60</v>
      </c>
      <c r="T2" s="18" t="s">
        <v>61</v>
      </c>
    </row>
    <row r="3" spans="1:20" x14ac:dyDescent="0.25">
      <c r="A3" s="3" t="s">
        <v>14</v>
      </c>
      <c r="B3" s="9">
        <f>COUNTIFS('Breakdown of stats'!A:A,"&gt;"&amp;LEFT(A3,8),'Breakdown of stats'!A:A,"&lt;"&amp;RIGHT(A3,8),'Breakdown of stats'!B:B,"*V1*")</f>
        <v>33</v>
      </c>
      <c r="C3" s="10" t="e">
        <f t="shared" ref="C3:C37" si="0">D3+E3+F3</f>
        <v>#REF!</v>
      </c>
      <c r="D3" s="10" t="e">
        <f>'WebDeal v1 by 10 seconds'!B5+'WebDeal v1 by 10 seconds'!E5+'WebDeal v1 by 10 seconds'!H5+'WebDeal v1 by 10 seconds'!K5</f>
        <v>#REF!</v>
      </c>
      <c r="E3" s="10" t="e">
        <f>'WebDeal v2 by 10 Seconds'!B5+'WebDeal v2 by 10 Seconds'!E5+'WebDeal v2 by 10 Seconds'!H5+'WebDeal v2 by 10 Seconds'!K5</f>
        <v>#REF!</v>
      </c>
      <c r="F3" s="11" t="e">
        <f>'WebDeal v3 by 10 Seconds'!B5+'WebDeal v3 by 10 Seconds'!E5+'WebDeal v3 by 10 Seconds'!H5+'WebDeal v3 by 10 Seconds'!K5</f>
        <v>#REF!</v>
      </c>
      <c r="G3" s="9">
        <f>COUNTIFS('Breakdown of stats'!A:A,"&gt;"&amp;LEFT(A3,8),'Breakdown of stats'!A:A,"&lt;"&amp;RIGHT(A3,8),'Breakdown of stats'!B:B,"*V2*")</f>
        <v>27</v>
      </c>
      <c r="H3" s="10" t="e">
        <f>I3+J3+K3</f>
        <v>#REF!</v>
      </c>
      <c r="I3" s="10" t="e">
        <f>'WebDeal v1 by 10 seconds'!C5+'WebDeal v1 by 10 seconds'!F5+'WebDeal v1 by 10 seconds'!I5+'WebDeal v1 by 10 seconds'!L5</f>
        <v>#REF!</v>
      </c>
      <c r="J3" s="10" t="e">
        <f>'WebDeal v2 by 10 Seconds'!C5+'WebDeal v2 by 10 Seconds'!F5+'WebDeal v2 by 10 Seconds'!I5+'WebDeal v2 by 10 Seconds'!L5</f>
        <v>#REF!</v>
      </c>
      <c r="K3" s="11" t="e">
        <f>'WebDeal v3 by 10 Seconds'!C5+'WebDeal v3 by 10 Seconds'!F5+'WebDeal v3 by 10 Seconds'!I5+'WebDeal v3 by 10 Seconds'!L5</f>
        <v>#REF!</v>
      </c>
      <c r="L3" s="9">
        <f>COUNTIFS('Breakdown of stats'!A:A,"&gt;"&amp;LEFT(A3,8),'Breakdown of stats'!A:A,"&lt;"&amp;RIGHT(A3,8),'Breakdown of stats'!B:B,"*V3*")</f>
        <v>38</v>
      </c>
      <c r="M3" s="10" t="e">
        <f>N3+O3+P3</f>
        <v>#REF!</v>
      </c>
      <c r="N3" s="10" t="e">
        <f>'WebDeal v1 by 10 seconds'!D5+'WebDeal v1 by 10 seconds'!G5+'WebDeal v1 by 10 seconds'!J5+'WebDeal v1 by 10 seconds'!M5</f>
        <v>#REF!</v>
      </c>
      <c r="O3" s="10" t="e">
        <f>'WebDeal v2 by 10 Seconds'!D5+'WebDeal v2 by 10 Seconds'!G5+'WebDeal v2 by 10 Seconds'!J5+'WebDeal v2 by 10 Seconds'!M5</f>
        <v>#REF!</v>
      </c>
      <c r="P3" s="11" t="e">
        <f>'WebDeal v3 by 10 Seconds'!D5+'WebDeal v3 by 10 Seconds'!G5+'WebDeal v3 by 10 Seconds'!J5+'WebDeal v3 by 10 Seconds'!M5</f>
        <v>#REF!</v>
      </c>
      <c r="Q3" s="9">
        <f>B3+G3+L3</f>
        <v>98</v>
      </c>
      <c r="R3" s="11" t="e">
        <f>C3+H3+M3</f>
        <v>#REF!</v>
      </c>
      <c r="S3" s="21">
        <f>Q3</f>
        <v>98</v>
      </c>
      <c r="T3" s="22" t="e">
        <f>R3</f>
        <v>#REF!</v>
      </c>
    </row>
    <row r="4" spans="1:20" x14ac:dyDescent="0.25">
      <c r="A4" s="3" t="s">
        <v>15</v>
      </c>
      <c r="B4" s="9">
        <f>COUNTIFS('Breakdown of stats'!A:A,"&gt;"&amp;LEFT(A4,8),'Breakdown of stats'!A:A,"&lt;"&amp;RIGHT(A4,8),'Breakdown of stats'!B:B,"*V1*")</f>
        <v>30</v>
      </c>
      <c r="C4" s="10" t="e">
        <f t="shared" si="0"/>
        <v>#REF!</v>
      </c>
      <c r="D4" s="10" t="e">
        <f>'WebDeal v1 by 10 seconds'!B6+'WebDeal v1 by 10 seconds'!E6+'WebDeal v1 by 10 seconds'!H6+'WebDeal v1 by 10 seconds'!K6</f>
        <v>#REF!</v>
      </c>
      <c r="E4" s="10" t="e">
        <f>'WebDeal v2 by 10 Seconds'!B6+'WebDeal v2 by 10 Seconds'!E6+'WebDeal v2 by 10 Seconds'!H6+'WebDeal v2 by 10 Seconds'!K6</f>
        <v>#REF!</v>
      </c>
      <c r="F4" s="11" t="e">
        <f>'WebDeal v3 by 10 Seconds'!B6+'WebDeal v3 by 10 Seconds'!E6+'WebDeal v3 by 10 Seconds'!H6+'WebDeal v3 by 10 Seconds'!K6</f>
        <v>#REF!</v>
      </c>
      <c r="G4" s="9">
        <f>COUNTIFS('Breakdown of stats'!A:A,"&gt;"&amp;LEFT(A4,8),'Breakdown of stats'!A:A,"&lt;"&amp;RIGHT(A4,8),'Breakdown of stats'!B:B,"*V2*")</f>
        <v>28</v>
      </c>
      <c r="H4" s="10" t="e">
        <f t="shared" ref="H4:H37" si="1">I4+J4+K4</f>
        <v>#REF!</v>
      </c>
      <c r="I4" s="10" t="e">
        <f>'WebDeal v1 by 10 seconds'!C6+'WebDeal v1 by 10 seconds'!F6+'WebDeal v1 by 10 seconds'!I6+'WebDeal v1 by 10 seconds'!L6</f>
        <v>#REF!</v>
      </c>
      <c r="J4" s="10" t="e">
        <f>'WebDeal v2 by 10 Seconds'!C6+'WebDeal v2 by 10 Seconds'!F6+'WebDeal v2 by 10 Seconds'!I6+'WebDeal v2 by 10 Seconds'!L6</f>
        <v>#REF!</v>
      </c>
      <c r="K4" s="11" t="e">
        <f>'WebDeal v3 by 10 Seconds'!C6+'WebDeal v3 by 10 Seconds'!F6+'WebDeal v3 by 10 Seconds'!I6+'WebDeal v3 by 10 Seconds'!L6</f>
        <v>#REF!</v>
      </c>
      <c r="L4" s="9">
        <f>COUNTIFS('Breakdown of stats'!A:A,"&gt;"&amp;LEFT(A4,8),'Breakdown of stats'!A:A,"&lt;"&amp;RIGHT(A4,8),'Breakdown of stats'!B:B,"*V3*")</f>
        <v>23</v>
      </c>
      <c r="M4" s="10" t="e">
        <f t="shared" ref="M4:M37" si="2">N4+O4+P4</f>
        <v>#REF!</v>
      </c>
      <c r="N4" s="10" t="e">
        <f>'WebDeal v1 by 10 seconds'!D6+'WebDeal v1 by 10 seconds'!G6+'WebDeal v1 by 10 seconds'!J6+'WebDeal v1 by 10 seconds'!M6</f>
        <v>#REF!</v>
      </c>
      <c r="O4" s="10" t="e">
        <f>'WebDeal v2 by 10 Seconds'!D6+'WebDeal v2 by 10 Seconds'!G6+'WebDeal v2 by 10 Seconds'!J6+'WebDeal v2 by 10 Seconds'!M6</f>
        <v>#REF!</v>
      </c>
      <c r="P4" s="11" t="e">
        <f>'WebDeal v3 by 10 Seconds'!D6+'WebDeal v3 by 10 Seconds'!G6+'WebDeal v3 by 10 Seconds'!J6+'WebDeal v3 by 10 Seconds'!M6</f>
        <v>#REF!</v>
      </c>
      <c r="Q4" s="9">
        <f t="shared" ref="Q4:Q37" si="3">B4+G4+L4</f>
        <v>81</v>
      </c>
      <c r="R4" s="11" t="e">
        <f t="shared" ref="R4:R37" si="4">C4+H4+M4</f>
        <v>#REF!</v>
      </c>
      <c r="S4" s="9">
        <f>Q4+S3</f>
        <v>179</v>
      </c>
      <c r="T4" s="11" t="e">
        <f>R4+T3</f>
        <v>#REF!</v>
      </c>
    </row>
    <row r="5" spans="1:20" x14ac:dyDescent="0.25">
      <c r="A5" s="3" t="s">
        <v>16</v>
      </c>
      <c r="B5" s="9">
        <f>COUNTIFS('Breakdown of stats'!A:A,"&gt;"&amp;LEFT(A5,8),'Breakdown of stats'!A:A,"&lt;"&amp;RIGHT(A5,8),'Breakdown of stats'!B:B,"*V1*")</f>
        <v>26</v>
      </c>
      <c r="C5" s="10" t="e">
        <f t="shared" si="0"/>
        <v>#REF!</v>
      </c>
      <c r="D5" s="10" t="e">
        <f>'WebDeal v1 by 10 seconds'!B7+'WebDeal v1 by 10 seconds'!E7+'WebDeal v1 by 10 seconds'!H7+'WebDeal v1 by 10 seconds'!K7</f>
        <v>#REF!</v>
      </c>
      <c r="E5" s="10" t="e">
        <f>'WebDeal v2 by 10 Seconds'!B7+'WebDeal v2 by 10 Seconds'!E7+'WebDeal v2 by 10 Seconds'!H7+'WebDeal v2 by 10 Seconds'!K7</f>
        <v>#REF!</v>
      </c>
      <c r="F5" s="11" t="e">
        <f>'WebDeal v3 by 10 Seconds'!B7+'WebDeal v3 by 10 Seconds'!E7+'WebDeal v3 by 10 Seconds'!H7+'WebDeal v3 by 10 Seconds'!K7</f>
        <v>#REF!</v>
      </c>
      <c r="G5" s="9">
        <f>COUNTIFS('Breakdown of stats'!A:A,"&gt;"&amp;LEFT(A5,8),'Breakdown of stats'!A:A,"&lt;"&amp;RIGHT(A5,8),'Breakdown of stats'!B:B,"*V2*")</f>
        <v>30</v>
      </c>
      <c r="H5" s="10" t="e">
        <f t="shared" si="1"/>
        <v>#REF!</v>
      </c>
      <c r="I5" s="10" t="e">
        <f>'WebDeal v1 by 10 seconds'!C7+'WebDeal v1 by 10 seconds'!F7+'WebDeal v1 by 10 seconds'!I7+'WebDeal v1 by 10 seconds'!L7</f>
        <v>#REF!</v>
      </c>
      <c r="J5" s="10" t="e">
        <f>'WebDeal v2 by 10 Seconds'!C7+'WebDeal v2 by 10 Seconds'!F7+'WebDeal v2 by 10 Seconds'!I7+'WebDeal v2 by 10 Seconds'!L7</f>
        <v>#REF!</v>
      </c>
      <c r="K5" s="11" t="e">
        <f>'WebDeal v3 by 10 Seconds'!C7+'WebDeal v3 by 10 Seconds'!F7+'WebDeal v3 by 10 Seconds'!I7+'WebDeal v3 by 10 Seconds'!L7</f>
        <v>#REF!</v>
      </c>
      <c r="L5" s="9">
        <f>COUNTIFS('Breakdown of stats'!A:A,"&gt;"&amp;LEFT(A5,8),'Breakdown of stats'!A:A,"&lt;"&amp;RIGHT(A5,8),'Breakdown of stats'!B:B,"*V3*")</f>
        <v>23</v>
      </c>
      <c r="M5" s="10" t="e">
        <f t="shared" si="2"/>
        <v>#REF!</v>
      </c>
      <c r="N5" s="10" t="e">
        <f>'WebDeal v1 by 10 seconds'!D7+'WebDeal v1 by 10 seconds'!G7+'WebDeal v1 by 10 seconds'!J7+'WebDeal v1 by 10 seconds'!M7</f>
        <v>#REF!</v>
      </c>
      <c r="O5" s="10" t="e">
        <f>'WebDeal v2 by 10 Seconds'!D7+'WebDeal v2 by 10 Seconds'!G7+'WebDeal v2 by 10 Seconds'!J7+'WebDeal v2 by 10 Seconds'!M7</f>
        <v>#REF!</v>
      </c>
      <c r="P5" s="11" t="e">
        <f>'WebDeal v3 by 10 Seconds'!D7+'WebDeal v3 by 10 Seconds'!G7+'WebDeal v3 by 10 Seconds'!J7+'WebDeal v3 by 10 Seconds'!M7</f>
        <v>#REF!</v>
      </c>
      <c r="Q5" s="9">
        <f t="shared" si="3"/>
        <v>79</v>
      </c>
      <c r="R5" s="11" t="e">
        <f t="shared" si="4"/>
        <v>#REF!</v>
      </c>
      <c r="S5" s="9">
        <f t="shared" ref="S5:S37" si="5">Q5+S4</f>
        <v>258</v>
      </c>
      <c r="T5" s="11" t="e">
        <f t="shared" ref="T5:T37" si="6">R5+T4</f>
        <v>#REF!</v>
      </c>
    </row>
    <row r="6" spans="1:20" x14ac:dyDescent="0.25">
      <c r="A6" s="3" t="s">
        <v>17</v>
      </c>
      <c r="B6" s="9">
        <f>COUNTIFS('Breakdown of stats'!A:A,"&gt;"&amp;LEFT(A6,8),'Breakdown of stats'!A:A,"&lt;"&amp;RIGHT(A6,8),'Breakdown of stats'!B:B,"*V1*")</f>
        <v>23</v>
      </c>
      <c r="C6" s="10" t="e">
        <f t="shared" si="0"/>
        <v>#REF!</v>
      </c>
      <c r="D6" s="10" t="e">
        <f>'WebDeal v1 by 10 seconds'!B8+'WebDeal v1 by 10 seconds'!E8+'WebDeal v1 by 10 seconds'!H8+'WebDeal v1 by 10 seconds'!K8</f>
        <v>#REF!</v>
      </c>
      <c r="E6" s="10" t="e">
        <f>'WebDeal v2 by 10 Seconds'!B8+'WebDeal v2 by 10 Seconds'!E8+'WebDeal v2 by 10 Seconds'!H8+'WebDeal v2 by 10 Seconds'!K8</f>
        <v>#REF!</v>
      </c>
      <c r="F6" s="11" t="e">
        <f>'WebDeal v3 by 10 Seconds'!B8+'WebDeal v3 by 10 Seconds'!E8+'WebDeal v3 by 10 Seconds'!H8+'WebDeal v3 by 10 Seconds'!K8</f>
        <v>#REF!</v>
      </c>
      <c r="G6" s="9">
        <f>COUNTIFS('Breakdown of stats'!A:A,"&gt;"&amp;LEFT(A6,8),'Breakdown of stats'!A:A,"&lt;"&amp;RIGHT(A6,8),'Breakdown of stats'!B:B,"*V2*")</f>
        <v>25</v>
      </c>
      <c r="H6" s="10" t="e">
        <f t="shared" si="1"/>
        <v>#REF!</v>
      </c>
      <c r="I6" s="10" t="e">
        <f>'WebDeal v1 by 10 seconds'!C8+'WebDeal v1 by 10 seconds'!F8+'WebDeal v1 by 10 seconds'!I8+'WebDeal v1 by 10 seconds'!L8</f>
        <v>#REF!</v>
      </c>
      <c r="J6" s="10" t="e">
        <f>'WebDeal v2 by 10 Seconds'!C8+'WebDeal v2 by 10 Seconds'!F8+'WebDeal v2 by 10 Seconds'!I8+'WebDeal v2 by 10 Seconds'!L8</f>
        <v>#REF!</v>
      </c>
      <c r="K6" s="11" t="e">
        <f>'WebDeal v3 by 10 Seconds'!C8+'WebDeal v3 by 10 Seconds'!F8+'WebDeal v3 by 10 Seconds'!I8+'WebDeal v3 by 10 Seconds'!L8</f>
        <v>#REF!</v>
      </c>
      <c r="L6" s="9">
        <f>COUNTIFS('Breakdown of stats'!A:A,"&gt;"&amp;LEFT(A6,8),'Breakdown of stats'!A:A,"&lt;"&amp;RIGHT(A6,8),'Breakdown of stats'!B:B,"*V3*")</f>
        <v>29</v>
      </c>
      <c r="M6" s="10" t="e">
        <f t="shared" si="2"/>
        <v>#REF!</v>
      </c>
      <c r="N6" s="10" t="e">
        <f>'WebDeal v1 by 10 seconds'!D8+'WebDeal v1 by 10 seconds'!G8+'WebDeal v1 by 10 seconds'!J8+'WebDeal v1 by 10 seconds'!M8</f>
        <v>#REF!</v>
      </c>
      <c r="O6" s="10" t="e">
        <f>'WebDeal v2 by 10 Seconds'!D8+'WebDeal v2 by 10 Seconds'!G8+'WebDeal v2 by 10 Seconds'!J8+'WebDeal v2 by 10 Seconds'!M8</f>
        <v>#REF!</v>
      </c>
      <c r="P6" s="11" t="e">
        <f>'WebDeal v3 by 10 Seconds'!D8+'WebDeal v3 by 10 Seconds'!G8+'WebDeal v3 by 10 Seconds'!J8+'WebDeal v3 by 10 Seconds'!M8</f>
        <v>#REF!</v>
      </c>
      <c r="Q6" s="9">
        <f t="shared" si="3"/>
        <v>77</v>
      </c>
      <c r="R6" s="11" t="e">
        <f t="shared" si="4"/>
        <v>#REF!</v>
      </c>
      <c r="S6" s="9">
        <f t="shared" si="5"/>
        <v>335</v>
      </c>
      <c r="T6" s="11" t="e">
        <f t="shared" si="6"/>
        <v>#REF!</v>
      </c>
    </row>
    <row r="7" spans="1:20" x14ac:dyDescent="0.25">
      <c r="A7" s="3" t="s">
        <v>18</v>
      </c>
      <c r="B7" s="9">
        <f>COUNTIFS('Breakdown of stats'!A:A,"&gt;"&amp;LEFT(A7,8),'Breakdown of stats'!A:A,"&lt;"&amp;RIGHT(A7,8),'Breakdown of stats'!B:B,"*V1*")</f>
        <v>28</v>
      </c>
      <c r="C7" s="10" t="e">
        <f t="shared" si="0"/>
        <v>#REF!</v>
      </c>
      <c r="D7" s="10" t="e">
        <f>'WebDeal v1 by 10 seconds'!B9+'WebDeal v1 by 10 seconds'!E9+'WebDeal v1 by 10 seconds'!H9+'WebDeal v1 by 10 seconds'!K9</f>
        <v>#REF!</v>
      </c>
      <c r="E7" s="10" t="e">
        <f>'WebDeal v2 by 10 Seconds'!B9+'WebDeal v2 by 10 Seconds'!E9+'WebDeal v2 by 10 Seconds'!H9+'WebDeal v2 by 10 Seconds'!K9</f>
        <v>#REF!</v>
      </c>
      <c r="F7" s="11" t="e">
        <f>'WebDeal v3 by 10 Seconds'!B9+'WebDeal v3 by 10 Seconds'!E9+'WebDeal v3 by 10 Seconds'!H9+'WebDeal v3 by 10 Seconds'!K9</f>
        <v>#REF!</v>
      </c>
      <c r="G7" s="9">
        <f>COUNTIFS('Breakdown of stats'!A:A,"&gt;"&amp;LEFT(A7,8),'Breakdown of stats'!A:A,"&lt;"&amp;RIGHT(A7,8),'Breakdown of stats'!B:B,"*V2*")</f>
        <v>28</v>
      </c>
      <c r="H7" s="10" t="e">
        <f t="shared" si="1"/>
        <v>#REF!</v>
      </c>
      <c r="I7" s="10" t="e">
        <f>'WebDeal v1 by 10 seconds'!C9+'WebDeal v1 by 10 seconds'!F9+'WebDeal v1 by 10 seconds'!I9+'WebDeal v1 by 10 seconds'!L9</f>
        <v>#REF!</v>
      </c>
      <c r="J7" s="10" t="e">
        <f>'WebDeal v2 by 10 Seconds'!C9+'WebDeal v2 by 10 Seconds'!F9+'WebDeal v2 by 10 Seconds'!I9+'WebDeal v2 by 10 Seconds'!L9</f>
        <v>#REF!</v>
      </c>
      <c r="K7" s="11" t="e">
        <f>'WebDeal v3 by 10 Seconds'!C9+'WebDeal v3 by 10 Seconds'!F9+'WebDeal v3 by 10 Seconds'!I9+'WebDeal v3 by 10 Seconds'!L9</f>
        <v>#REF!</v>
      </c>
      <c r="L7" s="9">
        <f>COUNTIFS('Breakdown of stats'!A:A,"&gt;"&amp;LEFT(A7,8),'Breakdown of stats'!A:A,"&lt;"&amp;RIGHT(A7,8),'Breakdown of stats'!B:B,"*V3*")</f>
        <v>25</v>
      </c>
      <c r="M7" s="10" t="e">
        <f t="shared" si="2"/>
        <v>#REF!</v>
      </c>
      <c r="N7" s="10" t="e">
        <f>'WebDeal v1 by 10 seconds'!D9+'WebDeal v1 by 10 seconds'!G9+'WebDeal v1 by 10 seconds'!J9+'WebDeal v1 by 10 seconds'!M9</f>
        <v>#REF!</v>
      </c>
      <c r="O7" s="10" t="e">
        <f>'WebDeal v2 by 10 Seconds'!D9+'WebDeal v2 by 10 Seconds'!G9+'WebDeal v2 by 10 Seconds'!J9+'WebDeal v2 by 10 Seconds'!M9</f>
        <v>#REF!</v>
      </c>
      <c r="P7" s="11" t="e">
        <f>'WebDeal v3 by 10 Seconds'!D9+'WebDeal v3 by 10 Seconds'!G9+'WebDeal v3 by 10 Seconds'!J9+'WebDeal v3 by 10 Seconds'!M9</f>
        <v>#REF!</v>
      </c>
      <c r="Q7" s="9">
        <f t="shared" si="3"/>
        <v>81</v>
      </c>
      <c r="R7" s="11" t="e">
        <f t="shared" si="4"/>
        <v>#REF!</v>
      </c>
      <c r="S7" s="9">
        <f t="shared" si="5"/>
        <v>416</v>
      </c>
      <c r="T7" s="11" t="e">
        <f t="shared" si="6"/>
        <v>#REF!</v>
      </c>
    </row>
    <row r="8" spans="1:20" x14ac:dyDescent="0.25">
      <c r="A8" s="3" t="s">
        <v>19</v>
      </c>
      <c r="B8" s="9">
        <f>COUNTIFS('Breakdown of stats'!A:A,"&gt;"&amp;LEFT(A8,8),'Breakdown of stats'!A:A,"&lt;"&amp;RIGHT(A8,8),'Breakdown of stats'!B:B,"*V1*")</f>
        <v>22</v>
      </c>
      <c r="C8" s="10" t="e">
        <f t="shared" si="0"/>
        <v>#REF!</v>
      </c>
      <c r="D8" s="10" t="e">
        <f>'WebDeal v1 by 10 seconds'!B10+'WebDeal v1 by 10 seconds'!E10+'WebDeal v1 by 10 seconds'!H10+'WebDeal v1 by 10 seconds'!K10</f>
        <v>#REF!</v>
      </c>
      <c r="E8" s="10" t="e">
        <f>'WebDeal v2 by 10 Seconds'!B10+'WebDeal v2 by 10 Seconds'!E10+'WebDeal v2 by 10 Seconds'!H10+'WebDeal v2 by 10 Seconds'!K10</f>
        <v>#REF!</v>
      </c>
      <c r="F8" s="11" t="e">
        <f>'WebDeal v3 by 10 Seconds'!B10+'WebDeal v3 by 10 Seconds'!E10+'WebDeal v3 by 10 Seconds'!H10+'WebDeal v3 by 10 Seconds'!K10</f>
        <v>#REF!</v>
      </c>
      <c r="G8" s="9">
        <f>COUNTIFS('Breakdown of stats'!A:A,"&gt;"&amp;LEFT(A8,8),'Breakdown of stats'!A:A,"&lt;"&amp;RIGHT(A8,8),'Breakdown of stats'!B:B,"*V2*")</f>
        <v>21</v>
      </c>
      <c r="H8" s="10" t="e">
        <f t="shared" si="1"/>
        <v>#REF!</v>
      </c>
      <c r="I8" s="10" t="e">
        <f>'WebDeal v1 by 10 seconds'!C10+'WebDeal v1 by 10 seconds'!F10+'WebDeal v1 by 10 seconds'!I10+'WebDeal v1 by 10 seconds'!L10</f>
        <v>#REF!</v>
      </c>
      <c r="J8" s="10" t="e">
        <f>'WebDeal v2 by 10 Seconds'!C10+'WebDeal v2 by 10 Seconds'!F10+'WebDeal v2 by 10 Seconds'!I10+'WebDeal v2 by 10 Seconds'!L10</f>
        <v>#REF!</v>
      </c>
      <c r="K8" s="11" t="e">
        <f>'WebDeal v3 by 10 Seconds'!C10+'WebDeal v3 by 10 Seconds'!F10+'WebDeal v3 by 10 Seconds'!I10+'WebDeal v3 by 10 Seconds'!L10</f>
        <v>#REF!</v>
      </c>
      <c r="L8" s="9">
        <f>COUNTIFS('Breakdown of stats'!A:A,"&gt;"&amp;LEFT(A8,8),'Breakdown of stats'!A:A,"&lt;"&amp;RIGHT(A8,8),'Breakdown of stats'!B:B,"*V3*")</f>
        <v>25</v>
      </c>
      <c r="M8" s="10" t="e">
        <f t="shared" si="2"/>
        <v>#REF!</v>
      </c>
      <c r="N8" s="10" t="e">
        <f>'WebDeal v1 by 10 seconds'!D10+'WebDeal v1 by 10 seconds'!G10+'WebDeal v1 by 10 seconds'!J10+'WebDeal v1 by 10 seconds'!M10</f>
        <v>#REF!</v>
      </c>
      <c r="O8" s="10" t="e">
        <f>'WebDeal v2 by 10 Seconds'!D10+'WebDeal v2 by 10 Seconds'!G10+'WebDeal v2 by 10 Seconds'!J10+'WebDeal v2 by 10 Seconds'!M10</f>
        <v>#REF!</v>
      </c>
      <c r="P8" s="11" t="e">
        <f>'WebDeal v3 by 10 Seconds'!D10+'WebDeal v3 by 10 Seconds'!G10+'WebDeal v3 by 10 Seconds'!J10+'WebDeal v3 by 10 Seconds'!M10</f>
        <v>#REF!</v>
      </c>
      <c r="Q8" s="9">
        <f t="shared" si="3"/>
        <v>68</v>
      </c>
      <c r="R8" s="11" t="e">
        <f t="shared" si="4"/>
        <v>#REF!</v>
      </c>
      <c r="S8" s="9">
        <f t="shared" si="5"/>
        <v>484</v>
      </c>
      <c r="T8" s="11" t="e">
        <f t="shared" si="6"/>
        <v>#REF!</v>
      </c>
    </row>
    <row r="9" spans="1:20" x14ac:dyDescent="0.25">
      <c r="A9" s="3" t="s">
        <v>55</v>
      </c>
      <c r="B9" s="9">
        <f>COUNTIFS('Breakdown of stats'!A:A,"&gt;"&amp;LEFT(A9,8),'Breakdown of stats'!A:A,"&lt;"&amp;RIGHT(A9,8),'Breakdown of stats'!B:B,"*V1*")</f>
        <v>25</v>
      </c>
      <c r="C9" s="10" t="e">
        <f t="shared" si="0"/>
        <v>#REF!</v>
      </c>
      <c r="D9" s="10" t="e">
        <f>'WebDeal v1 by 10 seconds'!B11+'WebDeal v1 by 10 seconds'!E11+'WebDeal v1 by 10 seconds'!H11+'WebDeal v1 by 10 seconds'!K11</f>
        <v>#REF!</v>
      </c>
      <c r="E9" s="10" t="e">
        <f>'WebDeal v2 by 10 Seconds'!B11+'WebDeal v2 by 10 Seconds'!E11+'WebDeal v2 by 10 Seconds'!H11+'WebDeal v2 by 10 Seconds'!K11</f>
        <v>#REF!</v>
      </c>
      <c r="F9" s="11" t="e">
        <f>'WebDeal v3 by 10 Seconds'!B11+'WebDeal v3 by 10 Seconds'!E11+'WebDeal v3 by 10 Seconds'!H11+'WebDeal v3 by 10 Seconds'!K11</f>
        <v>#REF!</v>
      </c>
      <c r="G9" s="9">
        <f>COUNTIFS('Breakdown of stats'!A:A,"&gt;"&amp;LEFT(A9,8),'Breakdown of stats'!A:A,"&lt;"&amp;RIGHT(A9,8),'Breakdown of stats'!B:B,"*V2*")</f>
        <v>21</v>
      </c>
      <c r="H9" s="10" t="e">
        <f t="shared" si="1"/>
        <v>#REF!</v>
      </c>
      <c r="I9" s="10" t="e">
        <f>'WebDeal v1 by 10 seconds'!C11+'WebDeal v1 by 10 seconds'!F11+'WebDeal v1 by 10 seconds'!I11+'WebDeal v1 by 10 seconds'!L11</f>
        <v>#REF!</v>
      </c>
      <c r="J9" s="10" t="e">
        <f>'WebDeal v2 by 10 Seconds'!C11+'WebDeal v2 by 10 Seconds'!F11+'WebDeal v2 by 10 Seconds'!I11+'WebDeal v2 by 10 Seconds'!L11</f>
        <v>#REF!</v>
      </c>
      <c r="K9" s="11" t="e">
        <f>'WebDeal v3 by 10 Seconds'!C11+'WebDeal v3 by 10 Seconds'!F11+'WebDeal v3 by 10 Seconds'!I11+'WebDeal v3 by 10 Seconds'!L11</f>
        <v>#REF!</v>
      </c>
      <c r="L9" s="9">
        <f>COUNTIFS('Breakdown of stats'!A:A,"&gt;"&amp;LEFT(A9,8),'Breakdown of stats'!A:A,"&lt;"&amp;RIGHT(A9,8),'Breakdown of stats'!B:B,"*V3*")</f>
        <v>27</v>
      </c>
      <c r="M9" s="10" t="e">
        <f t="shared" si="2"/>
        <v>#REF!</v>
      </c>
      <c r="N9" s="10" t="e">
        <f>'WebDeal v1 by 10 seconds'!D11+'WebDeal v1 by 10 seconds'!G11+'WebDeal v1 by 10 seconds'!J11+'WebDeal v1 by 10 seconds'!M11</f>
        <v>#REF!</v>
      </c>
      <c r="O9" s="10" t="e">
        <f>'WebDeal v2 by 10 Seconds'!D11+'WebDeal v2 by 10 Seconds'!G11+'WebDeal v2 by 10 Seconds'!J11+'WebDeal v2 by 10 Seconds'!M11</f>
        <v>#REF!</v>
      </c>
      <c r="P9" s="11" t="e">
        <f>'WebDeal v3 by 10 Seconds'!D11+'WebDeal v3 by 10 Seconds'!G11+'WebDeal v3 by 10 Seconds'!J11+'WebDeal v3 by 10 Seconds'!M11</f>
        <v>#REF!</v>
      </c>
      <c r="Q9" s="9">
        <f t="shared" si="3"/>
        <v>73</v>
      </c>
      <c r="R9" s="11" t="e">
        <f t="shared" si="4"/>
        <v>#REF!</v>
      </c>
      <c r="S9" s="9">
        <f t="shared" si="5"/>
        <v>557</v>
      </c>
      <c r="T9" s="11" t="e">
        <f t="shared" si="6"/>
        <v>#REF!</v>
      </c>
    </row>
    <row r="10" spans="1:20" x14ac:dyDescent="0.25">
      <c r="A10" s="3" t="s">
        <v>20</v>
      </c>
      <c r="B10" s="9">
        <f>COUNTIFS('Breakdown of stats'!A:A,"&gt;"&amp;LEFT(A10,8),'Breakdown of stats'!A:A,"&lt;"&amp;RIGHT(A10,8),'Breakdown of stats'!B:B,"*V1*")</f>
        <v>20</v>
      </c>
      <c r="C10" s="10" t="e">
        <f t="shared" si="0"/>
        <v>#REF!</v>
      </c>
      <c r="D10" s="10" t="e">
        <f>'WebDeal v1 by 10 seconds'!B12+'WebDeal v1 by 10 seconds'!E12+'WebDeal v1 by 10 seconds'!H12+'WebDeal v1 by 10 seconds'!K12</f>
        <v>#REF!</v>
      </c>
      <c r="E10" s="10" t="e">
        <f>'WebDeal v2 by 10 Seconds'!B12+'WebDeal v2 by 10 Seconds'!E12+'WebDeal v2 by 10 Seconds'!H12+'WebDeal v2 by 10 Seconds'!K12</f>
        <v>#REF!</v>
      </c>
      <c r="F10" s="11" t="e">
        <f>'WebDeal v3 by 10 Seconds'!B12+'WebDeal v3 by 10 Seconds'!E12+'WebDeal v3 by 10 Seconds'!H12+'WebDeal v3 by 10 Seconds'!K12</f>
        <v>#REF!</v>
      </c>
      <c r="G10" s="9">
        <f>COUNTIFS('Breakdown of stats'!A:A,"&gt;"&amp;LEFT(A10,8),'Breakdown of stats'!A:A,"&lt;"&amp;RIGHT(A10,8),'Breakdown of stats'!B:B,"*V2*")</f>
        <v>19</v>
      </c>
      <c r="H10" s="10" t="e">
        <f t="shared" si="1"/>
        <v>#REF!</v>
      </c>
      <c r="I10" s="10" t="e">
        <f>'WebDeal v1 by 10 seconds'!C12+'WebDeal v1 by 10 seconds'!F12+'WebDeal v1 by 10 seconds'!I12+'WebDeal v1 by 10 seconds'!L12</f>
        <v>#REF!</v>
      </c>
      <c r="J10" s="10" t="e">
        <f>'WebDeal v2 by 10 Seconds'!C12+'WebDeal v2 by 10 Seconds'!F12+'WebDeal v2 by 10 Seconds'!I12+'WebDeal v2 by 10 Seconds'!L12</f>
        <v>#REF!</v>
      </c>
      <c r="K10" s="11" t="e">
        <f>'WebDeal v3 by 10 Seconds'!C12+'WebDeal v3 by 10 Seconds'!F12+'WebDeal v3 by 10 Seconds'!I12+'WebDeal v3 by 10 Seconds'!L12</f>
        <v>#REF!</v>
      </c>
      <c r="L10" s="9">
        <f>COUNTIFS('Breakdown of stats'!A:A,"&gt;"&amp;LEFT(A10,8),'Breakdown of stats'!A:A,"&lt;"&amp;RIGHT(A10,8),'Breakdown of stats'!B:B,"*V3*")</f>
        <v>19</v>
      </c>
      <c r="M10" s="10" t="e">
        <f t="shared" si="2"/>
        <v>#REF!</v>
      </c>
      <c r="N10" s="10" t="e">
        <f>'WebDeal v1 by 10 seconds'!D12+'WebDeal v1 by 10 seconds'!G12+'WebDeal v1 by 10 seconds'!J12+'WebDeal v1 by 10 seconds'!M12</f>
        <v>#REF!</v>
      </c>
      <c r="O10" s="10" t="e">
        <f>'WebDeal v2 by 10 Seconds'!D12+'WebDeal v2 by 10 Seconds'!G12+'WebDeal v2 by 10 Seconds'!J12+'WebDeal v2 by 10 Seconds'!M12</f>
        <v>#REF!</v>
      </c>
      <c r="P10" s="11" t="e">
        <f>'WebDeal v3 by 10 Seconds'!D12+'WebDeal v3 by 10 Seconds'!G12+'WebDeal v3 by 10 Seconds'!J12+'WebDeal v3 by 10 Seconds'!M12</f>
        <v>#REF!</v>
      </c>
      <c r="Q10" s="9">
        <f t="shared" si="3"/>
        <v>58</v>
      </c>
      <c r="R10" s="11" t="e">
        <f t="shared" si="4"/>
        <v>#REF!</v>
      </c>
      <c r="S10" s="9">
        <f t="shared" si="5"/>
        <v>615</v>
      </c>
      <c r="T10" s="11" t="e">
        <f t="shared" si="6"/>
        <v>#REF!</v>
      </c>
    </row>
    <row r="11" spans="1:20" x14ac:dyDescent="0.25">
      <c r="A11" s="3" t="s">
        <v>21</v>
      </c>
      <c r="B11" s="9">
        <f>COUNTIFS('Breakdown of stats'!A:A,"&gt;"&amp;LEFT(A11,8),'Breakdown of stats'!A:A,"&lt;"&amp;RIGHT(A11,8),'Breakdown of stats'!B:B,"*V1*")</f>
        <v>17</v>
      </c>
      <c r="C11" s="10" t="e">
        <f t="shared" si="0"/>
        <v>#REF!</v>
      </c>
      <c r="D11" s="10" t="e">
        <f>'WebDeal v1 by 10 seconds'!B13+'WebDeal v1 by 10 seconds'!E13+'WebDeal v1 by 10 seconds'!H13+'WebDeal v1 by 10 seconds'!K13</f>
        <v>#REF!</v>
      </c>
      <c r="E11" s="10" t="e">
        <f>'WebDeal v2 by 10 Seconds'!B13+'WebDeal v2 by 10 Seconds'!E13+'WebDeal v2 by 10 Seconds'!H13+'WebDeal v2 by 10 Seconds'!K13</f>
        <v>#REF!</v>
      </c>
      <c r="F11" s="11" t="e">
        <f>'WebDeal v3 by 10 Seconds'!B13+'WebDeal v3 by 10 Seconds'!E13+'WebDeal v3 by 10 Seconds'!H13+'WebDeal v3 by 10 Seconds'!K13</f>
        <v>#REF!</v>
      </c>
      <c r="G11" s="9">
        <f>COUNTIFS('Breakdown of stats'!A:A,"&gt;"&amp;LEFT(A11,8),'Breakdown of stats'!A:A,"&lt;"&amp;RIGHT(A11,8),'Breakdown of stats'!B:B,"*V2*")</f>
        <v>23</v>
      </c>
      <c r="H11" s="10" t="e">
        <f t="shared" si="1"/>
        <v>#REF!</v>
      </c>
      <c r="I11" s="10" t="e">
        <f>'WebDeal v1 by 10 seconds'!C13+'WebDeal v1 by 10 seconds'!F13+'WebDeal v1 by 10 seconds'!I13+'WebDeal v1 by 10 seconds'!L13</f>
        <v>#REF!</v>
      </c>
      <c r="J11" s="10" t="e">
        <f>'WebDeal v2 by 10 Seconds'!C13+'WebDeal v2 by 10 Seconds'!F13+'WebDeal v2 by 10 Seconds'!I13+'WebDeal v2 by 10 Seconds'!L13</f>
        <v>#REF!</v>
      </c>
      <c r="K11" s="11" t="e">
        <f>'WebDeal v3 by 10 Seconds'!C13+'WebDeal v3 by 10 Seconds'!F13+'WebDeal v3 by 10 Seconds'!I13+'WebDeal v3 by 10 Seconds'!L13</f>
        <v>#REF!</v>
      </c>
      <c r="L11" s="9">
        <f>COUNTIFS('Breakdown of stats'!A:A,"&gt;"&amp;LEFT(A11,8),'Breakdown of stats'!A:A,"&lt;"&amp;RIGHT(A11,8),'Breakdown of stats'!B:B,"*V3*")</f>
        <v>23</v>
      </c>
      <c r="M11" s="10" t="e">
        <f t="shared" si="2"/>
        <v>#REF!</v>
      </c>
      <c r="N11" s="10" t="e">
        <f>'WebDeal v1 by 10 seconds'!D13+'WebDeal v1 by 10 seconds'!G13+'WebDeal v1 by 10 seconds'!J13+'WebDeal v1 by 10 seconds'!M13</f>
        <v>#REF!</v>
      </c>
      <c r="O11" s="10" t="e">
        <f>'WebDeal v2 by 10 Seconds'!D13+'WebDeal v2 by 10 Seconds'!G13+'WebDeal v2 by 10 Seconds'!J13+'WebDeal v2 by 10 Seconds'!M13</f>
        <v>#REF!</v>
      </c>
      <c r="P11" s="11" t="e">
        <f>'WebDeal v3 by 10 Seconds'!D13+'WebDeal v3 by 10 Seconds'!G13+'WebDeal v3 by 10 Seconds'!J13+'WebDeal v3 by 10 Seconds'!M13</f>
        <v>#REF!</v>
      </c>
      <c r="Q11" s="9">
        <f t="shared" si="3"/>
        <v>63</v>
      </c>
      <c r="R11" s="11" t="e">
        <f t="shared" si="4"/>
        <v>#REF!</v>
      </c>
      <c r="S11" s="9">
        <f t="shared" si="5"/>
        <v>678</v>
      </c>
      <c r="T11" s="11" t="e">
        <f t="shared" si="6"/>
        <v>#REF!</v>
      </c>
    </row>
    <row r="12" spans="1:20" x14ac:dyDescent="0.25">
      <c r="A12" s="3" t="s">
        <v>22</v>
      </c>
      <c r="B12" s="9">
        <f>COUNTIFS('Breakdown of stats'!A:A,"&gt;"&amp;LEFT(A12,8),'Breakdown of stats'!A:A,"&lt;"&amp;RIGHT(A12,8),'Breakdown of stats'!B:B,"*V1*")</f>
        <v>22</v>
      </c>
      <c r="C12" s="10" t="e">
        <f t="shared" si="0"/>
        <v>#REF!</v>
      </c>
      <c r="D12" s="10" t="e">
        <f>'WebDeal v1 by 10 seconds'!B14+'WebDeal v1 by 10 seconds'!E14+'WebDeal v1 by 10 seconds'!H14+'WebDeal v1 by 10 seconds'!K14</f>
        <v>#REF!</v>
      </c>
      <c r="E12" s="10" t="e">
        <f>'WebDeal v2 by 10 Seconds'!B14+'WebDeal v2 by 10 Seconds'!E14+'WebDeal v2 by 10 Seconds'!H14+'WebDeal v2 by 10 Seconds'!K14</f>
        <v>#REF!</v>
      </c>
      <c r="F12" s="11" t="e">
        <f>'WebDeal v3 by 10 Seconds'!B14+'WebDeal v3 by 10 Seconds'!E14+'WebDeal v3 by 10 Seconds'!H14+'WebDeal v3 by 10 Seconds'!K14</f>
        <v>#REF!</v>
      </c>
      <c r="G12" s="9">
        <f>COUNTIFS('Breakdown of stats'!A:A,"&gt;"&amp;LEFT(A12,8),'Breakdown of stats'!A:A,"&lt;"&amp;RIGHT(A12,8),'Breakdown of stats'!B:B,"*V2*")</f>
        <v>26</v>
      </c>
      <c r="H12" s="10" t="e">
        <f t="shared" si="1"/>
        <v>#REF!</v>
      </c>
      <c r="I12" s="10" t="e">
        <f>'WebDeal v1 by 10 seconds'!C14+'WebDeal v1 by 10 seconds'!F14+'WebDeal v1 by 10 seconds'!I14+'WebDeal v1 by 10 seconds'!L14</f>
        <v>#REF!</v>
      </c>
      <c r="J12" s="10" t="e">
        <f>'WebDeal v2 by 10 Seconds'!C14+'WebDeal v2 by 10 Seconds'!F14+'WebDeal v2 by 10 Seconds'!I14+'WebDeal v2 by 10 Seconds'!L14</f>
        <v>#REF!</v>
      </c>
      <c r="K12" s="11" t="e">
        <f>'WebDeal v3 by 10 Seconds'!C14+'WebDeal v3 by 10 Seconds'!F14+'WebDeal v3 by 10 Seconds'!I14+'WebDeal v3 by 10 Seconds'!L14</f>
        <v>#REF!</v>
      </c>
      <c r="L12" s="9">
        <f>COUNTIFS('Breakdown of stats'!A:A,"&gt;"&amp;LEFT(A12,8),'Breakdown of stats'!A:A,"&lt;"&amp;RIGHT(A12,8),'Breakdown of stats'!B:B,"*V3*")</f>
        <v>25</v>
      </c>
      <c r="M12" s="10" t="e">
        <f t="shared" si="2"/>
        <v>#REF!</v>
      </c>
      <c r="N12" s="10" t="e">
        <f>'WebDeal v1 by 10 seconds'!D14+'WebDeal v1 by 10 seconds'!G14+'WebDeal v1 by 10 seconds'!J14+'WebDeal v1 by 10 seconds'!M14</f>
        <v>#REF!</v>
      </c>
      <c r="O12" s="10" t="e">
        <f>'WebDeal v2 by 10 Seconds'!D14+'WebDeal v2 by 10 Seconds'!G14+'WebDeal v2 by 10 Seconds'!J14+'WebDeal v2 by 10 Seconds'!M14</f>
        <v>#REF!</v>
      </c>
      <c r="P12" s="11" t="e">
        <f>'WebDeal v3 by 10 Seconds'!D14+'WebDeal v3 by 10 Seconds'!G14+'WebDeal v3 by 10 Seconds'!J14+'WebDeal v3 by 10 Seconds'!M14</f>
        <v>#REF!</v>
      </c>
      <c r="Q12" s="9">
        <f t="shared" si="3"/>
        <v>73</v>
      </c>
      <c r="R12" s="11" t="e">
        <f t="shared" si="4"/>
        <v>#REF!</v>
      </c>
      <c r="S12" s="9">
        <f t="shared" si="5"/>
        <v>751</v>
      </c>
      <c r="T12" s="11" t="e">
        <f t="shared" si="6"/>
        <v>#REF!</v>
      </c>
    </row>
    <row r="13" spans="1:20" x14ac:dyDescent="0.25">
      <c r="A13" s="3" t="s">
        <v>23</v>
      </c>
      <c r="B13" s="9">
        <f>COUNTIFS('Breakdown of stats'!A:A,"&gt;"&amp;LEFT(A13,8),'Breakdown of stats'!A:A,"&lt;"&amp;RIGHT(A13,8),'Breakdown of stats'!B:B,"*V1*")</f>
        <v>34</v>
      </c>
      <c r="C13" s="10" t="e">
        <f t="shared" si="0"/>
        <v>#REF!</v>
      </c>
      <c r="D13" s="10" t="e">
        <f>'WebDeal v1 by 10 seconds'!B15+'WebDeal v1 by 10 seconds'!E15+'WebDeal v1 by 10 seconds'!H15+'WebDeal v1 by 10 seconds'!K15</f>
        <v>#REF!</v>
      </c>
      <c r="E13" s="10" t="e">
        <f>'WebDeal v2 by 10 Seconds'!B15+'WebDeal v2 by 10 Seconds'!E15+'WebDeal v2 by 10 Seconds'!H15+'WebDeal v2 by 10 Seconds'!K15</f>
        <v>#REF!</v>
      </c>
      <c r="F13" s="11" t="e">
        <f>'WebDeal v3 by 10 Seconds'!B15+'WebDeal v3 by 10 Seconds'!E15+'WebDeal v3 by 10 Seconds'!H15+'WebDeal v3 by 10 Seconds'!K15</f>
        <v>#REF!</v>
      </c>
      <c r="G13" s="9">
        <f>COUNTIFS('Breakdown of stats'!A:A,"&gt;"&amp;LEFT(A13,8),'Breakdown of stats'!A:A,"&lt;"&amp;RIGHT(A13,8),'Breakdown of stats'!B:B,"*V2*")</f>
        <v>34</v>
      </c>
      <c r="H13" s="10" t="e">
        <f t="shared" si="1"/>
        <v>#REF!</v>
      </c>
      <c r="I13" s="10" t="e">
        <f>'WebDeal v1 by 10 seconds'!C15+'WebDeal v1 by 10 seconds'!F15+'WebDeal v1 by 10 seconds'!I15+'WebDeal v1 by 10 seconds'!L15</f>
        <v>#REF!</v>
      </c>
      <c r="J13" s="10" t="e">
        <f>'WebDeal v2 by 10 Seconds'!C15+'WebDeal v2 by 10 Seconds'!F15+'WebDeal v2 by 10 Seconds'!I15+'WebDeal v2 by 10 Seconds'!L15</f>
        <v>#REF!</v>
      </c>
      <c r="K13" s="11" t="e">
        <f>'WebDeal v3 by 10 Seconds'!C15+'WebDeal v3 by 10 Seconds'!F15+'WebDeal v3 by 10 Seconds'!I15+'WebDeal v3 by 10 Seconds'!L15</f>
        <v>#REF!</v>
      </c>
      <c r="L13" s="9">
        <f>COUNTIFS('Breakdown of stats'!A:A,"&gt;"&amp;LEFT(A13,8),'Breakdown of stats'!A:A,"&lt;"&amp;RIGHT(A13,8),'Breakdown of stats'!B:B,"*V3*")</f>
        <v>30</v>
      </c>
      <c r="M13" s="10" t="e">
        <f t="shared" si="2"/>
        <v>#REF!</v>
      </c>
      <c r="N13" s="10" t="e">
        <f>'WebDeal v1 by 10 seconds'!D15+'WebDeal v1 by 10 seconds'!G15+'WebDeal v1 by 10 seconds'!J15+'WebDeal v1 by 10 seconds'!M15</f>
        <v>#REF!</v>
      </c>
      <c r="O13" s="10" t="e">
        <f>'WebDeal v2 by 10 Seconds'!D15+'WebDeal v2 by 10 Seconds'!G15+'WebDeal v2 by 10 Seconds'!J15+'WebDeal v2 by 10 Seconds'!M15</f>
        <v>#REF!</v>
      </c>
      <c r="P13" s="11" t="e">
        <f>'WebDeal v3 by 10 Seconds'!D15+'WebDeal v3 by 10 Seconds'!G15+'WebDeal v3 by 10 Seconds'!J15+'WebDeal v3 by 10 Seconds'!M15</f>
        <v>#REF!</v>
      </c>
      <c r="Q13" s="9">
        <f t="shared" si="3"/>
        <v>98</v>
      </c>
      <c r="R13" s="11" t="e">
        <f t="shared" si="4"/>
        <v>#REF!</v>
      </c>
      <c r="S13" s="9">
        <f t="shared" si="5"/>
        <v>849</v>
      </c>
      <c r="T13" s="11" t="e">
        <f t="shared" si="6"/>
        <v>#REF!</v>
      </c>
    </row>
    <row r="14" spans="1:20" x14ac:dyDescent="0.25">
      <c r="A14" s="3" t="s">
        <v>24</v>
      </c>
      <c r="B14" s="9">
        <f>COUNTIFS('Breakdown of stats'!A:A,"&gt;"&amp;LEFT(A14,8),'Breakdown of stats'!A:A,"&lt;"&amp;RIGHT(A14,8),'Breakdown of stats'!B:B,"*V1*")</f>
        <v>22</v>
      </c>
      <c r="C14" s="10" t="e">
        <f t="shared" si="0"/>
        <v>#REF!</v>
      </c>
      <c r="D14" s="10" t="e">
        <f>'WebDeal v1 by 10 seconds'!B16+'WebDeal v1 by 10 seconds'!E16+'WebDeal v1 by 10 seconds'!H16+'WebDeal v1 by 10 seconds'!K16</f>
        <v>#REF!</v>
      </c>
      <c r="E14" s="10" t="e">
        <f>'WebDeal v2 by 10 Seconds'!B16+'WebDeal v2 by 10 Seconds'!E16+'WebDeal v2 by 10 Seconds'!H16+'WebDeal v2 by 10 Seconds'!K16</f>
        <v>#REF!</v>
      </c>
      <c r="F14" s="11" t="e">
        <f>'WebDeal v3 by 10 Seconds'!B16+'WebDeal v3 by 10 Seconds'!E16+'WebDeal v3 by 10 Seconds'!H16+'WebDeal v3 by 10 Seconds'!K16</f>
        <v>#REF!</v>
      </c>
      <c r="G14" s="9">
        <f>COUNTIFS('Breakdown of stats'!A:A,"&gt;"&amp;LEFT(A14,8),'Breakdown of stats'!A:A,"&lt;"&amp;RIGHT(A14,8),'Breakdown of stats'!B:B,"*V2*")</f>
        <v>25</v>
      </c>
      <c r="H14" s="10" t="e">
        <f t="shared" si="1"/>
        <v>#REF!</v>
      </c>
      <c r="I14" s="10" t="e">
        <f>'WebDeal v1 by 10 seconds'!C16+'WebDeal v1 by 10 seconds'!F16+'WebDeal v1 by 10 seconds'!I16+'WebDeal v1 by 10 seconds'!L16</f>
        <v>#REF!</v>
      </c>
      <c r="J14" s="10" t="e">
        <f>'WebDeal v2 by 10 Seconds'!C16+'WebDeal v2 by 10 Seconds'!F16+'WebDeal v2 by 10 Seconds'!I16+'WebDeal v2 by 10 Seconds'!L16</f>
        <v>#REF!</v>
      </c>
      <c r="K14" s="11" t="e">
        <f>'WebDeal v3 by 10 Seconds'!C16+'WebDeal v3 by 10 Seconds'!F16+'WebDeal v3 by 10 Seconds'!I16+'WebDeal v3 by 10 Seconds'!L16</f>
        <v>#REF!</v>
      </c>
      <c r="L14" s="9">
        <f>COUNTIFS('Breakdown of stats'!A:A,"&gt;"&amp;LEFT(A14,8),'Breakdown of stats'!A:A,"&lt;"&amp;RIGHT(A14,8),'Breakdown of stats'!B:B,"*V3*")</f>
        <v>20</v>
      </c>
      <c r="M14" s="10" t="e">
        <f t="shared" si="2"/>
        <v>#REF!</v>
      </c>
      <c r="N14" s="10" t="e">
        <f>'WebDeal v1 by 10 seconds'!D16+'WebDeal v1 by 10 seconds'!G16+'WebDeal v1 by 10 seconds'!J16+'WebDeal v1 by 10 seconds'!M16</f>
        <v>#REF!</v>
      </c>
      <c r="O14" s="10" t="e">
        <f>'WebDeal v2 by 10 Seconds'!D16+'WebDeal v2 by 10 Seconds'!G16+'WebDeal v2 by 10 Seconds'!J16+'WebDeal v2 by 10 Seconds'!M16</f>
        <v>#REF!</v>
      </c>
      <c r="P14" s="11" t="e">
        <f>'WebDeal v3 by 10 Seconds'!D16+'WebDeal v3 by 10 Seconds'!G16+'WebDeal v3 by 10 Seconds'!J16+'WebDeal v3 by 10 Seconds'!M16</f>
        <v>#REF!</v>
      </c>
      <c r="Q14" s="9">
        <f t="shared" si="3"/>
        <v>67</v>
      </c>
      <c r="R14" s="11" t="e">
        <f t="shared" si="4"/>
        <v>#REF!</v>
      </c>
      <c r="S14" s="9">
        <f t="shared" si="5"/>
        <v>916</v>
      </c>
      <c r="T14" s="11" t="e">
        <f t="shared" si="6"/>
        <v>#REF!</v>
      </c>
    </row>
    <row r="15" spans="1:20" x14ac:dyDescent="0.25">
      <c r="A15" s="3" t="s">
        <v>25</v>
      </c>
      <c r="B15" s="9">
        <f>COUNTIFS('Breakdown of stats'!A:A,"&gt;"&amp;LEFT(A15,8),'Breakdown of stats'!A:A,"&lt;"&amp;RIGHT(A15,8),'Breakdown of stats'!B:B,"*V1*")</f>
        <v>28</v>
      </c>
      <c r="C15" s="10" t="e">
        <f t="shared" si="0"/>
        <v>#REF!</v>
      </c>
      <c r="D15" s="10" t="e">
        <f>'WebDeal v1 by 10 seconds'!B17+'WebDeal v1 by 10 seconds'!E17+'WebDeal v1 by 10 seconds'!H17+'WebDeal v1 by 10 seconds'!K17</f>
        <v>#REF!</v>
      </c>
      <c r="E15" s="10" t="e">
        <f>'WebDeal v2 by 10 Seconds'!B17+'WebDeal v2 by 10 Seconds'!E17+'WebDeal v2 by 10 Seconds'!H17+'WebDeal v2 by 10 Seconds'!K17</f>
        <v>#REF!</v>
      </c>
      <c r="F15" s="11" t="e">
        <f>'WebDeal v3 by 10 Seconds'!B17+'WebDeal v3 by 10 Seconds'!E17+'WebDeal v3 by 10 Seconds'!H17+'WebDeal v3 by 10 Seconds'!K17</f>
        <v>#REF!</v>
      </c>
      <c r="G15" s="9">
        <f>COUNTIFS('Breakdown of stats'!A:A,"&gt;"&amp;LEFT(A15,8),'Breakdown of stats'!A:A,"&lt;"&amp;RIGHT(A15,8),'Breakdown of stats'!B:B,"*V2*")</f>
        <v>21</v>
      </c>
      <c r="H15" s="10" t="e">
        <f t="shared" si="1"/>
        <v>#REF!</v>
      </c>
      <c r="I15" s="10" t="e">
        <f>'WebDeal v1 by 10 seconds'!C17+'WebDeal v1 by 10 seconds'!F17+'WebDeal v1 by 10 seconds'!I17+'WebDeal v1 by 10 seconds'!L17</f>
        <v>#REF!</v>
      </c>
      <c r="J15" s="10" t="e">
        <f>'WebDeal v2 by 10 Seconds'!C17+'WebDeal v2 by 10 Seconds'!F17+'WebDeal v2 by 10 Seconds'!I17+'WebDeal v2 by 10 Seconds'!L17</f>
        <v>#REF!</v>
      </c>
      <c r="K15" s="11" t="e">
        <f>'WebDeal v3 by 10 Seconds'!C17+'WebDeal v3 by 10 Seconds'!F17+'WebDeal v3 by 10 Seconds'!I17+'WebDeal v3 by 10 Seconds'!L17</f>
        <v>#REF!</v>
      </c>
      <c r="L15" s="9">
        <f>COUNTIFS('Breakdown of stats'!A:A,"&gt;"&amp;LEFT(A15,8),'Breakdown of stats'!A:A,"&lt;"&amp;RIGHT(A15,8),'Breakdown of stats'!B:B,"*V3*")</f>
        <v>29</v>
      </c>
      <c r="M15" s="10" t="e">
        <f t="shared" si="2"/>
        <v>#REF!</v>
      </c>
      <c r="N15" s="10" t="e">
        <f>'WebDeal v1 by 10 seconds'!D17+'WebDeal v1 by 10 seconds'!G17+'WebDeal v1 by 10 seconds'!J17+'WebDeal v1 by 10 seconds'!M17</f>
        <v>#REF!</v>
      </c>
      <c r="O15" s="10" t="e">
        <f>'WebDeal v2 by 10 Seconds'!D17+'WebDeal v2 by 10 Seconds'!G17+'WebDeal v2 by 10 Seconds'!J17+'WebDeal v2 by 10 Seconds'!M17</f>
        <v>#REF!</v>
      </c>
      <c r="P15" s="11" t="e">
        <f>'WebDeal v3 by 10 Seconds'!D17+'WebDeal v3 by 10 Seconds'!G17+'WebDeal v3 by 10 Seconds'!J17+'WebDeal v3 by 10 Seconds'!M17</f>
        <v>#REF!</v>
      </c>
      <c r="Q15" s="9">
        <f t="shared" si="3"/>
        <v>78</v>
      </c>
      <c r="R15" s="11" t="e">
        <f t="shared" si="4"/>
        <v>#REF!</v>
      </c>
      <c r="S15" s="9">
        <f t="shared" si="5"/>
        <v>994</v>
      </c>
      <c r="T15" s="11" t="e">
        <f t="shared" si="6"/>
        <v>#REF!</v>
      </c>
    </row>
    <row r="16" spans="1:20" x14ac:dyDescent="0.25">
      <c r="A16" s="3" t="s">
        <v>26</v>
      </c>
      <c r="B16" s="9">
        <f>COUNTIFS('Breakdown of stats'!A:A,"&gt;"&amp;LEFT(A16,8),'Breakdown of stats'!A:A,"&lt;"&amp;RIGHT(A16,8),'Breakdown of stats'!B:B,"*V1*")</f>
        <v>23</v>
      </c>
      <c r="C16" s="10" t="e">
        <f t="shared" si="0"/>
        <v>#REF!</v>
      </c>
      <c r="D16" s="10" t="e">
        <f>'WebDeal v1 by 10 seconds'!B18+'WebDeal v1 by 10 seconds'!E18+'WebDeal v1 by 10 seconds'!H18+'WebDeal v1 by 10 seconds'!K18</f>
        <v>#REF!</v>
      </c>
      <c r="E16" s="10" t="e">
        <f>'WebDeal v2 by 10 Seconds'!B18+'WebDeal v2 by 10 Seconds'!E18+'WebDeal v2 by 10 Seconds'!H18+'WebDeal v2 by 10 Seconds'!K18</f>
        <v>#REF!</v>
      </c>
      <c r="F16" s="11" t="e">
        <f>'WebDeal v3 by 10 Seconds'!B18+'WebDeal v3 by 10 Seconds'!E18+'WebDeal v3 by 10 Seconds'!H18+'WebDeal v3 by 10 Seconds'!K18</f>
        <v>#REF!</v>
      </c>
      <c r="G16" s="9">
        <f>COUNTIFS('Breakdown of stats'!A:A,"&gt;"&amp;LEFT(A16,8),'Breakdown of stats'!A:A,"&lt;"&amp;RIGHT(A16,8),'Breakdown of stats'!B:B,"*V2*")</f>
        <v>25</v>
      </c>
      <c r="H16" s="10" t="e">
        <f t="shared" si="1"/>
        <v>#REF!</v>
      </c>
      <c r="I16" s="10" t="e">
        <f>'WebDeal v1 by 10 seconds'!C18+'WebDeal v1 by 10 seconds'!F18+'WebDeal v1 by 10 seconds'!I18+'WebDeal v1 by 10 seconds'!L18</f>
        <v>#REF!</v>
      </c>
      <c r="J16" s="10" t="e">
        <f>'WebDeal v2 by 10 Seconds'!C18+'WebDeal v2 by 10 Seconds'!F18+'WebDeal v2 by 10 Seconds'!I18+'WebDeal v2 by 10 Seconds'!L18</f>
        <v>#REF!</v>
      </c>
      <c r="K16" s="11" t="e">
        <f>'WebDeal v3 by 10 Seconds'!C18+'WebDeal v3 by 10 Seconds'!F18+'WebDeal v3 by 10 Seconds'!I18+'WebDeal v3 by 10 Seconds'!L18</f>
        <v>#REF!</v>
      </c>
      <c r="L16" s="9">
        <f>COUNTIFS('Breakdown of stats'!A:A,"&gt;"&amp;LEFT(A16,8),'Breakdown of stats'!A:A,"&lt;"&amp;RIGHT(A16,8),'Breakdown of stats'!B:B,"*V3*")</f>
        <v>29</v>
      </c>
      <c r="M16" s="10" t="e">
        <f t="shared" si="2"/>
        <v>#REF!</v>
      </c>
      <c r="N16" s="10" t="e">
        <f>'WebDeal v1 by 10 seconds'!D18+'WebDeal v1 by 10 seconds'!G18+'WebDeal v1 by 10 seconds'!J18+'WebDeal v1 by 10 seconds'!M18</f>
        <v>#REF!</v>
      </c>
      <c r="O16" s="10" t="e">
        <f>'WebDeal v2 by 10 Seconds'!D18+'WebDeal v2 by 10 Seconds'!G18+'WebDeal v2 by 10 Seconds'!J18+'WebDeal v2 by 10 Seconds'!M18</f>
        <v>#REF!</v>
      </c>
      <c r="P16" s="11" t="e">
        <f>'WebDeal v3 by 10 Seconds'!D18+'WebDeal v3 by 10 Seconds'!G18+'WebDeal v3 by 10 Seconds'!J18+'WebDeal v3 by 10 Seconds'!M18</f>
        <v>#REF!</v>
      </c>
      <c r="Q16" s="9">
        <f t="shared" si="3"/>
        <v>77</v>
      </c>
      <c r="R16" s="11" t="e">
        <f t="shared" si="4"/>
        <v>#REF!</v>
      </c>
      <c r="S16" s="9">
        <f t="shared" si="5"/>
        <v>1071</v>
      </c>
      <c r="T16" s="11" t="e">
        <f t="shared" si="6"/>
        <v>#REF!</v>
      </c>
    </row>
    <row r="17" spans="1:20" x14ac:dyDescent="0.25">
      <c r="A17" s="3" t="s">
        <v>27</v>
      </c>
      <c r="B17" s="9">
        <f>COUNTIFS('Breakdown of stats'!A:A,"&gt;"&amp;LEFT(A17,8),'Breakdown of stats'!A:A,"&lt;"&amp;RIGHT(A17,8),'Breakdown of stats'!B:B,"*V1*")</f>
        <v>25</v>
      </c>
      <c r="C17" s="10" t="e">
        <f t="shared" si="0"/>
        <v>#REF!</v>
      </c>
      <c r="D17" s="10" t="e">
        <f>'WebDeal v1 by 10 seconds'!B19+'WebDeal v1 by 10 seconds'!E19+'WebDeal v1 by 10 seconds'!H19+'WebDeal v1 by 10 seconds'!K19</f>
        <v>#REF!</v>
      </c>
      <c r="E17" s="10" t="e">
        <f>'WebDeal v2 by 10 Seconds'!B19+'WebDeal v2 by 10 Seconds'!E19+'WebDeal v2 by 10 Seconds'!H19+'WebDeal v2 by 10 Seconds'!K19</f>
        <v>#REF!</v>
      </c>
      <c r="F17" s="11" t="e">
        <f>'WebDeal v3 by 10 Seconds'!B19+'WebDeal v3 by 10 Seconds'!E19+'WebDeal v3 by 10 Seconds'!H19+'WebDeal v3 by 10 Seconds'!K19</f>
        <v>#REF!</v>
      </c>
      <c r="G17" s="9">
        <f>COUNTIFS('Breakdown of stats'!A:A,"&gt;"&amp;LEFT(A17,8),'Breakdown of stats'!A:A,"&lt;"&amp;RIGHT(A17,8),'Breakdown of stats'!B:B,"*V2*")</f>
        <v>22</v>
      </c>
      <c r="H17" s="10" t="e">
        <f t="shared" si="1"/>
        <v>#REF!</v>
      </c>
      <c r="I17" s="10" t="e">
        <f>'WebDeal v1 by 10 seconds'!C19+'WebDeal v1 by 10 seconds'!F19+'WebDeal v1 by 10 seconds'!I19+'WebDeal v1 by 10 seconds'!L19</f>
        <v>#REF!</v>
      </c>
      <c r="J17" s="10" t="e">
        <f>'WebDeal v2 by 10 Seconds'!C19+'WebDeal v2 by 10 Seconds'!F19+'WebDeal v2 by 10 Seconds'!I19+'WebDeal v2 by 10 Seconds'!L19</f>
        <v>#REF!</v>
      </c>
      <c r="K17" s="11" t="e">
        <f>'WebDeal v3 by 10 Seconds'!C19+'WebDeal v3 by 10 Seconds'!F19+'WebDeal v3 by 10 Seconds'!I19+'WebDeal v3 by 10 Seconds'!L19</f>
        <v>#REF!</v>
      </c>
      <c r="L17" s="9">
        <f>COUNTIFS('Breakdown of stats'!A:A,"&gt;"&amp;LEFT(A17,8),'Breakdown of stats'!A:A,"&lt;"&amp;RIGHT(A17,8),'Breakdown of stats'!B:B,"*V3*")</f>
        <v>23</v>
      </c>
      <c r="M17" s="10" t="e">
        <f t="shared" si="2"/>
        <v>#REF!</v>
      </c>
      <c r="N17" s="10" t="e">
        <f>'WebDeal v1 by 10 seconds'!D19+'WebDeal v1 by 10 seconds'!G19+'WebDeal v1 by 10 seconds'!J19+'WebDeal v1 by 10 seconds'!M19</f>
        <v>#REF!</v>
      </c>
      <c r="O17" s="10" t="e">
        <f>'WebDeal v2 by 10 Seconds'!D19+'WebDeal v2 by 10 Seconds'!G19+'WebDeal v2 by 10 Seconds'!J19+'WebDeal v2 by 10 Seconds'!M19</f>
        <v>#REF!</v>
      </c>
      <c r="P17" s="11" t="e">
        <f>'WebDeal v3 by 10 Seconds'!D19+'WebDeal v3 by 10 Seconds'!G19+'WebDeal v3 by 10 Seconds'!J19+'WebDeal v3 by 10 Seconds'!M19</f>
        <v>#REF!</v>
      </c>
      <c r="Q17" s="9">
        <f t="shared" si="3"/>
        <v>70</v>
      </c>
      <c r="R17" s="11" t="e">
        <f t="shared" si="4"/>
        <v>#REF!</v>
      </c>
      <c r="S17" s="9">
        <f t="shared" si="5"/>
        <v>1141</v>
      </c>
      <c r="T17" s="11" t="e">
        <f t="shared" si="6"/>
        <v>#REF!</v>
      </c>
    </row>
    <row r="18" spans="1:20" x14ac:dyDescent="0.25">
      <c r="A18" s="3" t="s">
        <v>28</v>
      </c>
      <c r="B18" s="9">
        <f>COUNTIFS('Breakdown of stats'!A:A,"&gt;"&amp;LEFT(A18,8),'Breakdown of stats'!A:A,"&lt;"&amp;RIGHT(A18,8),'Breakdown of stats'!B:B,"*V1*")</f>
        <v>21</v>
      </c>
      <c r="C18" s="10" t="e">
        <f t="shared" si="0"/>
        <v>#REF!</v>
      </c>
      <c r="D18" s="10" t="e">
        <f>'WebDeal v1 by 10 seconds'!B20+'WebDeal v1 by 10 seconds'!E20+'WebDeal v1 by 10 seconds'!H20+'WebDeal v1 by 10 seconds'!K20</f>
        <v>#REF!</v>
      </c>
      <c r="E18" s="10" t="e">
        <f>'WebDeal v2 by 10 Seconds'!B20+'WebDeal v2 by 10 Seconds'!E20+'WebDeal v2 by 10 Seconds'!H20+'WebDeal v2 by 10 Seconds'!K20</f>
        <v>#REF!</v>
      </c>
      <c r="F18" s="11" t="e">
        <f>'WebDeal v3 by 10 Seconds'!B20+'WebDeal v3 by 10 Seconds'!E20+'WebDeal v3 by 10 Seconds'!H20+'WebDeal v3 by 10 Seconds'!K20</f>
        <v>#REF!</v>
      </c>
      <c r="G18" s="9">
        <f>COUNTIFS('Breakdown of stats'!A:A,"&gt;"&amp;LEFT(A18,8),'Breakdown of stats'!A:A,"&lt;"&amp;RIGHT(A18,8),'Breakdown of stats'!B:B,"*V2*")</f>
        <v>17</v>
      </c>
      <c r="H18" s="10" t="e">
        <f t="shared" si="1"/>
        <v>#REF!</v>
      </c>
      <c r="I18" s="10" t="e">
        <f>'WebDeal v1 by 10 seconds'!C20+'WebDeal v1 by 10 seconds'!F20+'WebDeal v1 by 10 seconds'!I20+'WebDeal v1 by 10 seconds'!L20</f>
        <v>#REF!</v>
      </c>
      <c r="J18" s="10" t="e">
        <f>'WebDeal v2 by 10 Seconds'!C20+'WebDeal v2 by 10 Seconds'!F20+'WebDeal v2 by 10 Seconds'!I20+'WebDeal v2 by 10 Seconds'!L20</f>
        <v>#REF!</v>
      </c>
      <c r="K18" s="11" t="e">
        <f>'WebDeal v3 by 10 Seconds'!C20+'WebDeal v3 by 10 Seconds'!F20+'WebDeal v3 by 10 Seconds'!I20+'WebDeal v3 by 10 Seconds'!L20</f>
        <v>#REF!</v>
      </c>
      <c r="L18" s="9">
        <f>COUNTIFS('Breakdown of stats'!A:A,"&gt;"&amp;LEFT(A18,8),'Breakdown of stats'!A:A,"&lt;"&amp;RIGHT(A18,8),'Breakdown of stats'!B:B,"*V3*")</f>
        <v>15</v>
      </c>
      <c r="M18" s="10" t="e">
        <f t="shared" si="2"/>
        <v>#REF!</v>
      </c>
      <c r="N18" s="10" t="e">
        <f>'WebDeal v1 by 10 seconds'!D20+'WebDeal v1 by 10 seconds'!G20+'WebDeal v1 by 10 seconds'!J20+'WebDeal v1 by 10 seconds'!M20</f>
        <v>#REF!</v>
      </c>
      <c r="O18" s="10" t="e">
        <f>'WebDeal v2 by 10 Seconds'!D20+'WebDeal v2 by 10 Seconds'!G20+'WebDeal v2 by 10 Seconds'!J20+'WebDeal v2 by 10 Seconds'!M20</f>
        <v>#REF!</v>
      </c>
      <c r="P18" s="11" t="e">
        <f>'WebDeal v3 by 10 Seconds'!D20+'WebDeal v3 by 10 Seconds'!G20+'WebDeal v3 by 10 Seconds'!J20+'WebDeal v3 by 10 Seconds'!M20</f>
        <v>#REF!</v>
      </c>
      <c r="Q18" s="9">
        <f t="shared" si="3"/>
        <v>53</v>
      </c>
      <c r="R18" s="11" t="e">
        <f t="shared" si="4"/>
        <v>#REF!</v>
      </c>
      <c r="S18" s="9">
        <f t="shared" si="5"/>
        <v>1194</v>
      </c>
      <c r="T18" s="11" t="e">
        <f t="shared" si="6"/>
        <v>#REF!</v>
      </c>
    </row>
    <row r="19" spans="1:20" x14ac:dyDescent="0.25">
      <c r="A19" s="3" t="s">
        <v>29</v>
      </c>
      <c r="B19" s="9">
        <f>COUNTIFS('Breakdown of stats'!A:A,"&gt;"&amp;LEFT(A19,8),'Breakdown of stats'!A:A,"&lt;"&amp;RIGHT(A19,8),'Breakdown of stats'!B:B,"*V1*")</f>
        <v>19</v>
      </c>
      <c r="C19" s="10" t="e">
        <f t="shared" si="0"/>
        <v>#REF!</v>
      </c>
      <c r="D19" s="10" t="e">
        <f>'WebDeal v1 by 10 seconds'!B21+'WebDeal v1 by 10 seconds'!E21+'WebDeal v1 by 10 seconds'!H21+'WebDeal v1 by 10 seconds'!K21</f>
        <v>#REF!</v>
      </c>
      <c r="E19" s="10" t="e">
        <f>'WebDeal v2 by 10 Seconds'!B21+'WebDeal v2 by 10 Seconds'!E21+'WebDeal v2 by 10 Seconds'!H21+'WebDeal v2 by 10 Seconds'!K21</f>
        <v>#REF!</v>
      </c>
      <c r="F19" s="11" t="e">
        <f>'WebDeal v3 by 10 Seconds'!B21+'WebDeal v3 by 10 Seconds'!E21+'WebDeal v3 by 10 Seconds'!H21+'WebDeal v3 by 10 Seconds'!K21</f>
        <v>#REF!</v>
      </c>
      <c r="G19" s="9">
        <f>COUNTIFS('Breakdown of stats'!A:A,"&gt;"&amp;LEFT(A19,8),'Breakdown of stats'!A:A,"&lt;"&amp;RIGHT(A19,8),'Breakdown of stats'!B:B,"*V2*")</f>
        <v>20</v>
      </c>
      <c r="H19" s="10" t="e">
        <f t="shared" si="1"/>
        <v>#REF!</v>
      </c>
      <c r="I19" s="10" t="e">
        <f>'WebDeal v1 by 10 seconds'!C21+'WebDeal v1 by 10 seconds'!F21+'WebDeal v1 by 10 seconds'!I21+'WebDeal v1 by 10 seconds'!L21</f>
        <v>#REF!</v>
      </c>
      <c r="J19" s="10" t="e">
        <f>'WebDeal v2 by 10 Seconds'!C21+'WebDeal v2 by 10 Seconds'!F21+'WebDeal v2 by 10 Seconds'!I21+'WebDeal v2 by 10 Seconds'!L21</f>
        <v>#REF!</v>
      </c>
      <c r="K19" s="11" t="e">
        <f>'WebDeal v3 by 10 Seconds'!C21+'WebDeal v3 by 10 Seconds'!F21+'WebDeal v3 by 10 Seconds'!I21+'WebDeal v3 by 10 Seconds'!L21</f>
        <v>#REF!</v>
      </c>
      <c r="L19" s="9">
        <f>COUNTIFS('Breakdown of stats'!A:A,"&gt;"&amp;LEFT(A19,8),'Breakdown of stats'!A:A,"&lt;"&amp;RIGHT(A19,8),'Breakdown of stats'!B:B,"*V3*")</f>
        <v>27</v>
      </c>
      <c r="M19" s="10" t="e">
        <f t="shared" si="2"/>
        <v>#REF!</v>
      </c>
      <c r="N19" s="10" t="e">
        <f>'WebDeal v1 by 10 seconds'!D21+'WebDeal v1 by 10 seconds'!G21+'WebDeal v1 by 10 seconds'!J21+'WebDeal v1 by 10 seconds'!M21</f>
        <v>#REF!</v>
      </c>
      <c r="O19" s="10" t="e">
        <f>'WebDeal v2 by 10 Seconds'!D21+'WebDeal v2 by 10 Seconds'!G21+'WebDeal v2 by 10 Seconds'!J21+'WebDeal v2 by 10 Seconds'!M21</f>
        <v>#REF!</v>
      </c>
      <c r="P19" s="11" t="e">
        <f>'WebDeal v3 by 10 Seconds'!D21+'WebDeal v3 by 10 Seconds'!G21+'WebDeal v3 by 10 Seconds'!J21+'WebDeal v3 by 10 Seconds'!M21</f>
        <v>#REF!</v>
      </c>
      <c r="Q19" s="9">
        <f t="shared" si="3"/>
        <v>66</v>
      </c>
      <c r="R19" s="11" t="e">
        <f t="shared" si="4"/>
        <v>#REF!</v>
      </c>
      <c r="S19" s="9">
        <f t="shared" si="5"/>
        <v>1260</v>
      </c>
      <c r="T19" s="11" t="e">
        <f t="shared" si="6"/>
        <v>#REF!</v>
      </c>
    </row>
    <row r="20" spans="1:20" x14ac:dyDescent="0.25">
      <c r="A20" s="3" t="s">
        <v>30</v>
      </c>
      <c r="B20" s="9">
        <f>COUNTIFS('Breakdown of stats'!A:A,"&gt;"&amp;LEFT(A20,8),'Breakdown of stats'!A:A,"&lt;"&amp;RIGHT(A20,8),'Breakdown of stats'!B:B,"*V1*")</f>
        <v>26</v>
      </c>
      <c r="C20" s="10" t="e">
        <f t="shared" si="0"/>
        <v>#REF!</v>
      </c>
      <c r="D20" s="10" t="e">
        <f>'WebDeal v1 by 10 seconds'!B22+'WebDeal v1 by 10 seconds'!E22+'WebDeal v1 by 10 seconds'!H22+'WebDeal v1 by 10 seconds'!K22</f>
        <v>#REF!</v>
      </c>
      <c r="E20" s="10" t="e">
        <f>'WebDeal v2 by 10 Seconds'!B22+'WebDeal v2 by 10 Seconds'!E22+'WebDeal v2 by 10 Seconds'!H22+'WebDeal v2 by 10 Seconds'!K22</f>
        <v>#REF!</v>
      </c>
      <c r="F20" s="11" t="e">
        <f>'WebDeal v3 by 10 Seconds'!B22+'WebDeal v3 by 10 Seconds'!E22+'WebDeal v3 by 10 Seconds'!H22+'WebDeal v3 by 10 Seconds'!K22</f>
        <v>#REF!</v>
      </c>
      <c r="G20" s="9">
        <f>COUNTIFS('Breakdown of stats'!A:A,"&gt;"&amp;LEFT(A20,8),'Breakdown of stats'!A:A,"&lt;"&amp;RIGHT(A20,8),'Breakdown of stats'!B:B,"*V2*")</f>
        <v>29</v>
      </c>
      <c r="H20" s="10" t="e">
        <f t="shared" si="1"/>
        <v>#REF!</v>
      </c>
      <c r="I20" s="10" t="e">
        <f>'WebDeal v1 by 10 seconds'!C22+'WebDeal v1 by 10 seconds'!F22+'WebDeal v1 by 10 seconds'!I22+'WebDeal v1 by 10 seconds'!L22</f>
        <v>#REF!</v>
      </c>
      <c r="J20" s="10" t="e">
        <f>'WebDeal v2 by 10 Seconds'!C22+'WebDeal v2 by 10 Seconds'!F22+'WebDeal v2 by 10 Seconds'!I22+'WebDeal v2 by 10 Seconds'!L22</f>
        <v>#REF!</v>
      </c>
      <c r="K20" s="11" t="e">
        <f>'WebDeal v3 by 10 Seconds'!C22+'WebDeal v3 by 10 Seconds'!F22+'WebDeal v3 by 10 Seconds'!I22+'WebDeal v3 by 10 Seconds'!L22</f>
        <v>#REF!</v>
      </c>
      <c r="L20" s="9">
        <f>COUNTIFS('Breakdown of stats'!A:A,"&gt;"&amp;LEFT(A20,8),'Breakdown of stats'!A:A,"&lt;"&amp;RIGHT(A20,8),'Breakdown of stats'!B:B,"*V3*")</f>
        <v>22</v>
      </c>
      <c r="M20" s="10" t="e">
        <f t="shared" si="2"/>
        <v>#REF!</v>
      </c>
      <c r="N20" s="10" t="e">
        <f>'WebDeal v1 by 10 seconds'!D22+'WebDeal v1 by 10 seconds'!G22+'WebDeal v1 by 10 seconds'!J22+'WebDeal v1 by 10 seconds'!M22</f>
        <v>#REF!</v>
      </c>
      <c r="O20" s="10" t="e">
        <f>'WebDeal v2 by 10 Seconds'!D22+'WebDeal v2 by 10 Seconds'!G22+'WebDeal v2 by 10 Seconds'!J22+'WebDeal v2 by 10 Seconds'!M22</f>
        <v>#REF!</v>
      </c>
      <c r="P20" s="11" t="e">
        <f>'WebDeal v3 by 10 Seconds'!D22+'WebDeal v3 by 10 Seconds'!G22+'WebDeal v3 by 10 Seconds'!J22+'WebDeal v3 by 10 Seconds'!M22</f>
        <v>#REF!</v>
      </c>
      <c r="Q20" s="9">
        <f t="shared" si="3"/>
        <v>77</v>
      </c>
      <c r="R20" s="11" t="e">
        <f t="shared" si="4"/>
        <v>#REF!</v>
      </c>
      <c r="S20" s="9">
        <f t="shared" si="5"/>
        <v>1337</v>
      </c>
      <c r="T20" s="11" t="e">
        <f t="shared" si="6"/>
        <v>#REF!</v>
      </c>
    </row>
    <row r="21" spans="1:20" x14ac:dyDescent="0.25">
      <c r="A21" s="3" t="s">
        <v>31</v>
      </c>
      <c r="B21" s="9">
        <f>COUNTIFS('Breakdown of stats'!A:A,"&gt;"&amp;LEFT(A21,8),'Breakdown of stats'!A:A,"&lt;"&amp;RIGHT(A21,8),'Breakdown of stats'!B:B,"*V1*")</f>
        <v>25</v>
      </c>
      <c r="C21" s="10" t="e">
        <f t="shared" si="0"/>
        <v>#REF!</v>
      </c>
      <c r="D21" s="10" t="e">
        <f>'WebDeal v1 by 10 seconds'!B23+'WebDeal v1 by 10 seconds'!E23+'WebDeal v1 by 10 seconds'!H23+'WebDeal v1 by 10 seconds'!K23</f>
        <v>#REF!</v>
      </c>
      <c r="E21" s="10" t="e">
        <f>'WebDeal v2 by 10 Seconds'!B23+'WebDeal v2 by 10 Seconds'!E23+'WebDeal v2 by 10 Seconds'!H23+'WebDeal v2 by 10 Seconds'!K23</f>
        <v>#REF!</v>
      </c>
      <c r="F21" s="11" t="e">
        <f>'WebDeal v3 by 10 Seconds'!B23+'WebDeal v3 by 10 Seconds'!E23+'WebDeal v3 by 10 Seconds'!H23+'WebDeal v3 by 10 Seconds'!K23</f>
        <v>#REF!</v>
      </c>
      <c r="G21" s="9">
        <f>COUNTIFS('Breakdown of stats'!A:A,"&gt;"&amp;LEFT(A21,8),'Breakdown of stats'!A:A,"&lt;"&amp;RIGHT(A21,8),'Breakdown of stats'!B:B,"*V2*")</f>
        <v>23</v>
      </c>
      <c r="H21" s="10" t="e">
        <f t="shared" si="1"/>
        <v>#REF!</v>
      </c>
      <c r="I21" s="10" t="e">
        <f>'WebDeal v1 by 10 seconds'!C23+'WebDeal v1 by 10 seconds'!F23+'WebDeal v1 by 10 seconds'!I23+'WebDeal v1 by 10 seconds'!L23</f>
        <v>#REF!</v>
      </c>
      <c r="J21" s="10" t="e">
        <f>'WebDeal v2 by 10 Seconds'!C23+'WebDeal v2 by 10 Seconds'!F23+'WebDeal v2 by 10 Seconds'!I23+'WebDeal v2 by 10 Seconds'!L23</f>
        <v>#REF!</v>
      </c>
      <c r="K21" s="11" t="e">
        <f>'WebDeal v3 by 10 Seconds'!C23+'WebDeal v3 by 10 Seconds'!F23+'WebDeal v3 by 10 Seconds'!I23+'WebDeal v3 by 10 Seconds'!L23</f>
        <v>#REF!</v>
      </c>
      <c r="L21" s="9">
        <f>COUNTIFS('Breakdown of stats'!A:A,"&gt;"&amp;LEFT(A21,8),'Breakdown of stats'!A:A,"&lt;"&amp;RIGHT(A21,8),'Breakdown of stats'!B:B,"*V3*")</f>
        <v>27</v>
      </c>
      <c r="M21" s="10" t="e">
        <f t="shared" si="2"/>
        <v>#REF!</v>
      </c>
      <c r="N21" s="10" t="e">
        <f>'WebDeal v1 by 10 seconds'!D23+'WebDeal v1 by 10 seconds'!G23+'WebDeal v1 by 10 seconds'!J23+'WebDeal v1 by 10 seconds'!M23</f>
        <v>#REF!</v>
      </c>
      <c r="O21" s="10" t="e">
        <f>'WebDeal v2 by 10 Seconds'!D23+'WebDeal v2 by 10 Seconds'!G23+'WebDeal v2 by 10 Seconds'!J23+'WebDeal v2 by 10 Seconds'!M23</f>
        <v>#REF!</v>
      </c>
      <c r="P21" s="11" t="e">
        <f>'WebDeal v3 by 10 Seconds'!D23+'WebDeal v3 by 10 Seconds'!G23+'WebDeal v3 by 10 Seconds'!J23+'WebDeal v3 by 10 Seconds'!M23</f>
        <v>#REF!</v>
      </c>
      <c r="Q21" s="9">
        <f t="shared" si="3"/>
        <v>75</v>
      </c>
      <c r="R21" s="11" t="e">
        <f t="shared" si="4"/>
        <v>#REF!</v>
      </c>
      <c r="S21" s="9">
        <f t="shared" si="5"/>
        <v>1412</v>
      </c>
      <c r="T21" s="11" t="e">
        <f t="shared" si="6"/>
        <v>#REF!</v>
      </c>
    </row>
    <row r="22" spans="1:20" x14ac:dyDescent="0.25">
      <c r="A22" s="3" t="s">
        <v>32</v>
      </c>
      <c r="B22" s="9">
        <f>COUNTIFS('Breakdown of stats'!A:A,"&gt;"&amp;LEFT(A22,8),'Breakdown of stats'!A:A,"&lt;"&amp;RIGHT(A22,8),'Breakdown of stats'!B:B,"*V1*")</f>
        <v>20</v>
      </c>
      <c r="C22" s="10" t="e">
        <f t="shared" si="0"/>
        <v>#REF!</v>
      </c>
      <c r="D22" s="10" t="e">
        <f>'WebDeal v1 by 10 seconds'!B24+'WebDeal v1 by 10 seconds'!E24+'WebDeal v1 by 10 seconds'!H24+'WebDeal v1 by 10 seconds'!K24</f>
        <v>#REF!</v>
      </c>
      <c r="E22" s="10" t="e">
        <f>'WebDeal v2 by 10 Seconds'!B24+'WebDeal v2 by 10 Seconds'!E24+'WebDeal v2 by 10 Seconds'!H24+'WebDeal v2 by 10 Seconds'!K24</f>
        <v>#REF!</v>
      </c>
      <c r="F22" s="11" t="e">
        <f>'WebDeal v3 by 10 Seconds'!B24+'WebDeal v3 by 10 Seconds'!E24+'WebDeal v3 by 10 Seconds'!H24+'WebDeal v3 by 10 Seconds'!K24</f>
        <v>#REF!</v>
      </c>
      <c r="G22" s="9">
        <f>COUNTIFS('Breakdown of stats'!A:A,"&gt;"&amp;LEFT(A22,8),'Breakdown of stats'!A:A,"&lt;"&amp;RIGHT(A22,8),'Breakdown of stats'!B:B,"*V2*")</f>
        <v>25</v>
      </c>
      <c r="H22" s="10" t="e">
        <f t="shared" si="1"/>
        <v>#REF!</v>
      </c>
      <c r="I22" s="10" t="e">
        <f>'WebDeal v1 by 10 seconds'!C24+'WebDeal v1 by 10 seconds'!F24+'WebDeal v1 by 10 seconds'!I24+'WebDeal v1 by 10 seconds'!L24</f>
        <v>#REF!</v>
      </c>
      <c r="J22" s="10" t="e">
        <f>'WebDeal v2 by 10 Seconds'!C24+'WebDeal v2 by 10 Seconds'!F24+'WebDeal v2 by 10 Seconds'!I24+'WebDeal v2 by 10 Seconds'!L24</f>
        <v>#REF!</v>
      </c>
      <c r="K22" s="11" t="e">
        <f>'WebDeal v3 by 10 Seconds'!C24+'WebDeal v3 by 10 Seconds'!F24+'WebDeal v3 by 10 Seconds'!I24+'WebDeal v3 by 10 Seconds'!L24</f>
        <v>#REF!</v>
      </c>
      <c r="L22" s="9">
        <f>COUNTIFS('Breakdown of stats'!A:A,"&gt;"&amp;LEFT(A22,8),'Breakdown of stats'!A:A,"&lt;"&amp;RIGHT(A22,8),'Breakdown of stats'!B:B,"*V3*")</f>
        <v>22</v>
      </c>
      <c r="M22" s="10" t="e">
        <f t="shared" si="2"/>
        <v>#REF!</v>
      </c>
      <c r="N22" s="10" t="e">
        <f>'WebDeal v1 by 10 seconds'!D24+'WebDeal v1 by 10 seconds'!G24+'WebDeal v1 by 10 seconds'!J24+'WebDeal v1 by 10 seconds'!M24</f>
        <v>#REF!</v>
      </c>
      <c r="O22" s="10" t="e">
        <f>'WebDeal v2 by 10 Seconds'!D24+'WebDeal v2 by 10 Seconds'!G24+'WebDeal v2 by 10 Seconds'!J24+'WebDeal v2 by 10 Seconds'!M24</f>
        <v>#REF!</v>
      </c>
      <c r="P22" s="11" t="e">
        <f>'WebDeal v3 by 10 Seconds'!D24+'WebDeal v3 by 10 Seconds'!G24+'WebDeal v3 by 10 Seconds'!J24+'WebDeal v3 by 10 Seconds'!M24</f>
        <v>#REF!</v>
      </c>
      <c r="Q22" s="9">
        <f t="shared" si="3"/>
        <v>67</v>
      </c>
      <c r="R22" s="11" t="e">
        <f t="shared" si="4"/>
        <v>#REF!</v>
      </c>
      <c r="S22" s="9">
        <f t="shared" si="5"/>
        <v>1479</v>
      </c>
      <c r="T22" s="11" t="e">
        <f t="shared" si="6"/>
        <v>#REF!</v>
      </c>
    </row>
    <row r="23" spans="1:20" x14ac:dyDescent="0.25">
      <c r="A23" s="3" t="s">
        <v>33</v>
      </c>
      <c r="B23" s="9">
        <f>COUNTIFS('Breakdown of stats'!A:A,"&gt;"&amp;LEFT(A23,8),'Breakdown of stats'!A:A,"&lt;"&amp;RIGHT(A23,8),'Breakdown of stats'!B:B,"*V1*")</f>
        <v>20</v>
      </c>
      <c r="C23" s="10" t="e">
        <f t="shared" si="0"/>
        <v>#REF!</v>
      </c>
      <c r="D23" s="10" t="e">
        <f>'WebDeal v1 by 10 seconds'!B25+'WebDeal v1 by 10 seconds'!E25+'WebDeal v1 by 10 seconds'!H25+'WebDeal v1 by 10 seconds'!K25</f>
        <v>#REF!</v>
      </c>
      <c r="E23" s="10" t="e">
        <f>'WebDeal v2 by 10 Seconds'!B25+'WebDeal v2 by 10 Seconds'!E25+'WebDeal v2 by 10 Seconds'!H25+'WebDeal v2 by 10 Seconds'!K25</f>
        <v>#REF!</v>
      </c>
      <c r="F23" s="11" t="e">
        <f>'WebDeal v3 by 10 Seconds'!B25+'WebDeal v3 by 10 Seconds'!E25+'WebDeal v3 by 10 Seconds'!H25+'WebDeal v3 by 10 Seconds'!K25</f>
        <v>#REF!</v>
      </c>
      <c r="G23" s="9">
        <f>COUNTIFS('Breakdown of stats'!A:A,"&gt;"&amp;LEFT(A23,8),'Breakdown of stats'!A:A,"&lt;"&amp;RIGHT(A23,8),'Breakdown of stats'!B:B,"*V2*")</f>
        <v>21</v>
      </c>
      <c r="H23" s="10" t="e">
        <f t="shared" si="1"/>
        <v>#REF!</v>
      </c>
      <c r="I23" s="10" t="e">
        <f>'WebDeal v1 by 10 seconds'!C25+'WebDeal v1 by 10 seconds'!F25+'WebDeal v1 by 10 seconds'!I25+'WebDeal v1 by 10 seconds'!L25</f>
        <v>#REF!</v>
      </c>
      <c r="J23" s="10" t="e">
        <f>'WebDeal v2 by 10 Seconds'!C25+'WebDeal v2 by 10 Seconds'!F25+'WebDeal v2 by 10 Seconds'!I25+'WebDeal v2 by 10 Seconds'!L25</f>
        <v>#REF!</v>
      </c>
      <c r="K23" s="11" t="e">
        <f>'WebDeal v3 by 10 Seconds'!C25+'WebDeal v3 by 10 Seconds'!F25+'WebDeal v3 by 10 Seconds'!I25+'WebDeal v3 by 10 Seconds'!L25</f>
        <v>#REF!</v>
      </c>
      <c r="L23" s="9">
        <f>COUNTIFS('Breakdown of stats'!A:A,"&gt;"&amp;LEFT(A23,8),'Breakdown of stats'!A:A,"&lt;"&amp;RIGHT(A23,8),'Breakdown of stats'!B:B,"*V3*")</f>
        <v>19</v>
      </c>
      <c r="M23" s="10" t="e">
        <f t="shared" si="2"/>
        <v>#REF!</v>
      </c>
      <c r="N23" s="10" t="e">
        <f>'WebDeal v1 by 10 seconds'!D25+'WebDeal v1 by 10 seconds'!G25+'WebDeal v1 by 10 seconds'!J25+'WebDeal v1 by 10 seconds'!M25</f>
        <v>#REF!</v>
      </c>
      <c r="O23" s="10" t="e">
        <f>'WebDeal v2 by 10 Seconds'!D25+'WebDeal v2 by 10 Seconds'!G25+'WebDeal v2 by 10 Seconds'!J25+'WebDeal v2 by 10 Seconds'!M25</f>
        <v>#REF!</v>
      </c>
      <c r="P23" s="11" t="e">
        <f>'WebDeal v3 by 10 Seconds'!D25+'WebDeal v3 by 10 Seconds'!G25+'WebDeal v3 by 10 Seconds'!J25+'WebDeal v3 by 10 Seconds'!M25</f>
        <v>#REF!</v>
      </c>
      <c r="Q23" s="9">
        <f t="shared" si="3"/>
        <v>60</v>
      </c>
      <c r="R23" s="11" t="e">
        <f t="shared" si="4"/>
        <v>#REF!</v>
      </c>
      <c r="S23" s="9">
        <f t="shared" si="5"/>
        <v>1539</v>
      </c>
      <c r="T23" s="11" t="e">
        <f t="shared" si="6"/>
        <v>#REF!</v>
      </c>
    </row>
    <row r="24" spans="1:20" x14ac:dyDescent="0.25">
      <c r="A24" s="3" t="s">
        <v>34</v>
      </c>
      <c r="B24" s="9">
        <f>COUNTIFS('Breakdown of stats'!A:A,"&gt;"&amp;LEFT(A24,8),'Breakdown of stats'!A:A,"&lt;"&amp;RIGHT(A24,8),'Breakdown of stats'!B:B,"*V1*")</f>
        <v>26</v>
      </c>
      <c r="C24" s="10" t="e">
        <f t="shared" si="0"/>
        <v>#REF!</v>
      </c>
      <c r="D24" s="10" t="e">
        <f>'WebDeal v1 by 10 seconds'!B26+'WebDeal v1 by 10 seconds'!E26+'WebDeal v1 by 10 seconds'!H26+'WebDeal v1 by 10 seconds'!K26</f>
        <v>#REF!</v>
      </c>
      <c r="E24" s="10" t="e">
        <f>'WebDeal v2 by 10 Seconds'!B26+'WebDeal v2 by 10 Seconds'!E26+'WebDeal v2 by 10 Seconds'!H26+'WebDeal v2 by 10 Seconds'!K26</f>
        <v>#REF!</v>
      </c>
      <c r="F24" s="11" t="e">
        <f>'WebDeal v3 by 10 Seconds'!B26+'WebDeal v3 by 10 Seconds'!E26+'WebDeal v3 by 10 Seconds'!H26+'WebDeal v3 by 10 Seconds'!K26</f>
        <v>#REF!</v>
      </c>
      <c r="G24" s="9">
        <f>COUNTIFS('Breakdown of stats'!A:A,"&gt;"&amp;LEFT(A24,8),'Breakdown of stats'!A:A,"&lt;"&amp;RIGHT(A24,8),'Breakdown of stats'!B:B,"*V2*")</f>
        <v>18</v>
      </c>
      <c r="H24" s="10" t="e">
        <f t="shared" si="1"/>
        <v>#REF!</v>
      </c>
      <c r="I24" s="10" t="e">
        <f>'WebDeal v1 by 10 seconds'!C26+'WebDeal v1 by 10 seconds'!F26+'WebDeal v1 by 10 seconds'!I26+'WebDeal v1 by 10 seconds'!L26</f>
        <v>#REF!</v>
      </c>
      <c r="J24" s="10" t="e">
        <f>'WebDeal v2 by 10 Seconds'!C26+'WebDeal v2 by 10 Seconds'!F26+'WebDeal v2 by 10 Seconds'!I26+'WebDeal v2 by 10 Seconds'!L26</f>
        <v>#REF!</v>
      </c>
      <c r="K24" s="11" t="e">
        <f>'WebDeal v3 by 10 Seconds'!C26+'WebDeal v3 by 10 Seconds'!F26+'WebDeal v3 by 10 Seconds'!I26+'WebDeal v3 by 10 Seconds'!L26</f>
        <v>#REF!</v>
      </c>
      <c r="L24" s="9">
        <f>COUNTIFS('Breakdown of stats'!A:A,"&gt;"&amp;LEFT(A24,8),'Breakdown of stats'!A:A,"&lt;"&amp;RIGHT(A24,8),'Breakdown of stats'!B:B,"*V3*")</f>
        <v>21</v>
      </c>
      <c r="M24" s="10" t="e">
        <f t="shared" si="2"/>
        <v>#REF!</v>
      </c>
      <c r="N24" s="10" t="e">
        <f>'WebDeal v1 by 10 seconds'!D26+'WebDeal v1 by 10 seconds'!G26+'WebDeal v1 by 10 seconds'!J26+'WebDeal v1 by 10 seconds'!M26</f>
        <v>#REF!</v>
      </c>
      <c r="O24" s="10" t="e">
        <f>'WebDeal v2 by 10 Seconds'!D26+'WebDeal v2 by 10 Seconds'!G26+'WebDeal v2 by 10 Seconds'!J26+'WebDeal v2 by 10 Seconds'!M26</f>
        <v>#REF!</v>
      </c>
      <c r="P24" s="11" t="e">
        <f>'WebDeal v3 by 10 Seconds'!D26+'WebDeal v3 by 10 Seconds'!G26+'WebDeal v3 by 10 Seconds'!J26+'WebDeal v3 by 10 Seconds'!M26</f>
        <v>#REF!</v>
      </c>
      <c r="Q24" s="9">
        <f t="shared" si="3"/>
        <v>65</v>
      </c>
      <c r="R24" s="11" t="e">
        <f t="shared" si="4"/>
        <v>#REF!</v>
      </c>
      <c r="S24" s="9">
        <f t="shared" si="5"/>
        <v>1604</v>
      </c>
      <c r="T24" s="11" t="e">
        <f t="shared" si="6"/>
        <v>#REF!</v>
      </c>
    </row>
    <row r="25" spans="1:20" x14ac:dyDescent="0.25">
      <c r="A25" s="3" t="s">
        <v>35</v>
      </c>
      <c r="B25" s="9">
        <f>COUNTIFS('Breakdown of stats'!A:A,"&gt;"&amp;LEFT(A25,8),'Breakdown of stats'!A:A,"&lt;"&amp;RIGHT(A25,8),'Breakdown of stats'!B:B,"*V1*")</f>
        <v>26</v>
      </c>
      <c r="C25" s="10" t="e">
        <f t="shared" si="0"/>
        <v>#REF!</v>
      </c>
      <c r="D25" s="10" t="e">
        <f>'WebDeal v1 by 10 seconds'!B27+'WebDeal v1 by 10 seconds'!E27+'WebDeal v1 by 10 seconds'!H27+'WebDeal v1 by 10 seconds'!K27</f>
        <v>#REF!</v>
      </c>
      <c r="E25" s="10" t="e">
        <f>'WebDeal v2 by 10 Seconds'!B27+'WebDeal v2 by 10 Seconds'!E27+'WebDeal v2 by 10 Seconds'!H27+'WebDeal v2 by 10 Seconds'!K27</f>
        <v>#REF!</v>
      </c>
      <c r="F25" s="11" t="e">
        <f>'WebDeal v3 by 10 Seconds'!B27+'WebDeal v3 by 10 Seconds'!E27+'WebDeal v3 by 10 Seconds'!H27+'WebDeal v3 by 10 Seconds'!K27</f>
        <v>#REF!</v>
      </c>
      <c r="G25" s="9">
        <f>COUNTIFS('Breakdown of stats'!A:A,"&gt;"&amp;LEFT(A25,8),'Breakdown of stats'!A:A,"&lt;"&amp;RIGHT(A25,8),'Breakdown of stats'!B:B,"*V2*")</f>
        <v>24</v>
      </c>
      <c r="H25" s="10" t="e">
        <f t="shared" si="1"/>
        <v>#REF!</v>
      </c>
      <c r="I25" s="10" t="e">
        <f>'WebDeal v1 by 10 seconds'!C27+'WebDeal v1 by 10 seconds'!F27+'WebDeal v1 by 10 seconds'!I27+'WebDeal v1 by 10 seconds'!L27</f>
        <v>#REF!</v>
      </c>
      <c r="J25" s="10" t="e">
        <f>'WebDeal v2 by 10 Seconds'!C27+'WebDeal v2 by 10 Seconds'!F27+'WebDeal v2 by 10 Seconds'!I27+'WebDeal v2 by 10 Seconds'!L27</f>
        <v>#REF!</v>
      </c>
      <c r="K25" s="11" t="e">
        <f>'WebDeal v3 by 10 Seconds'!C27+'WebDeal v3 by 10 Seconds'!F27+'WebDeal v3 by 10 Seconds'!I27+'WebDeal v3 by 10 Seconds'!L27</f>
        <v>#REF!</v>
      </c>
      <c r="L25" s="9">
        <f>COUNTIFS('Breakdown of stats'!A:A,"&gt;"&amp;LEFT(A25,8),'Breakdown of stats'!A:A,"&lt;"&amp;RIGHT(A25,8),'Breakdown of stats'!B:B,"*V3*")</f>
        <v>17</v>
      </c>
      <c r="M25" s="10" t="e">
        <f t="shared" si="2"/>
        <v>#REF!</v>
      </c>
      <c r="N25" s="10" t="e">
        <f>'WebDeal v1 by 10 seconds'!D27+'WebDeal v1 by 10 seconds'!G27+'WebDeal v1 by 10 seconds'!J27+'WebDeal v1 by 10 seconds'!M27</f>
        <v>#REF!</v>
      </c>
      <c r="O25" s="10" t="e">
        <f>'WebDeal v2 by 10 Seconds'!D27+'WebDeal v2 by 10 Seconds'!G27+'WebDeal v2 by 10 Seconds'!J27+'WebDeal v2 by 10 Seconds'!M27</f>
        <v>#REF!</v>
      </c>
      <c r="P25" s="11" t="e">
        <f>'WebDeal v3 by 10 Seconds'!D27+'WebDeal v3 by 10 Seconds'!G27+'WebDeal v3 by 10 Seconds'!J27+'WebDeal v3 by 10 Seconds'!M27</f>
        <v>#REF!</v>
      </c>
      <c r="Q25" s="9">
        <f t="shared" si="3"/>
        <v>67</v>
      </c>
      <c r="R25" s="11" t="e">
        <f t="shared" si="4"/>
        <v>#REF!</v>
      </c>
      <c r="S25" s="9">
        <f t="shared" si="5"/>
        <v>1671</v>
      </c>
      <c r="T25" s="11" t="e">
        <f t="shared" si="6"/>
        <v>#REF!</v>
      </c>
    </row>
    <row r="26" spans="1:20" x14ac:dyDescent="0.25">
      <c r="A26" s="3" t="s">
        <v>36</v>
      </c>
      <c r="B26" s="9">
        <f>COUNTIFS('Breakdown of stats'!A:A,"&gt;"&amp;LEFT(A26,8),'Breakdown of stats'!A:A,"&lt;"&amp;RIGHT(A26,8),'Breakdown of stats'!B:B,"*V1*")</f>
        <v>22</v>
      </c>
      <c r="C26" s="10" t="e">
        <f t="shared" si="0"/>
        <v>#REF!</v>
      </c>
      <c r="D26" s="10" t="e">
        <f>'WebDeal v1 by 10 seconds'!B28+'WebDeal v1 by 10 seconds'!E28+'WebDeal v1 by 10 seconds'!H28+'WebDeal v1 by 10 seconds'!K28</f>
        <v>#REF!</v>
      </c>
      <c r="E26" s="10" t="e">
        <f>'WebDeal v2 by 10 Seconds'!B28+'WebDeal v2 by 10 Seconds'!E28+'WebDeal v2 by 10 Seconds'!H28+'WebDeal v2 by 10 Seconds'!K28</f>
        <v>#REF!</v>
      </c>
      <c r="F26" s="11" t="e">
        <f>'WebDeal v3 by 10 Seconds'!B28+'WebDeal v3 by 10 Seconds'!E28+'WebDeal v3 by 10 Seconds'!H28+'WebDeal v3 by 10 Seconds'!K28</f>
        <v>#REF!</v>
      </c>
      <c r="G26" s="9">
        <f>COUNTIFS('Breakdown of stats'!A:A,"&gt;"&amp;LEFT(A26,8),'Breakdown of stats'!A:A,"&lt;"&amp;RIGHT(A26,8),'Breakdown of stats'!B:B,"*V2*")</f>
        <v>21</v>
      </c>
      <c r="H26" s="10" t="e">
        <f t="shared" si="1"/>
        <v>#REF!</v>
      </c>
      <c r="I26" s="10" t="e">
        <f>'WebDeal v1 by 10 seconds'!C28+'WebDeal v1 by 10 seconds'!F28+'WebDeal v1 by 10 seconds'!I28+'WebDeal v1 by 10 seconds'!L28</f>
        <v>#REF!</v>
      </c>
      <c r="J26" s="10" t="e">
        <f>'WebDeal v2 by 10 Seconds'!C28+'WebDeal v2 by 10 Seconds'!F28+'WebDeal v2 by 10 Seconds'!I28+'WebDeal v2 by 10 Seconds'!L28</f>
        <v>#REF!</v>
      </c>
      <c r="K26" s="11" t="e">
        <f>'WebDeal v3 by 10 Seconds'!C28+'WebDeal v3 by 10 Seconds'!F28+'WebDeal v3 by 10 Seconds'!I28+'WebDeal v3 by 10 Seconds'!L28</f>
        <v>#REF!</v>
      </c>
      <c r="L26" s="9">
        <f>COUNTIFS('Breakdown of stats'!A:A,"&gt;"&amp;LEFT(A26,8),'Breakdown of stats'!A:A,"&lt;"&amp;RIGHT(A26,8),'Breakdown of stats'!B:B,"*V3*")</f>
        <v>19</v>
      </c>
      <c r="M26" s="10" t="e">
        <f t="shared" si="2"/>
        <v>#REF!</v>
      </c>
      <c r="N26" s="10" t="e">
        <f>'WebDeal v1 by 10 seconds'!D28+'WebDeal v1 by 10 seconds'!G28+'WebDeal v1 by 10 seconds'!J28+'WebDeal v1 by 10 seconds'!M28</f>
        <v>#REF!</v>
      </c>
      <c r="O26" s="10" t="e">
        <f>'WebDeal v2 by 10 Seconds'!D28+'WebDeal v2 by 10 Seconds'!G28+'WebDeal v2 by 10 Seconds'!J28+'WebDeal v2 by 10 Seconds'!M28</f>
        <v>#REF!</v>
      </c>
      <c r="P26" s="11" t="e">
        <f>'WebDeal v3 by 10 Seconds'!D28+'WebDeal v3 by 10 Seconds'!G28+'WebDeal v3 by 10 Seconds'!J28+'WebDeal v3 by 10 Seconds'!M28</f>
        <v>#REF!</v>
      </c>
      <c r="Q26" s="9">
        <f t="shared" si="3"/>
        <v>62</v>
      </c>
      <c r="R26" s="11" t="e">
        <f t="shared" si="4"/>
        <v>#REF!</v>
      </c>
      <c r="S26" s="9">
        <f t="shared" si="5"/>
        <v>1733</v>
      </c>
      <c r="T26" s="11" t="e">
        <f t="shared" si="6"/>
        <v>#REF!</v>
      </c>
    </row>
    <row r="27" spans="1:20" x14ac:dyDescent="0.25">
      <c r="A27" s="3" t="s">
        <v>32</v>
      </c>
      <c r="B27" s="9">
        <f>COUNTIFS('Breakdown of stats'!A:A,"&gt;"&amp;LEFT(A27,8),'Breakdown of stats'!A:A,"&lt;"&amp;RIGHT(A27,8),'Breakdown of stats'!B:B,"*V1*")</f>
        <v>20</v>
      </c>
      <c r="C27" s="10" t="e">
        <f t="shared" si="0"/>
        <v>#REF!</v>
      </c>
      <c r="D27" s="10" t="e">
        <f>'WebDeal v1 by 10 seconds'!B29+'WebDeal v1 by 10 seconds'!E29+'WebDeal v1 by 10 seconds'!H29+'WebDeal v1 by 10 seconds'!K29</f>
        <v>#REF!</v>
      </c>
      <c r="E27" s="10" t="e">
        <f>'WebDeal v2 by 10 Seconds'!B29+'WebDeal v2 by 10 Seconds'!E29+'WebDeal v2 by 10 Seconds'!H29+'WebDeal v2 by 10 Seconds'!K29</f>
        <v>#REF!</v>
      </c>
      <c r="F27" s="11" t="e">
        <f>'WebDeal v3 by 10 Seconds'!B29+'WebDeal v3 by 10 Seconds'!E29+'WebDeal v3 by 10 Seconds'!H29+'WebDeal v3 by 10 Seconds'!K29</f>
        <v>#REF!</v>
      </c>
      <c r="G27" s="9">
        <f>COUNTIFS('Breakdown of stats'!A:A,"&gt;"&amp;LEFT(A27,8),'Breakdown of stats'!A:A,"&lt;"&amp;RIGHT(A27,8),'Breakdown of stats'!B:B,"*V2*")</f>
        <v>25</v>
      </c>
      <c r="H27" s="10" t="e">
        <f t="shared" si="1"/>
        <v>#REF!</v>
      </c>
      <c r="I27" s="10" t="e">
        <f>'WebDeal v1 by 10 seconds'!C29+'WebDeal v1 by 10 seconds'!F29+'WebDeal v1 by 10 seconds'!I29+'WebDeal v1 by 10 seconds'!L29</f>
        <v>#REF!</v>
      </c>
      <c r="J27" s="10" t="e">
        <f>'WebDeal v2 by 10 Seconds'!C29+'WebDeal v2 by 10 Seconds'!F29+'WebDeal v2 by 10 Seconds'!I29+'WebDeal v2 by 10 Seconds'!L29</f>
        <v>#REF!</v>
      </c>
      <c r="K27" s="11" t="e">
        <f>'WebDeal v3 by 10 Seconds'!C29+'WebDeal v3 by 10 Seconds'!F29+'WebDeal v3 by 10 Seconds'!I29+'WebDeal v3 by 10 Seconds'!L29</f>
        <v>#REF!</v>
      </c>
      <c r="L27" s="9">
        <f>COUNTIFS('Breakdown of stats'!A:A,"&gt;"&amp;LEFT(A27,8),'Breakdown of stats'!A:A,"&lt;"&amp;RIGHT(A27,8),'Breakdown of stats'!B:B,"*V3*")</f>
        <v>22</v>
      </c>
      <c r="M27" s="10" t="e">
        <f t="shared" si="2"/>
        <v>#REF!</v>
      </c>
      <c r="N27" s="10" t="e">
        <f>'WebDeal v1 by 10 seconds'!D29+'WebDeal v1 by 10 seconds'!G29+'WebDeal v1 by 10 seconds'!J29+'WebDeal v1 by 10 seconds'!M29</f>
        <v>#REF!</v>
      </c>
      <c r="O27" s="10" t="e">
        <f>'WebDeal v2 by 10 Seconds'!D29+'WebDeal v2 by 10 Seconds'!G29+'WebDeal v2 by 10 Seconds'!J29+'WebDeal v2 by 10 Seconds'!M29</f>
        <v>#REF!</v>
      </c>
      <c r="P27" s="11" t="e">
        <f>'WebDeal v3 by 10 Seconds'!D29+'WebDeal v3 by 10 Seconds'!G29+'WebDeal v3 by 10 Seconds'!J29+'WebDeal v3 by 10 Seconds'!M29</f>
        <v>#REF!</v>
      </c>
      <c r="Q27" s="9">
        <f t="shared" si="3"/>
        <v>67</v>
      </c>
      <c r="R27" s="11" t="e">
        <f t="shared" si="4"/>
        <v>#REF!</v>
      </c>
      <c r="S27" s="9">
        <f t="shared" si="5"/>
        <v>1800</v>
      </c>
      <c r="T27" s="11" t="e">
        <f t="shared" si="6"/>
        <v>#REF!</v>
      </c>
    </row>
    <row r="28" spans="1:20" x14ac:dyDescent="0.25">
      <c r="A28" s="3" t="s">
        <v>33</v>
      </c>
      <c r="B28" s="9">
        <f>COUNTIFS('Breakdown of stats'!A:A,"&gt;"&amp;LEFT(A28,8),'Breakdown of stats'!A:A,"&lt;"&amp;RIGHT(A28,8),'Breakdown of stats'!B:B,"*V1*")</f>
        <v>20</v>
      </c>
      <c r="C28" s="10" t="e">
        <f t="shared" si="0"/>
        <v>#REF!</v>
      </c>
      <c r="D28" s="10" t="e">
        <f>'WebDeal v1 by 10 seconds'!B30+'WebDeal v1 by 10 seconds'!E30+'WebDeal v1 by 10 seconds'!H30+'WebDeal v1 by 10 seconds'!K30</f>
        <v>#REF!</v>
      </c>
      <c r="E28" s="10" t="e">
        <f>'WebDeal v2 by 10 Seconds'!B30+'WebDeal v2 by 10 Seconds'!E30+'WebDeal v2 by 10 Seconds'!H30+'WebDeal v2 by 10 Seconds'!K30</f>
        <v>#REF!</v>
      </c>
      <c r="F28" s="11" t="e">
        <f>'WebDeal v3 by 10 Seconds'!B30+'WebDeal v3 by 10 Seconds'!E30+'WebDeal v3 by 10 Seconds'!H30+'WebDeal v3 by 10 Seconds'!K30</f>
        <v>#REF!</v>
      </c>
      <c r="G28" s="9">
        <f>COUNTIFS('Breakdown of stats'!A:A,"&gt;"&amp;LEFT(A28,8),'Breakdown of stats'!A:A,"&lt;"&amp;RIGHT(A28,8),'Breakdown of stats'!B:B,"*V2*")</f>
        <v>21</v>
      </c>
      <c r="H28" s="10" t="e">
        <f t="shared" si="1"/>
        <v>#REF!</v>
      </c>
      <c r="I28" s="10" t="e">
        <f>'WebDeal v1 by 10 seconds'!C30+'WebDeal v1 by 10 seconds'!F30+'WebDeal v1 by 10 seconds'!I30+'WebDeal v1 by 10 seconds'!L30</f>
        <v>#REF!</v>
      </c>
      <c r="J28" s="10" t="e">
        <f>'WebDeal v2 by 10 Seconds'!C30+'WebDeal v2 by 10 Seconds'!F30+'WebDeal v2 by 10 Seconds'!I30+'WebDeal v2 by 10 Seconds'!L30</f>
        <v>#REF!</v>
      </c>
      <c r="K28" s="11" t="e">
        <f>'WebDeal v3 by 10 Seconds'!C30+'WebDeal v3 by 10 Seconds'!F30+'WebDeal v3 by 10 Seconds'!I30+'WebDeal v3 by 10 Seconds'!L30</f>
        <v>#REF!</v>
      </c>
      <c r="L28" s="9">
        <f>COUNTIFS('Breakdown of stats'!A:A,"&gt;"&amp;LEFT(A28,8),'Breakdown of stats'!A:A,"&lt;"&amp;RIGHT(A28,8),'Breakdown of stats'!B:B,"*V3*")</f>
        <v>19</v>
      </c>
      <c r="M28" s="10" t="e">
        <f t="shared" si="2"/>
        <v>#REF!</v>
      </c>
      <c r="N28" s="10" t="e">
        <f>'WebDeal v1 by 10 seconds'!D30+'WebDeal v1 by 10 seconds'!G30+'WebDeal v1 by 10 seconds'!J30+'WebDeal v1 by 10 seconds'!M30</f>
        <v>#REF!</v>
      </c>
      <c r="O28" s="10" t="e">
        <f>'WebDeal v2 by 10 Seconds'!D30+'WebDeal v2 by 10 Seconds'!G30+'WebDeal v2 by 10 Seconds'!J30+'WebDeal v2 by 10 Seconds'!M30</f>
        <v>#REF!</v>
      </c>
      <c r="P28" s="11" t="e">
        <f>'WebDeal v3 by 10 Seconds'!D30+'WebDeal v3 by 10 Seconds'!G30+'WebDeal v3 by 10 Seconds'!J30+'WebDeal v3 by 10 Seconds'!M30</f>
        <v>#REF!</v>
      </c>
      <c r="Q28" s="9">
        <f t="shared" si="3"/>
        <v>60</v>
      </c>
      <c r="R28" s="11" t="e">
        <f t="shared" si="4"/>
        <v>#REF!</v>
      </c>
      <c r="S28" s="9">
        <f t="shared" si="5"/>
        <v>1860</v>
      </c>
      <c r="T28" s="11" t="e">
        <f t="shared" si="6"/>
        <v>#REF!</v>
      </c>
    </row>
    <row r="29" spans="1:20" x14ac:dyDescent="0.25">
      <c r="A29" s="3" t="s">
        <v>34</v>
      </c>
      <c r="B29" s="9">
        <f>COUNTIFS('Breakdown of stats'!A:A,"&gt;"&amp;LEFT(A29,8),'Breakdown of stats'!A:A,"&lt;"&amp;RIGHT(A29,8),'Breakdown of stats'!B:B,"*V1*")</f>
        <v>26</v>
      </c>
      <c r="C29" s="10" t="e">
        <f t="shared" si="0"/>
        <v>#REF!</v>
      </c>
      <c r="D29" s="10" t="e">
        <f>'WebDeal v1 by 10 seconds'!B31+'WebDeal v1 by 10 seconds'!E31+'WebDeal v1 by 10 seconds'!H31+'WebDeal v1 by 10 seconds'!K31</f>
        <v>#REF!</v>
      </c>
      <c r="E29" s="10" t="e">
        <f>'WebDeal v2 by 10 Seconds'!B31+'WebDeal v2 by 10 Seconds'!E31+'WebDeal v2 by 10 Seconds'!H31+'WebDeal v2 by 10 Seconds'!K31</f>
        <v>#REF!</v>
      </c>
      <c r="F29" s="11" t="e">
        <f>'WebDeal v3 by 10 Seconds'!B31+'WebDeal v3 by 10 Seconds'!E31+'WebDeal v3 by 10 Seconds'!H31+'WebDeal v3 by 10 Seconds'!K31</f>
        <v>#REF!</v>
      </c>
      <c r="G29" s="9">
        <f>COUNTIFS('Breakdown of stats'!A:A,"&gt;"&amp;LEFT(A29,8),'Breakdown of stats'!A:A,"&lt;"&amp;RIGHT(A29,8),'Breakdown of stats'!B:B,"*V2*")</f>
        <v>18</v>
      </c>
      <c r="H29" s="10" t="e">
        <f t="shared" si="1"/>
        <v>#REF!</v>
      </c>
      <c r="I29" s="10" t="e">
        <f>'WebDeal v1 by 10 seconds'!C31+'WebDeal v1 by 10 seconds'!F31+'WebDeal v1 by 10 seconds'!I31+'WebDeal v1 by 10 seconds'!L31</f>
        <v>#REF!</v>
      </c>
      <c r="J29" s="10" t="e">
        <f>'WebDeal v2 by 10 Seconds'!C31+'WebDeal v2 by 10 Seconds'!F31+'WebDeal v2 by 10 Seconds'!I31+'WebDeal v2 by 10 Seconds'!L31</f>
        <v>#REF!</v>
      </c>
      <c r="K29" s="11" t="e">
        <f>'WebDeal v3 by 10 Seconds'!C31+'WebDeal v3 by 10 Seconds'!F31+'WebDeal v3 by 10 Seconds'!I31+'WebDeal v3 by 10 Seconds'!L31</f>
        <v>#REF!</v>
      </c>
      <c r="L29" s="9">
        <f>COUNTIFS('Breakdown of stats'!A:A,"&gt;"&amp;LEFT(A29,8),'Breakdown of stats'!A:A,"&lt;"&amp;RIGHT(A29,8),'Breakdown of stats'!B:B,"*V3*")</f>
        <v>21</v>
      </c>
      <c r="M29" s="10" t="e">
        <f t="shared" si="2"/>
        <v>#REF!</v>
      </c>
      <c r="N29" s="10" t="e">
        <f>'WebDeal v1 by 10 seconds'!D31+'WebDeal v1 by 10 seconds'!G31+'WebDeal v1 by 10 seconds'!J31+'WebDeal v1 by 10 seconds'!M31</f>
        <v>#REF!</v>
      </c>
      <c r="O29" s="10" t="e">
        <f>'WebDeal v2 by 10 Seconds'!D31+'WebDeal v2 by 10 Seconds'!G31+'WebDeal v2 by 10 Seconds'!J31+'WebDeal v2 by 10 Seconds'!M31</f>
        <v>#REF!</v>
      </c>
      <c r="P29" s="11" t="e">
        <f>'WebDeal v3 by 10 Seconds'!D31+'WebDeal v3 by 10 Seconds'!G31+'WebDeal v3 by 10 Seconds'!J31+'WebDeal v3 by 10 Seconds'!M31</f>
        <v>#REF!</v>
      </c>
      <c r="Q29" s="9">
        <f t="shared" si="3"/>
        <v>65</v>
      </c>
      <c r="R29" s="11" t="e">
        <f t="shared" si="4"/>
        <v>#REF!</v>
      </c>
      <c r="S29" s="9">
        <f t="shared" si="5"/>
        <v>1925</v>
      </c>
      <c r="T29" s="11" t="e">
        <f t="shared" si="6"/>
        <v>#REF!</v>
      </c>
    </row>
    <row r="30" spans="1:20" x14ac:dyDescent="0.25">
      <c r="A30" s="3" t="s">
        <v>35</v>
      </c>
      <c r="B30" s="9">
        <f>COUNTIFS('Breakdown of stats'!A:A,"&gt;"&amp;LEFT(A30,8),'Breakdown of stats'!A:A,"&lt;"&amp;RIGHT(A30,8),'Breakdown of stats'!B:B,"*V1*")</f>
        <v>26</v>
      </c>
      <c r="C30" s="10" t="e">
        <f t="shared" si="0"/>
        <v>#REF!</v>
      </c>
      <c r="D30" s="10" t="e">
        <f>'WebDeal v1 by 10 seconds'!B32+'WebDeal v1 by 10 seconds'!E32+'WebDeal v1 by 10 seconds'!H32+'WebDeal v1 by 10 seconds'!K32</f>
        <v>#REF!</v>
      </c>
      <c r="E30" s="10" t="e">
        <f>'WebDeal v2 by 10 Seconds'!B32+'WebDeal v2 by 10 Seconds'!E32+'WebDeal v2 by 10 Seconds'!H32+'WebDeal v2 by 10 Seconds'!K32</f>
        <v>#REF!</v>
      </c>
      <c r="F30" s="11" t="e">
        <f>'WebDeal v3 by 10 Seconds'!B32+'WebDeal v3 by 10 Seconds'!E32+'WebDeal v3 by 10 Seconds'!H32+'WebDeal v3 by 10 Seconds'!K32</f>
        <v>#REF!</v>
      </c>
      <c r="G30" s="9">
        <f>COUNTIFS('Breakdown of stats'!A:A,"&gt;"&amp;LEFT(A30,8),'Breakdown of stats'!A:A,"&lt;"&amp;RIGHT(A30,8),'Breakdown of stats'!B:B,"*V2*")</f>
        <v>24</v>
      </c>
      <c r="H30" s="10" t="e">
        <f t="shared" si="1"/>
        <v>#REF!</v>
      </c>
      <c r="I30" s="10" t="e">
        <f>'WebDeal v1 by 10 seconds'!C32+'WebDeal v1 by 10 seconds'!F32+'WebDeal v1 by 10 seconds'!I32+'WebDeal v1 by 10 seconds'!L32</f>
        <v>#REF!</v>
      </c>
      <c r="J30" s="10" t="e">
        <f>'WebDeal v2 by 10 Seconds'!C32+'WebDeal v2 by 10 Seconds'!F32+'WebDeal v2 by 10 Seconds'!I32+'WebDeal v2 by 10 Seconds'!L32</f>
        <v>#REF!</v>
      </c>
      <c r="K30" s="11" t="e">
        <f>'WebDeal v3 by 10 Seconds'!C32+'WebDeal v3 by 10 Seconds'!F32+'WebDeal v3 by 10 Seconds'!I32+'WebDeal v3 by 10 Seconds'!L32</f>
        <v>#REF!</v>
      </c>
      <c r="L30" s="9">
        <f>COUNTIFS('Breakdown of stats'!A:A,"&gt;"&amp;LEFT(A30,8),'Breakdown of stats'!A:A,"&lt;"&amp;RIGHT(A30,8),'Breakdown of stats'!B:B,"*V3*")</f>
        <v>17</v>
      </c>
      <c r="M30" s="10" t="e">
        <f t="shared" si="2"/>
        <v>#REF!</v>
      </c>
      <c r="N30" s="10" t="e">
        <f>'WebDeal v1 by 10 seconds'!D32+'WebDeal v1 by 10 seconds'!G32+'WebDeal v1 by 10 seconds'!J32+'WebDeal v1 by 10 seconds'!M32</f>
        <v>#REF!</v>
      </c>
      <c r="O30" s="10" t="e">
        <f>'WebDeal v2 by 10 Seconds'!D32+'WebDeal v2 by 10 Seconds'!G32+'WebDeal v2 by 10 Seconds'!J32+'WebDeal v2 by 10 Seconds'!M32</f>
        <v>#REF!</v>
      </c>
      <c r="P30" s="11" t="e">
        <f>'WebDeal v3 by 10 Seconds'!D32+'WebDeal v3 by 10 Seconds'!G32+'WebDeal v3 by 10 Seconds'!J32+'WebDeal v3 by 10 Seconds'!M32</f>
        <v>#REF!</v>
      </c>
      <c r="Q30" s="9">
        <f t="shared" si="3"/>
        <v>67</v>
      </c>
      <c r="R30" s="11" t="e">
        <f t="shared" si="4"/>
        <v>#REF!</v>
      </c>
      <c r="S30" s="9">
        <f t="shared" si="5"/>
        <v>1992</v>
      </c>
      <c r="T30" s="11" t="e">
        <f t="shared" si="6"/>
        <v>#REF!</v>
      </c>
    </row>
    <row r="31" spans="1:20" x14ac:dyDescent="0.25">
      <c r="A31" s="3" t="s">
        <v>36</v>
      </c>
      <c r="B31" s="9">
        <f>COUNTIFS('Breakdown of stats'!A:A,"&gt;"&amp;LEFT(A31,8),'Breakdown of stats'!A:A,"&lt;"&amp;RIGHT(A31,8),'Breakdown of stats'!B:B,"*V1*")</f>
        <v>22</v>
      </c>
      <c r="C31" s="10" t="e">
        <f t="shared" si="0"/>
        <v>#REF!</v>
      </c>
      <c r="D31" s="10" t="e">
        <f>'WebDeal v1 by 10 seconds'!B33+'WebDeal v1 by 10 seconds'!E33+'WebDeal v1 by 10 seconds'!H33+'WebDeal v1 by 10 seconds'!K33</f>
        <v>#REF!</v>
      </c>
      <c r="E31" s="10" t="e">
        <f>'WebDeal v2 by 10 Seconds'!B33+'WebDeal v2 by 10 Seconds'!E33+'WebDeal v2 by 10 Seconds'!H33+'WebDeal v2 by 10 Seconds'!K33</f>
        <v>#REF!</v>
      </c>
      <c r="F31" s="11" t="e">
        <f>'WebDeal v3 by 10 Seconds'!B33+'WebDeal v3 by 10 Seconds'!E33+'WebDeal v3 by 10 Seconds'!H33+'WebDeal v3 by 10 Seconds'!K33</f>
        <v>#REF!</v>
      </c>
      <c r="G31" s="9">
        <f>COUNTIFS('Breakdown of stats'!A:A,"&gt;"&amp;LEFT(A31,8),'Breakdown of stats'!A:A,"&lt;"&amp;RIGHT(A31,8),'Breakdown of stats'!B:B,"*V2*")</f>
        <v>21</v>
      </c>
      <c r="H31" s="10" t="e">
        <f t="shared" si="1"/>
        <v>#REF!</v>
      </c>
      <c r="I31" s="10" t="e">
        <f>'WebDeal v1 by 10 seconds'!C33+'WebDeal v1 by 10 seconds'!F33+'WebDeal v1 by 10 seconds'!I33+'WebDeal v1 by 10 seconds'!L33</f>
        <v>#REF!</v>
      </c>
      <c r="J31" s="10" t="e">
        <f>'WebDeal v2 by 10 Seconds'!C33+'WebDeal v2 by 10 Seconds'!F33+'WebDeal v2 by 10 Seconds'!I33+'WebDeal v2 by 10 Seconds'!L33</f>
        <v>#REF!</v>
      </c>
      <c r="K31" s="11" t="e">
        <f>'WebDeal v3 by 10 Seconds'!C33+'WebDeal v3 by 10 Seconds'!F33+'WebDeal v3 by 10 Seconds'!I33+'WebDeal v3 by 10 Seconds'!L33</f>
        <v>#REF!</v>
      </c>
      <c r="L31" s="9">
        <f>COUNTIFS('Breakdown of stats'!A:A,"&gt;"&amp;LEFT(A31,8),'Breakdown of stats'!A:A,"&lt;"&amp;RIGHT(A31,8),'Breakdown of stats'!B:B,"*V3*")</f>
        <v>19</v>
      </c>
      <c r="M31" s="10" t="e">
        <f t="shared" si="2"/>
        <v>#REF!</v>
      </c>
      <c r="N31" s="10" t="e">
        <f>'WebDeal v1 by 10 seconds'!D33+'WebDeal v1 by 10 seconds'!G33+'WebDeal v1 by 10 seconds'!J33+'WebDeal v1 by 10 seconds'!M33</f>
        <v>#REF!</v>
      </c>
      <c r="O31" s="10" t="e">
        <f>'WebDeal v2 by 10 Seconds'!D33+'WebDeal v2 by 10 Seconds'!G33+'WebDeal v2 by 10 Seconds'!J33+'WebDeal v2 by 10 Seconds'!M33</f>
        <v>#REF!</v>
      </c>
      <c r="P31" s="11" t="e">
        <f>'WebDeal v3 by 10 Seconds'!D33+'WebDeal v3 by 10 Seconds'!G33+'WebDeal v3 by 10 Seconds'!J33+'WebDeal v3 by 10 Seconds'!M33</f>
        <v>#REF!</v>
      </c>
      <c r="Q31" s="9">
        <f t="shared" si="3"/>
        <v>62</v>
      </c>
      <c r="R31" s="11" t="e">
        <f t="shared" si="4"/>
        <v>#REF!</v>
      </c>
      <c r="S31" s="9">
        <f t="shared" si="5"/>
        <v>2054</v>
      </c>
      <c r="T31" s="11" t="e">
        <f t="shared" si="6"/>
        <v>#REF!</v>
      </c>
    </row>
    <row r="32" spans="1:20" x14ac:dyDescent="0.25">
      <c r="A32" s="3" t="s">
        <v>37</v>
      </c>
      <c r="B32" s="9">
        <f>COUNTIFS('Breakdown of stats'!A:A,"&gt;"&amp;LEFT(A32,8),'Breakdown of stats'!A:A,"&lt;"&amp;RIGHT(A32,8),'Breakdown of stats'!B:B,"*V1*")</f>
        <v>14</v>
      </c>
      <c r="C32" s="10" t="e">
        <f t="shared" si="0"/>
        <v>#REF!</v>
      </c>
      <c r="D32" s="10" t="e">
        <f>'WebDeal v1 by 10 seconds'!B34+'WebDeal v1 by 10 seconds'!E34+'WebDeal v1 by 10 seconds'!H34+'WebDeal v1 by 10 seconds'!K34</f>
        <v>#REF!</v>
      </c>
      <c r="E32" s="10" t="e">
        <f>'WebDeal v2 by 10 Seconds'!B34+'WebDeal v2 by 10 Seconds'!E34+'WebDeal v2 by 10 Seconds'!H34+'WebDeal v2 by 10 Seconds'!K34</f>
        <v>#REF!</v>
      </c>
      <c r="F32" s="11" t="e">
        <f>'WebDeal v3 by 10 Seconds'!B34+'WebDeal v3 by 10 Seconds'!E34+'WebDeal v3 by 10 Seconds'!H34+'WebDeal v3 by 10 Seconds'!K34</f>
        <v>#REF!</v>
      </c>
      <c r="G32" s="9">
        <f>COUNTIFS('Breakdown of stats'!A:A,"&gt;"&amp;LEFT(A32,8),'Breakdown of stats'!A:A,"&lt;"&amp;RIGHT(A32,8),'Breakdown of stats'!B:B,"*V2*")</f>
        <v>18</v>
      </c>
      <c r="H32" s="10" t="e">
        <f t="shared" si="1"/>
        <v>#REF!</v>
      </c>
      <c r="I32" s="10" t="e">
        <f>'WebDeal v1 by 10 seconds'!C34+'WebDeal v1 by 10 seconds'!F34+'WebDeal v1 by 10 seconds'!I34+'WebDeal v1 by 10 seconds'!L34</f>
        <v>#REF!</v>
      </c>
      <c r="J32" s="10" t="e">
        <f>'WebDeal v2 by 10 Seconds'!C34+'WebDeal v2 by 10 Seconds'!F34+'WebDeal v2 by 10 Seconds'!I34+'WebDeal v2 by 10 Seconds'!L34</f>
        <v>#REF!</v>
      </c>
      <c r="K32" s="11" t="e">
        <f>'WebDeal v3 by 10 Seconds'!C34+'WebDeal v3 by 10 Seconds'!F34+'WebDeal v3 by 10 Seconds'!I34+'WebDeal v3 by 10 Seconds'!L34</f>
        <v>#REF!</v>
      </c>
      <c r="L32" s="9">
        <f>COUNTIFS('Breakdown of stats'!A:A,"&gt;"&amp;LEFT(A32,8),'Breakdown of stats'!A:A,"&lt;"&amp;RIGHT(A32,8),'Breakdown of stats'!B:B,"*V3*")</f>
        <v>19</v>
      </c>
      <c r="M32" s="10" t="e">
        <f t="shared" si="2"/>
        <v>#REF!</v>
      </c>
      <c r="N32" s="10" t="e">
        <f>'WebDeal v1 by 10 seconds'!D34+'WebDeal v1 by 10 seconds'!G34+'WebDeal v1 by 10 seconds'!J34+'WebDeal v1 by 10 seconds'!M34</f>
        <v>#REF!</v>
      </c>
      <c r="O32" s="10" t="e">
        <f>'WebDeal v2 by 10 Seconds'!D34+'WebDeal v2 by 10 Seconds'!G34+'WebDeal v2 by 10 Seconds'!J34+'WebDeal v2 by 10 Seconds'!M34</f>
        <v>#REF!</v>
      </c>
      <c r="P32" s="11" t="e">
        <f>'WebDeal v3 by 10 Seconds'!D34+'WebDeal v3 by 10 Seconds'!G34+'WebDeal v3 by 10 Seconds'!J34+'WebDeal v3 by 10 Seconds'!M34</f>
        <v>#REF!</v>
      </c>
      <c r="Q32" s="9">
        <f t="shared" si="3"/>
        <v>51</v>
      </c>
      <c r="R32" s="11" t="e">
        <f t="shared" si="4"/>
        <v>#REF!</v>
      </c>
      <c r="S32" s="9">
        <f t="shared" si="5"/>
        <v>2105</v>
      </c>
      <c r="T32" s="11" t="e">
        <f t="shared" si="6"/>
        <v>#REF!</v>
      </c>
    </row>
    <row r="33" spans="1:24" x14ac:dyDescent="0.25">
      <c r="A33" s="3" t="s">
        <v>38</v>
      </c>
      <c r="B33" s="9">
        <f>COUNTIFS('Breakdown of stats'!A:A,"&gt;"&amp;LEFT(A33,8),'Breakdown of stats'!A:A,"&lt;"&amp;RIGHT(A33,8),'Breakdown of stats'!B:B,"*V1*")</f>
        <v>27</v>
      </c>
      <c r="C33" s="10" t="e">
        <f t="shared" si="0"/>
        <v>#REF!</v>
      </c>
      <c r="D33" s="10" t="e">
        <f>'WebDeal v1 by 10 seconds'!B35+'WebDeal v1 by 10 seconds'!E35+'WebDeal v1 by 10 seconds'!H35+'WebDeal v1 by 10 seconds'!K35</f>
        <v>#REF!</v>
      </c>
      <c r="E33" s="10" t="e">
        <f>'WebDeal v2 by 10 Seconds'!B35+'WebDeal v2 by 10 Seconds'!E35+'WebDeal v2 by 10 Seconds'!H35+'WebDeal v2 by 10 Seconds'!K35</f>
        <v>#REF!</v>
      </c>
      <c r="F33" s="11" t="e">
        <f>'WebDeal v3 by 10 Seconds'!B35+'WebDeal v3 by 10 Seconds'!E35+'WebDeal v3 by 10 Seconds'!H35+'WebDeal v3 by 10 Seconds'!K35</f>
        <v>#REF!</v>
      </c>
      <c r="G33" s="9">
        <f>COUNTIFS('Breakdown of stats'!A:A,"&gt;"&amp;LEFT(A33,8),'Breakdown of stats'!A:A,"&lt;"&amp;RIGHT(A33,8),'Breakdown of stats'!B:B,"*V2*")</f>
        <v>20</v>
      </c>
      <c r="H33" s="10" t="e">
        <f t="shared" si="1"/>
        <v>#REF!</v>
      </c>
      <c r="I33" s="10" t="e">
        <f>'WebDeal v1 by 10 seconds'!C35+'WebDeal v1 by 10 seconds'!F35+'WebDeal v1 by 10 seconds'!I35+'WebDeal v1 by 10 seconds'!L35</f>
        <v>#REF!</v>
      </c>
      <c r="J33" s="10" t="e">
        <f>'WebDeal v2 by 10 Seconds'!C35+'WebDeal v2 by 10 Seconds'!F35+'WebDeal v2 by 10 Seconds'!I35+'WebDeal v2 by 10 Seconds'!L35</f>
        <v>#REF!</v>
      </c>
      <c r="K33" s="11" t="e">
        <f>'WebDeal v3 by 10 Seconds'!C35+'WebDeal v3 by 10 Seconds'!F35+'WebDeal v3 by 10 Seconds'!I35+'WebDeal v3 by 10 Seconds'!L35</f>
        <v>#REF!</v>
      </c>
      <c r="L33" s="9">
        <f>COUNTIFS('Breakdown of stats'!A:A,"&gt;"&amp;LEFT(A33,8),'Breakdown of stats'!A:A,"&lt;"&amp;RIGHT(A33,8),'Breakdown of stats'!B:B,"*V3*")</f>
        <v>16</v>
      </c>
      <c r="M33" s="10" t="e">
        <f t="shared" si="2"/>
        <v>#REF!</v>
      </c>
      <c r="N33" s="10" t="e">
        <f>'WebDeal v1 by 10 seconds'!D35+'WebDeal v1 by 10 seconds'!G35+'WebDeal v1 by 10 seconds'!J35+'WebDeal v1 by 10 seconds'!M35</f>
        <v>#REF!</v>
      </c>
      <c r="O33" s="10" t="e">
        <f>'WebDeal v2 by 10 Seconds'!D35+'WebDeal v2 by 10 Seconds'!G35+'WebDeal v2 by 10 Seconds'!J35+'WebDeal v2 by 10 Seconds'!M35</f>
        <v>#REF!</v>
      </c>
      <c r="P33" s="11" t="e">
        <f>'WebDeal v3 by 10 Seconds'!D35+'WebDeal v3 by 10 Seconds'!G35+'WebDeal v3 by 10 Seconds'!J35+'WebDeal v3 by 10 Seconds'!M35</f>
        <v>#REF!</v>
      </c>
      <c r="Q33" s="9">
        <f t="shared" si="3"/>
        <v>63</v>
      </c>
      <c r="R33" s="11" t="e">
        <f t="shared" si="4"/>
        <v>#REF!</v>
      </c>
      <c r="S33" s="9">
        <f t="shared" si="5"/>
        <v>2168</v>
      </c>
      <c r="T33" s="11" t="e">
        <f t="shared" si="6"/>
        <v>#REF!</v>
      </c>
    </row>
    <row r="34" spans="1:24" x14ac:dyDescent="0.25">
      <c r="A34" s="3" t="s">
        <v>39</v>
      </c>
      <c r="B34" s="9">
        <f>COUNTIFS('Breakdown of stats'!A:A,"&gt;"&amp;LEFT(A34,8),'Breakdown of stats'!A:A,"&lt;"&amp;RIGHT(A34,8),'Breakdown of stats'!B:B,"*V1*")</f>
        <v>17</v>
      </c>
      <c r="C34" s="10" t="e">
        <f t="shared" si="0"/>
        <v>#REF!</v>
      </c>
      <c r="D34" s="10" t="e">
        <f>'WebDeal v1 by 10 seconds'!B36+'WebDeal v1 by 10 seconds'!E36+'WebDeal v1 by 10 seconds'!H36+'WebDeal v1 by 10 seconds'!K36</f>
        <v>#REF!</v>
      </c>
      <c r="E34" s="10" t="e">
        <f>'WebDeal v2 by 10 Seconds'!B36+'WebDeal v2 by 10 Seconds'!E36+'WebDeal v2 by 10 Seconds'!H36+'WebDeal v2 by 10 Seconds'!K36</f>
        <v>#REF!</v>
      </c>
      <c r="F34" s="11" t="e">
        <f>'WebDeal v3 by 10 Seconds'!B36+'WebDeal v3 by 10 Seconds'!E36+'WebDeal v3 by 10 Seconds'!H36+'WebDeal v3 by 10 Seconds'!K36</f>
        <v>#REF!</v>
      </c>
      <c r="G34" s="9">
        <f>COUNTIFS('Breakdown of stats'!A:A,"&gt;"&amp;LEFT(A34,8),'Breakdown of stats'!A:A,"&lt;"&amp;RIGHT(A34,8),'Breakdown of stats'!B:B,"*V2*")</f>
        <v>19</v>
      </c>
      <c r="H34" s="10" t="e">
        <f t="shared" si="1"/>
        <v>#REF!</v>
      </c>
      <c r="I34" s="10" t="e">
        <f>'WebDeal v1 by 10 seconds'!C36+'WebDeal v1 by 10 seconds'!F36+'WebDeal v1 by 10 seconds'!I36+'WebDeal v1 by 10 seconds'!L36</f>
        <v>#REF!</v>
      </c>
      <c r="J34" s="10" t="e">
        <f>'WebDeal v2 by 10 Seconds'!C36+'WebDeal v2 by 10 Seconds'!F36+'WebDeal v2 by 10 Seconds'!I36+'WebDeal v2 by 10 Seconds'!L36</f>
        <v>#REF!</v>
      </c>
      <c r="K34" s="11" t="e">
        <f>'WebDeal v3 by 10 Seconds'!C36+'WebDeal v3 by 10 Seconds'!F36+'WebDeal v3 by 10 Seconds'!I36+'WebDeal v3 by 10 Seconds'!L36</f>
        <v>#REF!</v>
      </c>
      <c r="L34" s="9">
        <f>COUNTIFS('Breakdown of stats'!A:A,"&gt;"&amp;LEFT(A34,8),'Breakdown of stats'!A:A,"&lt;"&amp;RIGHT(A34,8),'Breakdown of stats'!B:B,"*V3*")</f>
        <v>26</v>
      </c>
      <c r="M34" s="10" t="e">
        <f t="shared" si="2"/>
        <v>#REF!</v>
      </c>
      <c r="N34" s="10" t="e">
        <f>'WebDeal v1 by 10 seconds'!D36+'WebDeal v1 by 10 seconds'!G36+'WebDeal v1 by 10 seconds'!J36+'WebDeal v1 by 10 seconds'!M36</f>
        <v>#REF!</v>
      </c>
      <c r="O34" s="10" t="e">
        <f>'WebDeal v2 by 10 Seconds'!D36+'WebDeal v2 by 10 Seconds'!G36+'WebDeal v2 by 10 Seconds'!J36+'WebDeal v2 by 10 Seconds'!M36</f>
        <v>#REF!</v>
      </c>
      <c r="P34" s="11" t="e">
        <f>'WebDeal v3 by 10 Seconds'!D36+'WebDeal v3 by 10 Seconds'!G36+'WebDeal v3 by 10 Seconds'!J36+'WebDeal v3 by 10 Seconds'!M36</f>
        <v>#REF!</v>
      </c>
      <c r="Q34" s="9">
        <f t="shared" si="3"/>
        <v>62</v>
      </c>
      <c r="R34" s="11" t="e">
        <f t="shared" si="4"/>
        <v>#REF!</v>
      </c>
      <c r="S34" s="9">
        <f t="shared" si="5"/>
        <v>2230</v>
      </c>
      <c r="T34" s="11" t="e">
        <f t="shared" si="6"/>
        <v>#REF!</v>
      </c>
    </row>
    <row r="35" spans="1:24" x14ac:dyDescent="0.25">
      <c r="A35" s="3" t="s">
        <v>40</v>
      </c>
      <c r="B35" s="9">
        <f>COUNTIFS('Breakdown of stats'!A:A,"&gt;"&amp;LEFT(A35,8),'Breakdown of stats'!A:A,"&lt;"&amp;RIGHT(A35,8),'Breakdown of stats'!B:B,"*V1*")</f>
        <v>23</v>
      </c>
      <c r="C35" s="10" t="e">
        <f t="shared" si="0"/>
        <v>#REF!</v>
      </c>
      <c r="D35" s="10" t="e">
        <f>'WebDeal v1 by 10 seconds'!B37+'WebDeal v1 by 10 seconds'!E37+'WebDeal v1 by 10 seconds'!H37+'WebDeal v1 by 10 seconds'!K37</f>
        <v>#REF!</v>
      </c>
      <c r="E35" s="10" t="e">
        <f>'WebDeal v2 by 10 Seconds'!B37+'WebDeal v2 by 10 Seconds'!E37+'WebDeal v2 by 10 Seconds'!H37+'WebDeal v2 by 10 Seconds'!K37</f>
        <v>#REF!</v>
      </c>
      <c r="F35" s="11" t="e">
        <f>'WebDeal v3 by 10 Seconds'!B37+'WebDeal v3 by 10 Seconds'!E37+'WebDeal v3 by 10 Seconds'!H37+'WebDeal v3 by 10 Seconds'!K37</f>
        <v>#REF!</v>
      </c>
      <c r="G35" s="9">
        <f>COUNTIFS('Breakdown of stats'!A:A,"&gt;"&amp;LEFT(A35,8),'Breakdown of stats'!A:A,"&lt;"&amp;RIGHT(A35,8),'Breakdown of stats'!B:B,"*V2*")</f>
        <v>22</v>
      </c>
      <c r="H35" s="10" t="e">
        <f t="shared" si="1"/>
        <v>#REF!</v>
      </c>
      <c r="I35" s="10" t="e">
        <f>'WebDeal v1 by 10 seconds'!C37+'WebDeal v1 by 10 seconds'!F37+'WebDeal v1 by 10 seconds'!I37+'WebDeal v1 by 10 seconds'!L37</f>
        <v>#REF!</v>
      </c>
      <c r="J35" s="10" t="e">
        <f>'WebDeal v2 by 10 Seconds'!C37+'WebDeal v2 by 10 Seconds'!F37+'WebDeal v2 by 10 Seconds'!I37+'WebDeal v2 by 10 Seconds'!L37</f>
        <v>#REF!</v>
      </c>
      <c r="K35" s="11" t="e">
        <f>'WebDeal v3 by 10 Seconds'!C37+'WebDeal v3 by 10 Seconds'!F37+'WebDeal v3 by 10 Seconds'!I37+'WebDeal v3 by 10 Seconds'!L37</f>
        <v>#REF!</v>
      </c>
      <c r="L35" s="9">
        <f>COUNTIFS('Breakdown of stats'!A:A,"&gt;"&amp;LEFT(A35,8),'Breakdown of stats'!A:A,"&lt;"&amp;RIGHT(A35,8),'Breakdown of stats'!B:B,"*V3*")</f>
        <v>30</v>
      </c>
      <c r="M35" s="10" t="e">
        <f t="shared" si="2"/>
        <v>#REF!</v>
      </c>
      <c r="N35" s="10" t="e">
        <f>'WebDeal v1 by 10 seconds'!D37+'WebDeal v1 by 10 seconds'!G37+'WebDeal v1 by 10 seconds'!J37+'WebDeal v1 by 10 seconds'!M37</f>
        <v>#REF!</v>
      </c>
      <c r="O35" s="10" t="e">
        <f>'WebDeal v2 by 10 Seconds'!D37+'WebDeal v2 by 10 Seconds'!G37+'WebDeal v2 by 10 Seconds'!J37+'WebDeal v2 by 10 Seconds'!M37</f>
        <v>#REF!</v>
      </c>
      <c r="P35" s="11" t="e">
        <f>'WebDeal v3 by 10 Seconds'!D37+'WebDeal v3 by 10 Seconds'!G37+'WebDeal v3 by 10 Seconds'!J37+'WebDeal v3 by 10 Seconds'!M37</f>
        <v>#REF!</v>
      </c>
      <c r="Q35" s="9">
        <f t="shared" si="3"/>
        <v>75</v>
      </c>
      <c r="R35" s="11" t="e">
        <f t="shared" si="4"/>
        <v>#REF!</v>
      </c>
      <c r="S35" s="9">
        <f t="shared" si="5"/>
        <v>2305</v>
      </c>
      <c r="T35" s="11" t="e">
        <f t="shared" si="6"/>
        <v>#REF!</v>
      </c>
    </row>
    <row r="36" spans="1:24" x14ac:dyDescent="0.25">
      <c r="A36" s="3" t="s">
        <v>41</v>
      </c>
      <c r="B36" s="9">
        <f>COUNTIFS('Breakdown of stats'!A:A,"&gt;"&amp;LEFT(A36,8),'Breakdown of stats'!A:A,"&lt;"&amp;RIGHT(A36,8),'Breakdown of stats'!B:B,"*V1*")</f>
        <v>26</v>
      </c>
      <c r="C36" s="10" t="e">
        <f t="shared" si="0"/>
        <v>#REF!</v>
      </c>
      <c r="D36" s="10" t="e">
        <f>'WebDeal v1 by 10 seconds'!B38+'WebDeal v1 by 10 seconds'!E38+'WebDeal v1 by 10 seconds'!H38+'WebDeal v1 by 10 seconds'!K38</f>
        <v>#REF!</v>
      </c>
      <c r="E36" s="10" t="e">
        <f>'WebDeal v2 by 10 Seconds'!B38+'WebDeal v2 by 10 Seconds'!E38+'WebDeal v2 by 10 Seconds'!H38+'WebDeal v2 by 10 Seconds'!K38</f>
        <v>#REF!</v>
      </c>
      <c r="F36" s="11" t="e">
        <f>'WebDeal v3 by 10 Seconds'!B38+'WebDeal v3 by 10 Seconds'!E38+'WebDeal v3 by 10 Seconds'!H38+'WebDeal v3 by 10 Seconds'!K38</f>
        <v>#REF!</v>
      </c>
      <c r="G36" s="9">
        <f>COUNTIFS('Breakdown of stats'!A:A,"&gt;"&amp;LEFT(A36,8),'Breakdown of stats'!A:A,"&lt;"&amp;RIGHT(A36,8),'Breakdown of stats'!B:B,"*V2*")</f>
        <v>15</v>
      </c>
      <c r="H36" s="10" t="e">
        <f t="shared" si="1"/>
        <v>#REF!</v>
      </c>
      <c r="I36" s="10" t="e">
        <f>'WebDeal v1 by 10 seconds'!C38+'WebDeal v1 by 10 seconds'!F38+'WebDeal v1 by 10 seconds'!I38+'WebDeal v1 by 10 seconds'!L38</f>
        <v>#REF!</v>
      </c>
      <c r="J36" s="10" t="e">
        <f>'WebDeal v2 by 10 Seconds'!C38+'WebDeal v2 by 10 Seconds'!F38+'WebDeal v2 by 10 Seconds'!I38+'WebDeal v2 by 10 Seconds'!L38</f>
        <v>#REF!</v>
      </c>
      <c r="K36" s="11" t="e">
        <f>'WebDeal v3 by 10 Seconds'!C38+'WebDeal v3 by 10 Seconds'!F38+'WebDeal v3 by 10 Seconds'!I38+'WebDeal v3 by 10 Seconds'!L38</f>
        <v>#REF!</v>
      </c>
      <c r="L36" s="9">
        <f>COUNTIFS('Breakdown of stats'!A:A,"&gt;"&amp;LEFT(A36,8),'Breakdown of stats'!A:A,"&lt;"&amp;RIGHT(A36,8),'Breakdown of stats'!B:B,"*V3*")</f>
        <v>22</v>
      </c>
      <c r="M36" s="10" t="e">
        <f t="shared" si="2"/>
        <v>#REF!</v>
      </c>
      <c r="N36" s="10" t="e">
        <f>'WebDeal v1 by 10 seconds'!D38+'WebDeal v1 by 10 seconds'!G38+'WebDeal v1 by 10 seconds'!J38+'WebDeal v1 by 10 seconds'!M38</f>
        <v>#REF!</v>
      </c>
      <c r="O36" s="10" t="e">
        <f>'WebDeal v2 by 10 Seconds'!D38+'WebDeal v2 by 10 Seconds'!G38+'WebDeal v2 by 10 Seconds'!J38+'WebDeal v2 by 10 Seconds'!M38</f>
        <v>#REF!</v>
      </c>
      <c r="P36" s="11" t="e">
        <f>'WebDeal v3 by 10 Seconds'!D38+'WebDeal v3 by 10 Seconds'!G38+'WebDeal v3 by 10 Seconds'!J38+'WebDeal v3 by 10 Seconds'!M38</f>
        <v>#REF!</v>
      </c>
      <c r="Q36" s="9">
        <f t="shared" si="3"/>
        <v>63</v>
      </c>
      <c r="R36" s="11" t="e">
        <f t="shared" si="4"/>
        <v>#REF!</v>
      </c>
      <c r="S36" s="9">
        <f t="shared" si="5"/>
        <v>2368</v>
      </c>
      <c r="T36" s="11" t="e">
        <f t="shared" si="6"/>
        <v>#REF!</v>
      </c>
    </row>
    <row r="37" spans="1:24" ht="15.75" thickBot="1" x14ac:dyDescent="0.3">
      <c r="A37" s="3" t="s">
        <v>42</v>
      </c>
      <c r="B37" s="12">
        <f>COUNTIFS('Breakdown of stats'!A:A,"&gt;"&amp;LEFT(A37,8),'Breakdown of stats'!A:A,"&lt;"&amp;RIGHT(A37,8),'Breakdown of stats'!B:B,"*V1*")</f>
        <v>13</v>
      </c>
      <c r="C37" s="13" t="e">
        <f t="shared" si="0"/>
        <v>#REF!</v>
      </c>
      <c r="D37" s="13" t="e">
        <f>'WebDeal v1 by 10 seconds'!B39+'WebDeal v1 by 10 seconds'!E39+'WebDeal v1 by 10 seconds'!H39+'WebDeal v1 by 10 seconds'!K39</f>
        <v>#REF!</v>
      </c>
      <c r="E37" s="13" t="e">
        <f>'WebDeal v2 by 10 Seconds'!B39+'WebDeal v2 by 10 Seconds'!E39+'WebDeal v2 by 10 Seconds'!H39+'WebDeal v2 by 10 Seconds'!K39</f>
        <v>#REF!</v>
      </c>
      <c r="F37" s="14" t="e">
        <f>'WebDeal v3 by 10 Seconds'!B39+'WebDeal v3 by 10 Seconds'!E39+'WebDeal v3 by 10 Seconds'!H39+'WebDeal v3 by 10 Seconds'!K39</f>
        <v>#REF!</v>
      </c>
      <c r="G37" s="12">
        <f>COUNTIFS('Breakdown of stats'!A:A,"&gt;"&amp;LEFT(A37,8),'Breakdown of stats'!A:A,"&lt;"&amp;RIGHT(A37,8),'Breakdown of stats'!B:B,"*V2*")</f>
        <v>26</v>
      </c>
      <c r="H37" s="13" t="e">
        <f t="shared" si="1"/>
        <v>#REF!</v>
      </c>
      <c r="I37" s="13" t="e">
        <f>'WebDeal v1 by 10 seconds'!C39+'WebDeal v1 by 10 seconds'!F39+'WebDeal v1 by 10 seconds'!I39+'WebDeal v1 by 10 seconds'!L39</f>
        <v>#REF!</v>
      </c>
      <c r="J37" s="13" t="e">
        <f>'WebDeal v2 by 10 Seconds'!C39+'WebDeal v2 by 10 Seconds'!F39+'WebDeal v2 by 10 Seconds'!I39+'WebDeal v2 by 10 Seconds'!L39</f>
        <v>#REF!</v>
      </c>
      <c r="K37" s="14" t="e">
        <f>'WebDeal v3 by 10 Seconds'!C39+'WebDeal v3 by 10 Seconds'!F39+'WebDeal v3 by 10 Seconds'!I39+'WebDeal v3 by 10 Seconds'!L39</f>
        <v>#REF!</v>
      </c>
      <c r="L37" s="12">
        <f>COUNTIFS('Breakdown of stats'!A:A,"&gt;"&amp;LEFT(A37,8),'Breakdown of stats'!A:A,"&lt;"&amp;RIGHT(A37,8),'Breakdown of stats'!B:B,"*V3*")</f>
        <v>23</v>
      </c>
      <c r="M37" s="13" t="e">
        <f t="shared" si="2"/>
        <v>#REF!</v>
      </c>
      <c r="N37" s="13" t="e">
        <f>'WebDeal v1 by 10 seconds'!D39+'WebDeal v1 by 10 seconds'!G39+'WebDeal v1 by 10 seconds'!J39+'WebDeal v1 by 10 seconds'!M39</f>
        <v>#REF!</v>
      </c>
      <c r="O37" s="13" t="e">
        <f>'WebDeal v2 by 10 Seconds'!D39+'WebDeal v2 by 10 Seconds'!G39+'WebDeal v2 by 10 Seconds'!J39+'WebDeal v2 by 10 Seconds'!M39</f>
        <v>#REF!</v>
      </c>
      <c r="P37" s="14" t="e">
        <f>'WebDeal v3 by 10 Seconds'!D39+'WebDeal v3 by 10 Seconds'!G39+'WebDeal v3 by 10 Seconds'!J39+'WebDeal v3 by 10 Seconds'!M39</f>
        <v>#REF!</v>
      </c>
      <c r="Q37" s="12">
        <f t="shared" si="3"/>
        <v>62</v>
      </c>
      <c r="R37" s="14" t="e">
        <f t="shared" si="4"/>
        <v>#REF!</v>
      </c>
      <c r="S37" s="12">
        <f t="shared" si="5"/>
        <v>2430</v>
      </c>
      <c r="T37" s="14" t="e">
        <f t="shared" si="6"/>
        <v>#REF!</v>
      </c>
    </row>
    <row r="38" spans="1:24" x14ac:dyDescent="0.25">
      <c r="A38" s="3" t="s">
        <v>3</v>
      </c>
      <c r="B38" s="2">
        <f>SUM(B3:B37)</f>
        <v>817</v>
      </c>
      <c r="C38" s="2" t="e">
        <f t="shared" ref="C38:K38" si="7">SUM(C3:C37)</f>
        <v>#REF!</v>
      </c>
      <c r="D38" s="15" t="e">
        <f t="shared" si="7"/>
        <v>#REF!</v>
      </c>
      <c r="E38" s="15" t="e">
        <f t="shared" si="7"/>
        <v>#REF!</v>
      </c>
      <c r="F38" s="15" t="e">
        <f t="shared" si="7"/>
        <v>#REF!</v>
      </c>
      <c r="G38" s="2">
        <f t="shared" si="7"/>
        <v>802</v>
      </c>
      <c r="H38" s="2" t="e">
        <f t="shared" si="7"/>
        <v>#REF!</v>
      </c>
      <c r="I38" s="15" t="e">
        <f t="shared" si="7"/>
        <v>#REF!</v>
      </c>
      <c r="J38" s="15" t="e">
        <f t="shared" si="7"/>
        <v>#REF!</v>
      </c>
      <c r="K38" s="15" t="e">
        <f t="shared" si="7"/>
        <v>#REF!</v>
      </c>
      <c r="L38" s="2">
        <f t="shared" ref="L38" si="8">SUM(L3:L37)</f>
        <v>811</v>
      </c>
      <c r="M38" s="2" t="e">
        <f t="shared" ref="M38" si="9">SUM(M3:M37)</f>
        <v>#REF!</v>
      </c>
      <c r="N38" s="15" t="e">
        <f t="shared" ref="N38" si="10">SUM(N3:N37)</f>
        <v>#REF!</v>
      </c>
      <c r="O38" s="15" t="e">
        <f t="shared" ref="O38" si="11">SUM(O3:O37)</f>
        <v>#REF!</v>
      </c>
      <c r="P38" s="15" t="e">
        <f t="shared" ref="P38" si="12">SUM(P3:P37)</f>
        <v>#REF!</v>
      </c>
      <c r="Q38" s="2">
        <f>SUM(Q3:Q37)</f>
        <v>2430</v>
      </c>
      <c r="R38" s="2" t="e">
        <f>SUM(R3:R37)</f>
        <v>#REF!</v>
      </c>
    </row>
    <row r="39" spans="1:24" ht="15.75" thickBot="1" x14ac:dyDescent="0.3">
      <c r="A39" s="3" t="s">
        <v>63</v>
      </c>
      <c r="B39">
        <f>AVERAGE(B3:B37)</f>
        <v>23.342857142857142</v>
      </c>
      <c r="C39" t="e">
        <f t="shared" ref="C39:R39" si="13">AVERAGE(C3:C37)</f>
        <v>#REF!</v>
      </c>
      <c r="D39" t="e">
        <f t="shared" si="13"/>
        <v>#REF!</v>
      </c>
      <c r="E39" t="e">
        <f t="shared" si="13"/>
        <v>#REF!</v>
      </c>
      <c r="F39" t="e">
        <f t="shared" si="13"/>
        <v>#REF!</v>
      </c>
      <c r="G39">
        <f t="shared" si="13"/>
        <v>22.914285714285715</v>
      </c>
      <c r="H39" t="e">
        <f t="shared" si="13"/>
        <v>#REF!</v>
      </c>
      <c r="I39" t="e">
        <f t="shared" si="13"/>
        <v>#REF!</v>
      </c>
      <c r="J39" t="e">
        <f t="shared" si="13"/>
        <v>#REF!</v>
      </c>
      <c r="K39" t="e">
        <f t="shared" si="13"/>
        <v>#REF!</v>
      </c>
      <c r="L39">
        <f t="shared" si="13"/>
        <v>23.171428571428571</v>
      </c>
      <c r="M39" t="e">
        <f t="shared" si="13"/>
        <v>#REF!</v>
      </c>
      <c r="N39" t="e">
        <f t="shared" si="13"/>
        <v>#REF!</v>
      </c>
      <c r="O39" t="e">
        <f t="shared" si="13"/>
        <v>#REF!</v>
      </c>
      <c r="P39" t="e">
        <f t="shared" si="13"/>
        <v>#REF!</v>
      </c>
      <c r="Q39">
        <f t="shared" si="13"/>
        <v>69.428571428571431</v>
      </c>
      <c r="R39" t="e">
        <f t="shared" si="13"/>
        <v>#REF!</v>
      </c>
    </row>
    <row r="40" spans="1:24" x14ac:dyDescent="0.25">
      <c r="A40" s="3"/>
      <c r="N40" s="30" t="s">
        <v>64</v>
      </c>
      <c r="O40" s="31"/>
      <c r="P40" s="31"/>
      <c r="Q40" s="31"/>
      <c r="R40" s="23" t="e">
        <f>INT(R39/6)</f>
        <v>#REF!</v>
      </c>
      <c r="U40" s="25" t="e">
        <f>R40/R41</f>
        <v>#REF!</v>
      </c>
    </row>
    <row r="41" spans="1:24" ht="15.75" thickBot="1" x14ac:dyDescent="0.3">
      <c r="A41" s="3"/>
      <c r="N41" s="32" t="s">
        <v>65</v>
      </c>
      <c r="O41" s="33"/>
      <c r="P41" s="33"/>
      <c r="Q41" s="33"/>
      <c r="R41" s="24">
        <f>INT(Q39/6)</f>
        <v>11</v>
      </c>
      <c r="W41" s="25"/>
      <c r="X41" s="25"/>
    </row>
    <row r="42" spans="1:24" x14ac:dyDescent="0.25">
      <c r="A42" s="3"/>
      <c r="X42" s="25"/>
    </row>
    <row r="43" spans="1:24" x14ac:dyDescent="0.25">
      <c r="A43" s="3"/>
      <c r="X43" s="25"/>
    </row>
  </sheetData>
  <mergeCells count="7">
    <mergeCell ref="S1:T1"/>
    <mergeCell ref="Q1:R1"/>
    <mergeCell ref="N40:Q40"/>
    <mergeCell ref="N41:Q41"/>
    <mergeCell ref="B1:F1"/>
    <mergeCell ref="G1:K1"/>
    <mergeCell ref="L1:P1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DD1B8-E4AA-4DAA-83D9-EF9E51E773CF}">
  <sheetPr codeName="Sheet10"/>
  <dimension ref="A1"/>
  <sheetViews>
    <sheetView workbookViewId="0">
      <selection activeCell="J34" sqref="J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998B5-EE53-4E13-8B3F-09CC5D89A757}">
  <sheetPr codeName="Sheet11"/>
  <dimension ref="A1:B2319"/>
  <sheetViews>
    <sheetView workbookViewId="0">
      <selection activeCell="D1" sqref="D1"/>
    </sheetView>
  </sheetViews>
  <sheetFormatPr defaultRowHeight="15" x14ac:dyDescent="0.25"/>
  <cols>
    <col min="1" max="1" width="8.140625" style="1" bestFit="1" customWidth="1"/>
    <col min="2" max="2" width="28.140625" bestFit="1" customWidth="1"/>
  </cols>
  <sheetData>
    <row r="1" spans="1:2" x14ac:dyDescent="0.25">
      <c r="A1" s="1">
        <v>0.33679966435185182</v>
      </c>
      <c r="B1" t="s">
        <v>51</v>
      </c>
    </row>
    <row r="2" spans="1:2" x14ac:dyDescent="0.25">
      <c r="A2" s="1">
        <v>0.3367993402777778</v>
      </c>
      <c r="B2" t="s">
        <v>52</v>
      </c>
    </row>
    <row r="3" spans="1:2" x14ac:dyDescent="0.25">
      <c r="A3" s="1">
        <v>0.33679887731481478</v>
      </c>
      <c r="B3" t="s">
        <v>51</v>
      </c>
    </row>
    <row r="4" spans="1:2" x14ac:dyDescent="0.25">
      <c r="A4" s="1">
        <v>0.33679884259259257</v>
      </c>
      <c r="B4" t="s">
        <v>51</v>
      </c>
    </row>
    <row r="5" spans="1:2" x14ac:dyDescent="0.25">
      <c r="A5" s="1">
        <v>0.33679545138888889</v>
      </c>
      <c r="B5" t="s">
        <v>52</v>
      </c>
    </row>
    <row r="6" spans="1:2" x14ac:dyDescent="0.25">
      <c r="A6" s="1">
        <v>0.33679450231481484</v>
      </c>
      <c r="B6" t="s">
        <v>52</v>
      </c>
    </row>
    <row r="7" spans="1:2" x14ac:dyDescent="0.25">
      <c r="A7" s="1">
        <v>0.33679390046296298</v>
      </c>
      <c r="B7" t="s">
        <v>52</v>
      </c>
    </row>
    <row r="8" spans="1:2" x14ac:dyDescent="0.25">
      <c r="A8" s="1">
        <v>0.33679383101851851</v>
      </c>
      <c r="B8" t="s">
        <v>51</v>
      </c>
    </row>
    <row r="9" spans="1:2" x14ac:dyDescent="0.25">
      <c r="A9" s="1">
        <v>0.33679253472222226</v>
      </c>
      <c r="B9" t="s">
        <v>51</v>
      </c>
    </row>
    <row r="10" spans="1:2" x14ac:dyDescent="0.25">
      <c r="A10" s="1">
        <v>0.33679187500000002</v>
      </c>
      <c r="B10" t="s">
        <v>53</v>
      </c>
    </row>
    <row r="11" spans="1:2" x14ac:dyDescent="0.25">
      <c r="A11" s="1">
        <v>0.33679174768518516</v>
      </c>
      <c r="B11" t="s">
        <v>52</v>
      </c>
    </row>
    <row r="12" spans="1:2" x14ac:dyDescent="0.25">
      <c r="A12" s="1">
        <v>0.33678916666666669</v>
      </c>
      <c r="B12" t="s">
        <v>53</v>
      </c>
    </row>
    <row r="13" spans="1:2" x14ac:dyDescent="0.25">
      <c r="A13" s="1">
        <v>0.33678853009259258</v>
      </c>
      <c r="B13" t="s">
        <v>53</v>
      </c>
    </row>
    <row r="14" spans="1:2" x14ac:dyDescent="0.25">
      <c r="A14" s="1">
        <v>0.3367866898148148</v>
      </c>
      <c r="B14" t="s">
        <v>51</v>
      </c>
    </row>
    <row r="15" spans="1:2" x14ac:dyDescent="0.25">
      <c r="A15" s="1">
        <v>0.33678640046296299</v>
      </c>
      <c r="B15" t="s">
        <v>52</v>
      </c>
    </row>
    <row r="16" spans="1:2" x14ac:dyDescent="0.25">
      <c r="A16" s="1">
        <v>0.33678597222222223</v>
      </c>
      <c r="B16" t="s">
        <v>53</v>
      </c>
    </row>
    <row r="17" spans="1:2" x14ac:dyDescent="0.25">
      <c r="A17" s="1">
        <v>0.33678446759259262</v>
      </c>
      <c r="B17" t="s">
        <v>53</v>
      </c>
    </row>
    <row r="18" spans="1:2" x14ac:dyDescent="0.25">
      <c r="A18" s="1">
        <v>0.33678346064814813</v>
      </c>
      <c r="B18" t="s">
        <v>53</v>
      </c>
    </row>
    <row r="19" spans="1:2" x14ac:dyDescent="0.25">
      <c r="A19" s="1">
        <v>0.33678158564814814</v>
      </c>
      <c r="B19" t="s">
        <v>51</v>
      </c>
    </row>
    <row r="20" spans="1:2" x14ac:dyDescent="0.25">
      <c r="A20" s="1">
        <v>0.33677881944444449</v>
      </c>
      <c r="B20" t="s">
        <v>52</v>
      </c>
    </row>
    <row r="21" spans="1:2" x14ac:dyDescent="0.25">
      <c r="A21" s="1">
        <v>0.33677770833333337</v>
      </c>
      <c r="B21" t="s">
        <v>52</v>
      </c>
    </row>
    <row r="22" spans="1:2" x14ac:dyDescent="0.25">
      <c r="A22" s="1">
        <v>0.33677162037037034</v>
      </c>
      <c r="B22" t="s">
        <v>52</v>
      </c>
    </row>
    <row r="23" spans="1:2" x14ac:dyDescent="0.25">
      <c r="A23" s="1">
        <v>0.33676986111111112</v>
      </c>
      <c r="B23" t="s">
        <v>52</v>
      </c>
    </row>
    <row r="24" spans="1:2" x14ac:dyDescent="0.25">
      <c r="A24" s="1">
        <v>0.33676770833333336</v>
      </c>
      <c r="B24" t="s">
        <v>53</v>
      </c>
    </row>
    <row r="25" spans="1:2" x14ac:dyDescent="0.25">
      <c r="A25" s="1">
        <v>0.33676752314814817</v>
      </c>
      <c r="B25" t="s">
        <v>51</v>
      </c>
    </row>
    <row r="26" spans="1:2" x14ac:dyDescent="0.25">
      <c r="A26" s="1">
        <v>0.33676253472222223</v>
      </c>
      <c r="B26" t="s">
        <v>53</v>
      </c>
    </row>
    <row r="27" spans="1:2" x14ac:dyDescent="0.25">
      <c r="A27" s="1">
        <v>0.33676123842592592</v>
      </c>
      <c r="B27" t="s">
        <v>51</v>
      </c>
    </row>
    <row r="28" spans="1:2" x14ac:dyDescent="0.25">
      <c r="A28" s="1">
        <v>0.33675991898148144</v>
      </c>
      <c r="B28" t="s">
        <v>52</v>
      </c>
    </row>
    <row r="29" spans="1:2" x14ac:dyDescent="0.25">
      <c r="A29" s="1">
        <v>0.33675971064814814</v>
      </c>
      <c r="B29" t="s">
        <v>51</v>
      </c>
    </row>
    <row r="30" spans="1:2" x14ac:dyDescent="0.25">
      <c r="A30" s="1">
        <v>0.33675930555555555</v>
      </c>
      <c r="B30" t="s">
        <v>51</v>
      </c>
    </row>
    <row r="31" spans="1:2" x14ac:dyDescent="0.25">
      <c r="A31" s="1">
        <v>0.33675820601851852</v>
      </c>
      <c r="B31" t="s">
        <v>51</v>
      </c>
    </row>
    <row r="32" spans="1:2" x14ac:dyDescent="0.25">
      <c r="A32" s="1">
        <v>0.33675819444444444</v>
      </c>
      <c r="B32" t="s">
        <v>51</v>
      </c>
    </row>
    <row r="33" spans="1:2" x14ac:dyDescent="0.25">
      <c r="A33" s="1">
        <v>0.33675724537037038</v>
      </c>
      <c r="B33" t="s">
        <v>51</v>
      </c>
    </row>
    <row r="34" spans="1:2" x14ac:dyDescent="0.25">
      <c r="A34" s="1">
        <v>0.33675680555555559</v>
      </c>
      <c r="B34" t="s">
        <v>52</v>
      </c>
    </row>
    <row r="35" spans="1:2" x14ac:dyDescent="0.25">
      <c r="A35" s="1">
        <v>0.3367565856481482</v>
      </c>
      <c r="B35" t="s">
        <v>53</v>
      </c>
    </row>
    <row r="36" spans="1:2" x14ac:dyDescent="0.25">
      <c r="A36" s="1">
        <v>0.33675487268518517</v>
      </c>
      <c r="B36" t="s">
        <v>52</v>
      </c>
    </row>
    <row r="37" spans="1:2" x14ac:dyDescent="0.25">
      <c r="A37" s="1">
        <v>0.33675453703703706</v>
      </c>
      <c r="B37" t="s">
        <v>51</v>
      </c>
    </row>
    <row r="38" spans="1:2" x14ac:dyDescent="0.25">
      <c r="A38" s="1">
        <v>0.33675443287037038</v>
      </c>
      <c r="B38" t="s">
        <v>52</v>
      </c>
    </row>
    <row r="39" spans="1:2" x14ac:dyDescent="0.25">
      <c r="A39" s="1">
        <v>0.33675317129629628</v>
      </c>
      <c r="B39" t="s">
        <v>52</v>
      </c>
    </row>
    <row r="40" spans="1:2" x14ac:dyDescent="0.25">
      <c r="A40" s="1">
        <v>0.33674927083333334</v>
      </c>
      <c r="B40" t="s">
        <v>52</v>
      </c>
    </row>
    <row r="41" spans="1:2" x14ac:dyDescent="0.25">
      <c r="A41" s="1">
        <v>0.3367483912037037</v>
      </c>
      <c r="B41" t="s">
        <v>51</v>
      </c>
    </row>
    <row r="42" spans="1:2" x14ac:dyDescent="0.25">
      <c r="A42" s="1">
        <v>0.33674707175925928</v>
      </c>
      <c r="B42" t="s">
        <v>52</v>
      </c>
    </row>
    <row r="43" spans="1:2" x14ac:dyDescent="0.25">
      <c r="A43" s="1">
        <v>0.33674604166666672</v>
      </c>
      <c r="B43" t="s">
        <v>51</v>
      </c>
    </row>
    <row r="44" spans="1:2" x14ac:dyDescent="0.25">
      <c r="A44" s="1">
        <v>0.33674501157407405</v>
      </c>
      <c r="B44" t="s">
        <v>51</v>
      </c>
    </row>
    <row r="45" spans="1:2" x14ac:dyDescent="0.25">
      <c r="A45" s="1">
        <v>0.33674153935185186</v>
      </c>
      <c r="B45" t="s">
        <v>51</v>
      </c>
    </row>
    <row r="46" spans="1:2" x14ac:dyDescent="0.25">
      <c r="A46" s="1">
        <v>0.33673745370370373</v>
      </c>
      <c r="B46" t="s">
        <v>53</v>
      </c>
    </row>
    <row r="47" spans="1:2" x14ac:dyDescent="0.25">
      <c r="A47" s="1">
        <v>0.33673674768518519</v>
      </c>
      <c r="B47" t="s">
        <v>51</v>
      </c>
    </row>
    <row r="48" spans="1:2" x14ac:dyDescent="0.25">
      <c r="A48" s="1">
        <v>0.33673646990740741</v>
      </c>
      <c r="B48" t="s">
        <v>51</v>
      </c>
    </row>
    <row r="49" spans="1:2" x14ac:dyDescent="0.25">
      <c r="A49" s="1">
        <v>0.33673449074074074</v>
      </c>
      <c r="B49" t="s">
        <v>53</v>
      </c>
    </row>
    <row r="50" spans="1:2" x14ac:dyDescent="0.25">
      <c r="A50" s="1">
        <v>0.33673045138888891</v>
      </c>
      <c r="B50" t="s">
        <v>52</v>
      </c>
    </row>
    <row r="51" spans="1:2" x14ac:dyDescent="0.25">
      <c r="A51" s="1">
        <v>0.3367232638888889</v>
      </c>
      <c r="B51" t="s">
        <v>52</v>
      </c>
    </row>
    <row r="52" spans="1:2" x14ac:dyDescent="0.25">
      <c r="A52" s="1">
        <v>0.33672284722222218</v>
      </c>
      <c r="B52" t="s">
        <v>52</v>
      </c>
    </row>
    <row r="53" spans="1:2" x14ac:dyDescent="0.25">
      <c r="A53" s="1">
        <v>0.33672152777777775</v>
      </c>
      <c r="B53" t="s">
        <v>52</v>
      </c>
    </row>
    <row r="54" spans="1:2" x14ac:dyDescent="0.25">
      <c r="A54" s="1">
        <v>0.33671864583333333</v>
      </c>
      <c r="B54" t="s">
        <v>52</v>
      </c>
    </row>
    <row r="55" spans="1:2" x14ac:dyDescent="0.25">
      <c r="A55" s="1">
        <v>0.33671695601851853</v>
      </c>
      <c r="B55" t="s">
        <v>52</v>
      </c>
    </row>
    <row r="56" spans="1:2" x14ac:dyDescent="0.25">
      <c r="A56" s="1">
        <v>0.33671584490740741</v>
      </c>
      <c r="B56" t="s">
        <v>51</v>
      </c>
    </row>
    <row r="57" spans="1:2" x14ac:dyDescent="0.25">
      <c r="A57" s="1">
        <v>0.33671567129629626</v>
      </c>
      <c r="B57" t="s">
        <v>52</v>
      </c>
    </row>
    <row r="58" spans="1:2" x14ac:dyDescent="0.25">
      <c r="A58" s="1">
        <v>0.3367132523148148</v>
      </c>
      <c r="B58" t="s">
        <v>52</v>
      </c>
    </row>
    <row r="59" spans="1:2" x14ac:dyDescent="0.25">
      <c r="A59" s="1">
        <v>0.33671025462962961</v>
      </c>
      <c r="B59" t="s">
        <v>51</v>
      </c>
    </row>
    <row r="60" spans="1:2" x14ac:dyDescent="0.25">
      <c r="A60" s="1">
        <v>0.33670895833333336</v>
      </c>
      <c r="B60" t="s">
        <v>53</v>
      </c>
    </row>
    <row r="61" spans="1:2" x14ac:dyDescent="0.25">
      <c r="A61" s="1">
        <v>0.33670290509259254</v>
      </c>
      <c r="B61" t="s">
        <v>52</v>
      </c>
    </row>
    <row r="62" spans="1:2" x14ac:dyDescent="0.25">
      <c r="A62" s="1">
        <v>0.33670243055555554</v>
      </c>
      <c r="B62" t="s">
        <v>53</v>
      </c>
    </row>
    <row r="63" spans="1:2" x14ac:dyDescent="0.25">
      <c r="A63" s="1">
        <v>0.3366984837962963</v>
      </c>
      <c r="B63" t="s">
        <v>52</v>
      </c>
    </row>
    <row r="64" spans="1:2" x14ac:dyDescent="0.25">
      <c r="A64" s="1">
        <v>0.33669743055555551</v>
      </c>
      <c r="B64" t="s">
        <v>52</v>
      </c>
    </row>
    <row r="65" spans="1:2" x14ac:dyDescent="0.25">
      <c r="A65" s="1">
        <v>0.33669512731481482</v>
      </c>
      <c r="B65" t="s">
        <v>52</v>
      </c>
    </row>
    <row r="66" spans="1:2" x14ac:dyDescent="0.25">
      <c r="A66" s="1">
        <v>0.3366941550925926</v>
      </c>
      <c r="B66" t="s">
        <v>53</v>
      </c>
    </row>
    <row r="67" spans="1:2" x14ac:dyDescent="0.25">
      <c r="A67" s="1">
        <v>0.33669407407407409</v>
      </c>
      <c r="B67" t="s">
        <v>51</v>
      </c>
    </row>
    <row r="68" spans="1:2" x14ac:dyDescent="0.25">
      <c r="A68" s="1">
        <v>0.33668797453703703</v>
      </c>
      <c r="B68" t="s">
        <v>51</v>
      </c>
    </row>
    <row r="69" spans="1:2" x14ac:dyDescent="0.25">
      <c r="A69" s="1">
        <v>0.33668748842592594</v>
      </c>
      <c r="B69" t="s">
        <v>53</v>
      </c>
    </row>
    <row r="70" spans="1:2" x14ac:dyDescent="0.25">
      <c r="A70" s="1">
        <v>0.33668738425925926</v>
      </c>
      <c r="B70" t="s">
        <v>51</v>
      </c>
    </row>
    <row r="71" spans="1:2" x14ac:dyDescent="0.25">
      <c r="A71" s="1">
        <v>0.33668681712962961</v>
      </c>
      <c r="B71" t="s">
        <v>53</v>
      </c>
    </row>
    <row r="72" spans="1:2" x14ac:dyDescent="0.25">
      <c r="A72" s="1">
        <v>0.33668615740740737</v>
      </c>
      <c r="B72" t="s">
        <v>53</v>
      </c>
    </row>
    <row r="73" spans="1:2" x14ac:dyDescent="0.25">
      <c r="A73" s="1">
        <v>0.33668355324074078</v>
      </c>
      <c r="B73" t="s">
        <v>51</v>
      </c>
    </row>
    <row r="74" spans="1:2" x14ac:dyDescent="0.25">
      <c r="A74" s="1">
        <v>0.33668156249999998</v>
      </c>
      <c r="B74" t="s">
        <v>51</v>
      </c>
    </row>
    <row r="75" spans="1:2" x14ac:dyDescent="0.25">
      <c r="A75" s="1">
        <v>0.33668135416666667</v>
      </c>
      <c r="B75" t="s">
        <v>53</v>
      </c>
    </row>
    <row r="76" spans="1:2" x14ac:dyDescent="0.25">
      <c r="A76" s="1">
        <v>0.33667884259259262</v>
      </c>
      <c r="B76" t="s">
        <v>51</v>
      </c>
    </row>
    <row r="77" spans="1:2" x14ac:dyDescent="0.25">
      <c r="A77" s="1">
        <v>0.33667799768518519</v>
      </c>
      <c r="B77" t="s">
        <v>52</v>
      </c>
    </row>
    <row r="78" spans="1:2" x14ac:dyDescent="0.25">
      <c r="A78" s="1">
        <v>0.33667184027777775</v>
      </c>
      <c r="B78" t="s">
        <v>53</v>
      </c>
    </row>
    <row r="79" spans="1:2" x14ac:dyDescent="0.25">
      <c r="A79" s="1">
        <v>0.33667097222222225</v>
      </c>
      <c r="B79" t="s">
        <v>52</v>
      </c>
    </row>
    <row r="80" spans="1:2" x14ac:dyDescent="0.25">
      <c r="A80" s="1">
        <v>0.33666709490740737</v>
      </c>
      <c r="B80" t="s">
        <v>53</v>
      </c>
    </row>
    <row r="81" spans="1:2" x14ac:dyDescent="0.25">
      <c r="A81" s="1">
        <v>0.33666333333333331</v>
      </c>
      <c r="B81" t="s">
        <v>53</v>
      </c>
    </row>
    <row r="82" spans="1:2" x14ac:dyDescent="0.25">
      <c r="A82" s="1">
        <v>0.33666216435185187</v>
      </c>
      <c r="B82" t="s">
        <v>51</v>
      </c>
    </row>
    <row r="83" spans="1:2" x14ac:dyDescent="0.25">
      <c r="A83" s="1">
        <v>0.33666130787037041</v>
      </c>
      <c r="B83" t="s">
        <v>53</v>
      </c>
    </row>
    <row r="84" spans="1:2" x14ac:dyDescent="0.25">
      <c r="A84" s="1">
        <v>0.33665950231481484</v>
      </c>
      <c r="B84" t="s">
        <v>51</v>
      </c>
    </row>
    <row r="85" spans="1:2" x14ac:dyDescent="0.25">
      <c r="A85" s="1">
        <v>0.33665938657407407</v>
      </c>
      <c r="B85" t="s">
        <v>51</v>
      </c>
    </row>
    <row r="86" spans="1:2" x14ac:dyDescent="0.25">
      <c r="A86" s="1">
        <v>0.33665628472222225</v>
      </c>
      <c r="B86" t="s">
        <v>53</v>
      </c>
    </row>
    <row r="87" spans="1:2" x14ac:dyDescent="0.25">
      <c r="A87" s="1">
        <v>0.33665563657407405</v>
      </c>
      <c r="B87" t="s">
        <v>53</v>
      </c>
    </row>
    <row r="88" spans="1:2" x14ac:dyDescent="0.25">
      <c r="A88" s="1">
        <v>0.33665297453703702</v>
      </c>
      <c r="B88" t="s">
        <v>51</v>
      </c>
    </row>
    <row r="89" spans="1:2" x14ac:dyDescent="0.25">
      <c r="A89" s="1">
        <v>0.33664921296296296</v>
      </c>
      <c r="B89" t="s">
        <v>51</v>
      </c>
    </row>
    <row r="90" spans="1:2" x14ac:dyDescent="0.25">
      <c r="A90" s="1">
        <v>0.33664756944444446</v>
      </c>
      <c r="B90" t="s">
        <v>53</v>
      </c>
    </row>
    <row r="91" spans="1:2" x14ac:dyDescent="0.25">
      <c r="A91" s="1">
        <v>0.33664480324074075</v>
      </c>
      <c r="B91" t="s">
        <v>51</v>
      </c>
    </row>
    <row r="92" spans="1:2" x14ac:dyDescent="0.25">
      <c r="A92" s="1">
        <v>0.33664305555555557</v>
      </c>
      <c r="B92" t="s">
        <v>52</v>
      </c>
    </row>
    <row r="93" spans="1:2" x14ac:dyDescent="0.25">
      <c r="A93" s="1">
        <v>0.33664305555555557</v>
      </c>
      <c r="B93" t="s">
        <v>52</v>
      </c>
    </row>
    <row r="94" spans="1:2" x14ac:dyDescent="0.25">
      <c r="A94" s="1">
        <v>0.33664270833333337</v>
      </c>
      <c r="B94" t="s">
        <v>53</v>
      </c>
    </row>
    <row r="95" spans="1:2" x14ac:dyDescent="0.25">
      <c r="A95" s="1">
        <v>0.33664114583333332</v>
      </c>
      <c r="B95" t="s">
        <v>51</v>
      </c>
    </row>
    <row r="96" spans="1:2" x14ac:dyDescent="0.25">
      <c r="A96" s="1">
        <v>0.33664032407407407</v>
      </c>
      <c r="B96" t="s">
        <v>51</v>
      </c>
    </row>
    <row r="97" spans="1:2" x14ac:dyDescent="0.25">
      <c r="A97" s="1">
        <v>0.33663962962962962</v>
      </c>
      <c r="B97" t="s">
        <v>51</v>
      </c>
    </row>
    <row r="98" spans="1:2" x14ac:dyDescent="0.25">
      <c r="A98" s="1">
        <v>0.33663961805555553</v>
      </c>
      <c r="B98" t="s">
        <v>51</v>
      </c>
    </row>
    <row r="99" spans="1:2" x14ac:dyDescent="0.25">
      <c r="A99" s="1">
        <v>0.33663959490740741</v>
      </c>
      <c r="B99" t="s">
        <v>53</v>
      </c>
    </row>
    <row r="100" spans="1:2" x14ac:dyDescent="0.25">
      <c r="A100" s="1">
        <v>0.33663391203703702</v>
      </c>
      <c r="B100" t="s">
        <v>53</v>
      </c>
    </row>
    <row r="101" spans="1:2" x14ac:dyDescent="0.25">
      <c r="A101" s="1">
        <v>0.33662962962962961</v>
      </c>
      <c r="B101" t="s">
        <v>51</v>
      </c>
    </row>
    <row r="102" spans="1:2" x14ac:dyDescent="0.25">
      <c r="A102" s="1">
        <v>0.33662827546296298</v>
      </c>
      <c r="B102" t="s">
        <v>53</v>
      </c>
    </row>
    <row r="103" spans="1:2" x14ac:dyDescent="0.25">
      <c r="A103" s="1">
        <v>0.33662649305555559</v>
      </c>
      <c r="B103" t="s">
        <v>51</v>
      </c>
    </row>
    <row r="104" spans="1:2" x14ac:dyDescent="0.25">
      <c r="A104" s="1">
        <v>0.33662641203703703</v>
      </c>
      <c r="B104" t="s">
        <v>53</v>
      </c>
    </row>
    <row r="105" spans="1:2" x14ac:dyDescent="0.25">
      <c r="A105" s="1">
        <v>0.33662530092592591</v>
      </c>
      <c r="B105" t="s">
        <v>51</v>
      </c>
    </row>
    <row r="106" spans="1:2" x14ac:dyDescent="0.25">
      <c r="A106" s="1">
        <v>0.33662525462962961</v>
      </c>
      <c r="B106" t="s">
        <v>53</v>
      </c>
    </row>
    <row r="107" spans="1:2" x14ac:dyDescent="0.25">
      <c r="A107" s="1">
        <v>0.33662495370370366</v>
      </c>
      <c r="B107" t="s">
        <v>51</v>
      </c>
    </row>
    <row r="108" spans="1:2" x14ac:dyDescent="0.25">
      <c r="A108" s="1">
        <v>0.33662489583333333</v>
      </c>
      <c r="B108" t="s">
        <v>52</v>
      </c>
    </row>
    <row r="109" spans="1:2" x14ac:dyDescent="0.25">
      <c r="A109" s="1">
        <v>0.33662189814814814</v>
      </c>
      <c r="B109" t="s">
        <v>52</v>
      </c>
    </row>
    <row r="110" spans="1:2" x14ac:dyDescent="0.25">
      <c r="A110" s="1">
        <v>0.33661990740740744</v>
      </c>
      <c r="B110" t="s">
        <v>53</v>
      </c>
    </row>
    <row r="111" spans="1:2" x14ac:dyDescent="0.25">
      <c r="A111" s="1">
        <v>0.33661718749999997</v>
      </c>
      <c r="B111" t="s">
        <v>52</v>
      </c>
    </row>
    <row r="112" spans="1:2" x14ac:dyDescent="0.25">
      <c r="A112" s="1">
        <v>0.33661635416666669</v>
      </c>
      <c r="B112" t="s">
        <v>52</v>
      </c>
    </row>
    <row r="113" spans="1:2" x14ac:dyDescent="0.25">
      <c r="A113" s="1">
        <v>0.33661432870370372</v>
      </c>
      <c r="B113" t="s">
        <v>52</v>
      </c>
    </row>
    <row r="114" spans="1:2" x14ac:dyDescent="0.25">
      <c r="A114" s="1">
        <v>0.33661267361111108</v>
      </c>
      <c r="B114" t="s">
        <v>53</v>
      </c>
    </row>
    <row r="115" spans="1:2" x14ac:dyDescent="0.25">
      <c r="A115" s="1">
        <v>0.33661146990740742</v>
      </c>
      <c r="B115" t="s">
        <v>53</v>
      </c>
    </row>
    <row r="116" spans="1:2" x14ac:dyDescent="0.25">
      <c r="A116" s="1">
        <v>0.33661043981481481</v>
      </c>
      <c r="B116" t="s">
        <v>52</v>
      </c>
    </row>
    <row r="117" spans="1:2" x14ac:dyDescent="0.25">
      <c r="A117" s="1">
        <v>0.3366094907407407</v>
      </c>
      <c r="B117" t="s">
        <v>52</v>
      </c>
    </row>
    <row r="118" spans="1:2" x14ac:dyDescent="0.25">
      <c r="A118" s="1">
        <v>0.33660678240740743</v>
      </c>
      <c r="B118" t="s">
        <v>53</v>
      </c>
    </row>
    <row r="119" spans="1:2" x14ac:dyDescent="0.25">
      <c r="A119" s="1">
        <v>0.33660657407407407</v>
      </c>
      <c r="B119" t="s">
        <v>51</v>
      </c>
    </row>
    <row r="120" spans="1:2" x14ac:dyDescent="0.25">
      <c r="A120" s="1">
        <v>0.33660621527777779</v>
      </c>
      <c r="B120" t="s">
        <v>52</v>
      </c>
    </row>
    <row r="121" spans="1:2" x14ac:dyDescent="0.25">
      <c r="A121" s="1">
        <v>0.33660207175925927</v>
      </c>
      <c r="B121" t="s">
        <v>51</v>
      </c>
    </row>
    <row r="122" spans="1:2" x14ac:dyDescent="0.25">
      <c r="A122" s="1">
        <v>0.33660194444444441</v>
      </c>
      <c r="B122" t="s">
        <v>53</v>
      </c>
    </row>
    <row r="123" spans="1:2" x14ac:dyDescent="0.25">
      <c r="A123" s="1">
        <v>0.33660089120370373</v>
      </c>
      <c r="B123" t="s">
        <v>53</v>
      </c>
    </row>
    <row r="124" spans="1:2" x14ac:dyDescent="0.25">
      <c r="A124" s="1">
        <v>0.33660071759259264</v>
      </c>
      <c r="B124" t="s">
        <v>52</v>
      </c>
    </row>
    <row r="125" spans="1:2" x14ac:dyDescent="0.25">
      <c r="A125" s="1">
        <v>0.33659702546296294</v>
      </c>
      <c r="B125" t="s">
        <v>53</v>
      </c>
    </row>
    <row r="126" spans="1:2" x14ac:dyDescent="0.25">
      <c r="A126" s="1">
        <v>0.33659363425925926</v>
      </c>
      <c r="B126" t="s">
        <v>51</v>
      </c>
    </row>
    <row r="127" spans="1:2" x14ac:dyDescent="0.25">
      <c r="A127" s="1">
        <v>0.33659221064814809</v>
      </c>
      <c r="B127" t="s">
        <v>53</v>
      </c>
    </row>
    <row r="128" spans="1:2" x14ac:dyDescent="0.25">
      <c r="A128" s="1">
        <v>0.33658990740740741</v>
      </c>
      <c r="B128" t="s">
        <v>52</v>
      </c>
    </row>
    <row r="129" spans="1:2" x14ac:dyDescent="0.25">
      <c r="A129" s="1">
        <v>0.3365887384259259</v>
      </c>
      <c r="B129" t="s">
        <v>52</v>
      </c>
    </row>
    <row r="130" spans="1:2" x14ac:dyDescent="0.25">
      <c r="A130" s="1">
        <v>0.33658824074074073</v>
      </c>
      <c r="B130" t="s">
        <v>53</v>
      </c>
    </row>
    <row r="131" spans="1:2" x14ac:dyDescent="0.25">
      <c r="A131" s="1">
        <v>0.33658285879629629</v>
      </c>
      <c r="B131" t="s">
        <v>52</v>
      </c>
    </row>
    <row r="132" spans="1:2" x14ac:dyDescent="0.25">
      <c r="A132" s="1">
        <v>0.33658173611111114</v>
      </c>
      <c r="B132" t="s">
        <v>53</v>
      </c>
    </row>
    <row r="133" spans="1:2" x14ac:dyDescent="0.25">
      <c r="A133" s="1">
        <v>0.33658053240740737</v>
      </c>
      <c r="B133" t="s">
        <v>52</v>
      </c>
    </row>
    <row r="134" spans="1:2" x14ac:dyDescent="0.25">
      <c r="A134" s="1">
        <v>0.33658020833333335</v>
      </c>
      <c r="B134" t="s">
        <v>52</v>
      </c>
    </row>
    <row r="135" spans="1:2" x14ac:dyDescent="0.25">
      <c r="A135" s="1">
        <v>0.33657853009259259</v>
      </c>
      <c r="B135" t="s">
        <v>51</v>
      </c>
    </row>
    <row r="136" spans="1:2" x14ac:dyDescent="0.25">
      <c r="A136" s="1">
        <v>0.33657822916666663</v>
      </c>
      <c r="B136" t="s">
        <v>52</v>
      </c>
    </row>
    <row r="137" spans="1:2" x14ac:dyDescent="0.25">
      <c r="A137" s="1">
        <v>0.33657500000000001</v>
      </c>
      <c r="B137" t="s">
        <v>53</v>
      </c>
    </row>
    <row r="138" spans="1:2" x14ac:dyDescent="0.25">
      <c r="A138" s="1">
        <v>0.33657357638888891</v>
      </c>
      <c r="B138" t="s">
        <v>51</v>
      </c>
    </row>
    <row r="139" spans="1:2" x14ac:dyDescent="0.25">
      <c r="A139" s="1">
        <v>0.33657126157407408</v>
      </c>
      <c r="B139" t="s">
        <v>53</v>
      </c>
    </row>
    <row r="140" spans="1:2" x14ac:dyDescent="0.25">
      <c r="A140" s="1">
        <v>0.33656708333333335</v>
      </c>
      <c r="B140" t="s">
        <v>53</v>
      </c>
    </row>
    <row r="141" spans="1:2" x14ac:dyDescent="0.25">
      <c r="A141" s="1">
        <v>0.3365669444444444</v>
      </c>
      <c r="B141" t="s">
        <v>51</v>
      </c>
    </row>
    <row r="142" spans="1:2" x14ac:dyDescent="0.25">
      <c r="A142" s="1">
        <v>0.33656408564814816</v>
      </c>
      <c r="B142" t="s">
        <v>51</v>
      </c>
    </row>
    <row r="143" spans="1:2" x14ac:dyDescent="0.25">
      <c r="A143" s="1">
        <v>0.33656296296296295</v>
      </c>
      <c r="B143" t="s">
        <v>53</v>
      </c>
    </row>
    <row r="144" spans="1:2" x14ac:dyDescent="0.25">
      <c r="A144" s="1">
        <v>0.33656034722222222</v>
      </c>
      <c r="B144" t="s">
        <v>53</v>
      </c>
    </row>
    <row r="145" spans="1:2" x14ac:dyDescent="0.25">
      <c r="A145" s="1">
        <v>0.33656004629629632</v>
      </c>
      <c r="B145" t="s">
        <v>51</v>
      </c>
    </row>
    <row r="146" spans="1:2" x14ac:dyDescent="0.25">
      <c r="A146" s="1">
        <v>0.33655906249999995</v>
      </c>
      <c r="B146" t="s">
        <v>53</v>
      </c>
    </row>
    <row r="147" spans="1:2" x14ac:dyDescent="0.25">
      <c r="A147" s="1">
        <v>0.33655839120370373</v>
      </c>
      <c r="B147" t="s">
        <v>53</v>
      </c>
    </row>
    <row r="148" spans="1:2" x14ac:dyDescent="0.25">
      <c r="A148" s="1">
        <v>0.33655800925925927</v>
      </c>
      <c r="B148" t="s">
        <v>52</v>
      </c>
    </row>
    <row r="149" spans="1:2" x14ac:dyDescent="0.25">
      <c r="A149" s="1">
        <v>0.33655493055555552</v>
      </c>
      <c r="B149" t="s">
        <v>51</v>
      </c>
    </row>
    <row r="150" spans="1:2" x14ac:dyDescent="0.25">
      <c r="A150" s="1">
        <v>0.33655212962962966</v>
      </c>
      <c r="B150" t="s">
        <v>53</v>
      </c>
    </row>
    <row r="151" spans="1:2" x14ac:dyDescent="0.25">
      <c r="A151" s="1">
        <v>0.33655146990740742</v>
      </c>
      <c r="B151" t="s">
        <v>53</v>
      </c>
    </row>
    <row r="152" spans="1:2" x14ac:dyDescent="0.25">
      <c r="A152" s="1">
        <v>0.3365488425925926</v>
      </c>
      <c r="B152" t="s">
        <v>51</v>
      </c>
    </row>
    <row r="153" spans="1:2" x14ac:dyDescent="0.25">
      <c r="A153" s="1">
        <v>0.33654622685185182</v>
      </c>
      <c r="B153" t="s">
        <v>53</v>
      </c>
    </row>
    <row r="154" spans="1:2" x14ac:dyDescent="0.25">
      <c r="A154" s="1">
        <v>0.33654537037037041</v>
      </c>
      <c r="B154" t="s">
        <v>51</v>
      </c>
    </row>
    <row r="155" spans="1:2" x14ac:dyDescent="0.25">
      <c r="A155" s="1">
        <v>0.33654440972222227</v>
      </c>
      <c r="B155" t="s">
        <v>53</v>
      </c>
    </row>
    <row r="156" spans="1:2" x14ac:dyDescent="0.25">
      <c r="A156" s="1">
        <v>0.3365440393518519</v>
      </c>
      <c r="B156" t="s">
        <v>52</v>
      </c>
    </row>
    <row r="157" spans="1:2" x14ac:dyDescent="0.25">
      <c r="A157" s="1">
        <v>0.3365429513888889</v>
      </c>
      <c r="B157" t="s">
        <v>51</v>
      </c>
    </row>
    <row r="158" spans="1:2" x14ac:dyDescent="0.25">
      <c r="A158" s="1">
        <v>0.3365426967592593</v>
      </c>
      <c r="B158" t="s">
        <v>52</v>
      </c>
    </row>
    <row r="159" spans="1:2" x14ac:dyDescent="0.25">
      <c r="A159" s="1">
        <v>0.33654188657407408</v>
      </c>
      <c r="B159" t="s">
        <v>53</v>
      </c>
    </row>
    <row r="160" spans="1:2" x14ac:dyDescent="0.25">
      <c r="A160" s="1">
        <v>0.33654016203703702</v>
      </c>
      <c r="B160" t="s">
        <v>53</v>
      </c>
    </row>
    <row r="161" spans="1:2" x14ac:dyDescent="0.25">
      <c r="A161" s="1">
        <v>0.33653877314814817</v>
      </c>
      <c r="B161" t="s">
        <v>53</v>
      </c>
    </row>
    <row r="162" spans="1:2" x14ac:dyDescent="0.25">
      <c r="A162" s="1">
        <v>0.3365384027777778</v>
      </c>
      <c r="B162" t="s">
        <v>51</v>
      </c>
    </row>
    <row r="163" spans="1:2" x14ac:dyDescent="0.25">
      <c r="A163" s="1">
        <v>0.33653667824074079</v>
      </c>
      <c r="B163" t="s">
        <v>51</v>
      </c>
    </row>
    <row r="164" spans="1:2" x14ac:dyDescent="0.25">
      <c r="A164" s="1">
        <v>0.3365360185185185</v>
      </c>
      <c r="B164" t="s">
        <v>52</v>
      </c>
    </row>
    <row r="165" spans="1:2" x14ac:dyDescent="0.25">
      <c r="A165" s="1">
        <v>0.33653465277777778</v>
      </c>
      <c r="B165" t="s">
        <v>53</v>
      </c>
    </row>
    <row r="166" spans="1:2" x14ac:dyDescent="0.25">
      <c r="A166" s="1">
        <v>0.33653406250000001</v>
      </c>
      <c r="B166" t="s">
        <v>52</v>
      </c>
    </row>
    <row r="167" spans="1:2" x14ac:dyDescent="0.25">
      <c r="A167" s="1">
        <v>0.33653361111111108</v>
      </c>
      <c r="B167" t="s">
        <v>53</v>
      </c>
    </row>
    <row r="168" spans="1:2" x14ac:dyDescent="0.25">
      <c r="A168" s="1">
        <v>0.33653075231481483</v>
      </c>
      <c r="B168" t="s">
        <v>51</v>
      </c>
    </row>
    <row r="169" spans="1:2" x14ac:dyDescent="0.25">
      <c r="A169" s="1">
        <v>0.33652800925925924</v>
      </c>
      <c r="B169" t="s">
        <v>53</v>
      </c>
    </row>
    <row r="170" spans="1:2" x14ac:dyDescent="0.25">
      <c r="A170" s="1">
        <v>0.33652656250000001</v>
      </c>
      <c r="B170" t="s">
        <v>52</v>
      </c>
    </row>
    <row r="171" spans="1:2" x14ac:dyDescent="0.25">
      <c r="A171" s="1">
        <v>0.3365241435185185</v>
      </c>
      <c r="B171" t="s">
        <v>53</v>
      </c>
    </row>
    <row r="172" spans="1:2" x14ac:dyDescent="0.25">
      <c r="A172" s="1">
        <v>0.33652263888888889</v>
      </c>
      <c r="B172" t="s">
        <v>52</v>
      </c>
    </row>
    <row r="173" spans="1:2" x14ac:dyDescent="0.25">
      <c r="A173" s="1">
        <v>0.33652193287037035</v>
      </c>
      <c r="B173" t="s">
        <v>52</v>
      </c>
    </row>
    <row r="174" spans="1:2" x14ac:dyDescent="0.25">
      <c r="A174" s="1">
        <v>0.33652188657407406</v>
      </c>
      <c r="B174" t="s">
        <v>51</v>
      </c>
    </row>
    <row r="175" spans="1:2" x14ac:dyDescent="0.25">
      <c r="A175" s="1">
        <v>0.33652127314814817</v>
      </c>
      <c r="B175" t="s">
        <v>51</v>
      </c>
    </row>
    <row r="176" spans="1:2" x14ac:dyDescent="0.25">
      <c r="A176" s="1">
        <v>0.33652112268518519</v>
      </c>
      <c r="B176" t="s">
        <v>51</v>
      </c>
    </row>
    <row r="177" spans="1:2" x14ac:dyDescent="0.25">
      <c r="A177" s="1">
        <v>0.33652023148148147</v>
      </c>
      <c r="B177" t="s">
        <v>51</v>
      </c>
    </row>
    <row r="178" spans="1:2" x14ac:dyDescent="0.25">
      <c r="A178" s="1">
        <v>0.33651991898148154</v>
      </c>
      <c r="B178" t="s">
        <v>51</v>
      </c>
    </row>
    <row r="179" spans="1:2" x14ac:dyDescent="0.25">
      <c r="A179" s="1">
        <v>0.33651696759259259</v>
      </c>
      <c r="B179" t="s">
        <v>53</v>
      </c>
    </row>
    <row r="180" spans="1:2" x14ac:dyDescent="0.25">
      <c r="A180" s="1">
        <v>0.33651694444444447</v>
      </c>
      <c r="B180" t="s">
        <v>51</v>
      </c>
    </row>
    <row r="181" spans="1:2" x14ac:dyDescent="0.25">
      <c r="A181" s="1">
        <v>0.33651651620370365</v>
      </c>
      <c r="B181" t="s">
        <v>51</v>
      </c>
    </row>
    <row r="182" spans="1:2" x14ac:dyDescent="0.25">
      <c r="A182" s="1">
        <v>0.3365163541666667</v>
      </c>
      <c r="B182" t="s">
        <v>52</v>
      </c>
    </row>
    <row r="183" spans="1:2" x14ac:dyDescent="0.25">
      <c r="A183" s="1">
        <v>0.33651494212962962</v>
      </c>
      <c r="B183" t="s">
        <v>51</v>
      </c>
    </row>
    <row r="184" spans="1:2" x14ac:dyDescent="0.25">
      <c r="A184" s="1">
        <v>0.33651494212962962</v>
      </c>
      <c r="B184" t="s">
        <v>52</v>
      </c>
    </row>
    <row r="185" spans="1:2" x14ac:dyDescent="0.25">
      <c r="A185" s="1">
        <v>0.33651480324074073</v>
      </c>
      <c r="B185" t="s">
        <v>51</v>
      </c>
    </row>
    <row r="186" spans="1:2" x14ac:dyDescent="0.25">
      <c r="A186" s="1">
        <v>0.33651386574074071</v>
      </c>
      <c r="B186" t="s">
        <v>53</v>
      </c>
    </row>
    <row r="187" spans="1:2" x14ac:dyDescent="0.25">
      <c r="A187" s="1">
        <v>0.33651146990740743</v>
      </c>
      <c r="B187" t="s">
        <v>52</v>
      </c>
    </row>
    <row r="188" spans="1:2" x14ac:dyDescent="0.25">
      <c r="A188" s="1">
        <v>0.33650995370370373</v>
      </c>
      <c r="B188" t="s">
        <v>51</v>
      </c>
    </row>
    <row r="189" spans="1:2" x14ac:dyDescent="0.25">
      <c r="A189" s="1">
        <v>0.33650931712962961</v>
      </c>
      <c r="B189" t="s">
        <v>52</v>
      </c>
    </row>
    <row r="190" spans="1:2" x14ac:dyDescent="0.25">
      <c r="A190" s="1">
        <v>0.33650739583333333</v>
      </c>
      <c r="B190" t="s">
        <v>52</v>
      </c>
    </row>
    <row r="191" spans="1:2" x14ac:dyDescent="0.25">
      <c r="A191" s="1">
        <v>0.33650511574074077</v>
      </c>
      <c r="B191" t="s">
        <v>52</v>
      </c>
    </row>
    <row r="192" spans="1:2" x14ac:dyDescent="0.25">
      <c r="A192" s="1">
        <v>0.33650451388888891</v>
      </c>
      <c r="B192" t="s">
        <v>51</v>
      </c>
    </row>
    <row r="193" spans="1:2" x14ac:dyDescent="0.25">
      <c r="A193" s="1">
        <v>0.33650351851851851</v>
      </c>
      <c r="B193" t="s">
        <v>52</v>
      </c>
    </row>
    <row r="194" spans="1:2" x14ac:dyDescent="0.25">
      <c r="A194" s="1">
        <v>0.33650245370370374</v>
      </c>
      <c r="B194" t="s">
        <v>51</v>
      </c>
    </row>
    <row r="195" spans="1:2" x14ac:dyDescent="0.25">
      <c r="A195" s="1">
        <v>0.33650159722222223</v>
      </c>
      <c r="B195" t="s">
        <v>52</v>
      </c>
    </row>
    <row r="196" spans="1:2" x14ac:dyDescent="0.25">
      <c r="A196" s="1">
        <v>0.33650065972222221</v>
      </c>
      <c r="B196" t="s">
        <v>51</v>
      </c>
    </row>
    <row r="197" spans="1:2" x14ac:dyDescent="0.25">
      <c r="A197" s="1">
        <v>0.33649912037037039</v>
      </c>
      <c r="B197" t="s">
        <v>53</v>
      </c>
    </row>
    <row r="198" spans="1:2" x14ac:dyDescent="0.25">
      <c r="A198" s="1">
        <v>0.33649877314814813</v>
      </c>
      <c r="B198" t="s">
        <v>52</v>
      </c>
    </row>
    <row r="199" spans="1:2" x14ac:dyDescent="0.25">
      <c r="A199" s="1">
        <v>0.33649832175925926</v>
      </c>
      <c r="B199" t="s">
        <v>51</v>
      </c>
    </row>
    <row r="200" spans="1:2" x14ac:dyDescent="0.25">
      <c r="A200" s="1">
        <v>0.33649634259259259</v>
      </c>
      <c r="B200" t="s">
        <v>53</v>
      </c>
    </row>
    <row r="201" spans="1:2" x14ac:dyDescent="0.25">
      <c r="A201" s="1">
        <v>0.33649442129629631</v>
      </c>
      <c r="B201" t="s">
        <v>52</v>
      </c>
    </row>
    <row r="202" spans="1:2" x14ac:dyDescent="0.25">
      <c r="A202" s="1">
        <v>0.33649396990740743</v>
      </c>
      <c r="B202" t="s">
        <v>53</v>
      </c>
    </row>
    <row r="203" spans="1:2" x14ac:dyDescent="0.25">
      <c r="A203" s="1">
        <v>0.33649185185185182</v>
      </c>
      <c r="B203" t="s">
        <v>52</v>
      </c>
    </row>
    <row r="204" spans="1:2" x14ac:dyDescent="0.25">
      <c r="A204" s="1">
        <v>0.33649114583333334</v>
      </c>
      <c r="B204" t="s">
        <v>53</v>
      </c>
    </row>
    <row r="205" spans="1:2" x14ac:dyDescent="0.25">
      <c r="A205" s="1">
        <v>0.33649087962962959</v>
      </c>
      <c r="B205" t="s">
        <v>51</v>
      </c>
    </row>
    <row r="206" spans="1:2" x14ac:dyDescent="0.25">
      <c r="A206" s="1">
        <v>0.33648924768518523</v>
      </c>
      <c r="B206" t="s">
        <v>51</v>
      </c>
    </row>
    <row r="207" spans="1:2" x14ac:dyDescent="0.25">
      <c r="A207" s="1">
        <v>0.33648858796296294</v>
      </c>
      <c r="B207" t="s">
        <v>51</v>
      </c>
    </row>
    <row r="208" spans="1:2" x14ac:dyDescent="0.25">
      <c r="A208" s="1">
        <v>0.33648796296296296</v>
      </c>
      <c r="B208" t="s">
        <v>52</v>
      </c>
    </row>
    <row r="209" spans="1:2" x14ac:dyDescent="0.25">
      <c r="A209" s="1">
        <v>0.33648540509259256</v>
      </c>
      <c r="B209" t="s">
        <v>51</v>
      </c>
    </row>
    <row r="210" spans="1:2" x14ac:dyDescent="0.25">
      <c r="A210" s="1">
        <v>0.33647769675925926</v>
      </c>
      <c r="B210" t="s">
        <v>52</v>
      </c>
    </row>
    <row r="211" spans="1:2" x14ac:dyDescent="0.25">
      <c r="A211" s="1">
        <v>0.33647362268518521</v>
      </c>
      <c r="B211" t="s">
        <v>52</v>
      </c>
    </row>
    <row r="212" spans="1:2" x14ac:dyDescent="0.25">
      <c r="A212" s="1">
        <v>0.33647111111111111</v>
      </c>
      <c r="B212" t="s">
        <v>51</v>
      </c>
    </row>
    <row r="213" spans="1:2" x14ac:dyDescent="0.25">
      <c r="A213" s="1">
        <v>0.33646971064814818</v>
      </c>
      <c r="B213" t="s">
        <v>53</v>
      </c>
    </row>
    <row r="214" spans="1:2" x14ac:dyDescent="0.25">
      <c r="A214" s="1">
        <v>0.33646737268518517</v>
      </c>
      <c r="B214" t="s">
        <v>53</v>
      </c>
    </row>
    <row r="215" spans="1:2" x14ac:dyDescent="0.25">
      <c r="A215" s="1">
        <v>0.33646638888888886</v>
      </c>
      <c r="B215" t="s">
        <v>51</v>
      </c>
    </row>
    <row r="216" spans="1:2" x14ac:dyDescent="0.25">
      <c r="A216" s="1">
        <v>0.33646567129629629</v>
      </c>
      <c r="B216" t="s">
        <v>53</v>
      </c>
    </row>
    <row r="217" spans="1:2" x14ac:dyDescent="0.25">
      <c r="A217" s="1">
        <v>0.33646452546296296</v>
      </c>
      <c r="B217" t="s">
        <v>53</v>
      </c>
    </row>
    <row r="218" spans="1:2" x14ac:dyDescent="0.25">
      <c r="A218" s="1">
        <v>0.33646251157407409</v>
      </c>
      <c r="B218" t="s">
        <v>52</v>
      </c>
    </row>
    <row r="219" spans="1:2" x14ac:dyDescent="0.25">
      <c r="A219" s="1">
        <v>0.33646204861111112</v>
      </c>
      <c r="B219" t="s">
        <v>51</v>
      </c>
    </row>
    <row r="220" spans="1:2" x14ac:dyDescent="0.25">
      <c r="A220" s="1">
        <v>0.33646160879629633</v>
      </c>
      <c r="B220" t="s">
        <v>53</v>
      </c>
    </row>
    <row r="221" spans="1:2" x14ac:dyDescent="0.25">
      <c r="A221" s="1">
        <v>0.33646074074074073</v>
      </c>
      <c r="B221" t="s">
        <v>53</v>
      </c>
    </row>
    <row r="222" spans="1:2" x14ac:dyDescent="0.25">
      <c r="A222" s="1">
        <v>0.33645961805555552</v>
      </c>
      <c r="B222" t="s">
        <v>51</v>
      </c>
    </row>
    <row r="223" spans="1:2" x14ac:dyDescent="0.25">
      <c r="A223" s="1">
        <v>0.33645956018518519</v>
      </c>
      <c r="B223" t="s">
        <v>51</v>
      </c>
    </row>
    <row r="224" spans="1:2" x14ac:dyDescent="0.25">
      <c r="A224" s="1">
        <v>0.33645873842592594</v>
      </c>
      <c r="B224" t="s">
        <v>52</v>
      </c>
    </row>
    <row r="225" spans="1:2" x14ac:dyDescent="0.25">
      <c r="A225" s="1">
        <v>0.33645304398148146</v>
      </c>
      <c r="B225" t="s">
        <v>53</v>
      </c>
    </row>
    <row r="226" spans="1:2" x14ac:dyDescent="0.25">
      <c r="A226" s="1">
        <v>0.33645005787037036</v>
      </c>
      <c r="B226" t="s">
        <v>51</v>
      </c>
    </row>
    <row r="227" spans="1:2" x14ac:dyDescent="0.25">
      <c r="A227" s="1">
        <v>0.33644986111111108</v>
      </c>
      <c r="B227" t="s">
        <v>53</v>
      </c>
    </row>
    <row r="228" spans="1:2" x14ac:dyDescent="0.25">
      <c r="A228" s="1">
        <v>0.33644912037037034</v>
      </c>
      <c r="B228" t="s">
        <v>52</v>
      </c>
    </row>
    <row r="229" spans="1:2" x14ac:dyDescent="0.25">
      <c r="A229" s="1">
        <v>0.33644865740740743</v>
      </c>
      <c r="B229" t="s">
        <v>52</v>
      </c>
    </row>
    <row r="230" spans="1:2" x14ac:dyDescent="0.25">
      <c r="A230" s="1">
        <v>0.33644817129629628</v>
      </c>
      <c r="B230" t="s">
        <v>53</v>
      </c>
    </row>
    <row r="231" spans="1:2" x14ac:dyDescent="0.25">
      <c r="A231" s="1">
        <v>0.33644766203703708</v>
      </c>
      <c r="B231" t="s">
        <v>51</v>
      </c>
    </row>
    <row r="232" spans="1:2" x14ac:dyDescent="0.25">
      <c r="A232" s="1">
        <v>0.33644467592592592</v>
      </c>
      <c r="B232" t="s">
        <v>53</v>
      </c>
    </row>
    <row r="233" spans="1:2" x14ac:dyDescent="0.25">
      <c r="A233" s="1">
        <v>0.33644093749999998</v>
      </c>
      <c r="B233" t="s">
        <v>51</v>
      </c>
    </row>
    <row r="234" spans="1:2" x14ac:dyDescent="0.25">
      <c r="A234" s="1">
        <v>0.33644006944444443</v>
      </c>
      <c r="B234" t="s">
        <v>51</v>
      </c>
    </row>
    <row r="235" spans="1:2" x14ac:dyDescent="0.25">
      <c r="A235" s="1">
        <v>0.33643886574074072</v>
      </c>
      <c r="B235" t="s">
        <v>53</v>
      </c>
    </row>
    <row r="236" spans="1:2" x14ac:dyDescent="0.25">
      <c r="A236" s="1">
        <v>0.33643843750000002</v>
      </c>
      <c r="B236" t="s">
        <v>52</v>
      </c>
    </row>
    <row r="237" spans="1:2" x14ac:dyDescent="0.25">
      <c r="A237" s="1">
        <v>0.33643825231481483</v>
      </c>
      <c r="B237" t="s">
        <v>53</v>
      </c>
    </row>
    <row r="238" spans="1:2" x14ac:dyDescent="0.25">
      <c r="A238" s="1">
        <v>0.33643821759259263</v>
      </c>
      <c r="B238" t="s">
        <v>53</v>
      </c>
    </row>
    <row r="239" spans="1:2" x14ac:dyDescent="0.25">
      <c r="A239" s="1">
        <v>0.33643820601851848</v>
      </c>
      <c r="B239" t="s">
        <v>51</v>
      </c>
    </row>
    <row r="240" spans="1:2" x14ac:dyDescent="0.25">
      <c r="A240" s="1">
        <v>0.33643616898148149</v>
      </c>
      <c r="B240" t="s">
        <v>52</v>
      </c>
    </row>
    <row r="241" spans="1:2" x14ac:dyDescent="0.25">
      <c r="A241" s="1">
        <v>0.33643526620370373</v>
      </c>
      <c r="B241" t="s">
        <v>51</v>
      </c>
    </row>
    <row r="242" spans="1:2" x14ac:dyDescent="0.25">
      <c r="A242" s="1">
        <v>0.3364343402777778</v>
      </c>
      <c r="B242" t="s">
        <v>52</v>
      </c>
    </row>
    <row r="243" spans="1:2" x14ac:dyDescent="0.25">
      <c r="A243" s="1">
        <v>0.33643278935185189</v>
      </c>
      <c r="B243" t="s">
        <v>51</v>
      </c>
    </row>
    <row r="244" spans="1:2" x14ac:dyDescent="0.25">
      <c r="A244" s="1">
        <v>0.33643232638888887</v>
      </c>
      <c r="B244" t="s">
        <v>52</v>
      </c>
    </row>
    <row r="245" spans="1:2" x14ac:dyDescent="0.25">
      <c r="A245" s="1">
        <v>0.33642962962962963</v>
      </c>
      <c r="B245" t="s">
        <v>52</v>
      </c>
    </row>
    <row r="246" spans="1:2" x14ac:dyDescent="0.25">
      <c r="A246" s="1">
        <v>0.33642906249999999</v>
      </c>
      <c r="B246" t="s">
        <v>51</v>
      </c>
    </row>
    <row r="247" spans="1:2" x14ac:dyDescent="0.25">
      <c r="A247" s="1">
        <v>0.336428275462963</v>
      </c>
      <c r="B247" t="s">
        <v>51</v>
      </c>
    </row>
    <row r="248" spans="1:2" x14ac:dyDescent="0.25">
      <c r="A248" s="1">
        <v>0.33642751157407408</v>
      </c>
      <c r="B248" t="s">
        <v>53</v>
      </c>
    </row>
    <row r="249" spans="1:2" x14ac:dyDescent="0.25">
      <c r="A249" s="1">
        <v>0.33642665509259256</v>
      </c>
      <c r="B249" t="s">
        <v>51</v>
      </c>
    </row>
    <row r="250" spans="1:2" x14ac:dyDescent="0.25">
      <c r="A250" s="1">
        <v>0.33642049768518517</v>
      </c>
      <c r="B250" t="s">
        <v>51</v>
      </c>
    </row>
    <row r="251" spans="1:2" x14ac:dyDescent="0.25">
      <c r="A251" s="1">
        <v>0.3364202546296296</v>
      </c>
      <c r="B251" t="s">
        <v>52</v>
      </c>
    </row>
    <row r="252" spans="1:2" x14ac:dyDescent="0.25">
      <c r="A252" s="1">
        <v>0.33641908564814815</v>
      </c>
      <c r="B252" t="s">
        <v>51</v>
      </c>
    </row>
    <row r="253" spans="1:2" x14ac:dyDescent="0.25">
      <c r="A253" s="1">
        <v>0.33641854166666668</v>
      </c>
      <c r="B253" t="s">
        <v>52</v>
      </c>
    </row>
    <row r="254" spans="1:2" x14ac:dyDescent="0.25">
      <c r="A254" s="1">
        <v>0.3364169675925926</v>
      </c>
      <c r="B254" t="s">
        <v>52</v>
      </c>
    </row>
    <row r="255" spans="1:2" x14ac:dyDescent="0.25">
      <c r="A255" s="1">
        <v>0.33641539351851851</v>
      </c>
      <c r="B255" t="s">
        <v>52</v>
      </c>
    </row>
    <row r="256" spans="1:2" x14ac:dyDescent="0.25">
      <c r="A256" s="1">
        <v>0.33641335648148152</v>
      </c>
      <c r="B256" t="s">
        <v>51</v>
      </c>
    </row>
    <row r="257" spans="1:2" x14ac:dyDescent="0.25">
      <c r="A257" s="1">
        <v>0.33641128472222226</v>
      </c>
      <c r="B257" t="s">
        <v>52</v>
      </c>
    </row>
    <row r="258" spans="1:2" x14ac:dyDescent="0.25">
      <c r="A258" s="1">
        <v>0.33641069444444444</v>
      </c>
      <c r="B258" t="s">
        <v>51</v>
      </c>
    </row>
    <row r="259" spans="1:2" x14ac:dyDescent="0.25">
      <c r="A259" s="1">
        <v>0.3364094675925926</v>
      </c>
      <c r="B259" t="s">
        <v>52</v>
      </c>
    </row>
    <row r="260" spans="1:2" x14ac:dyDescent="0.25">
      <c r="A260" s="1">
        <v>0.3363973842592593</v>
      </c>
      <c r="B260" t="s">
        <v>51</v>
      </c>
    </row>
    <row r="261" spans="1:2" x14ac:dyDescent="0.25">
      <c r="A261" s="1">
        <v>0.33639733796296295</v>
      </c>
      <c r="B261" t="s">
        <v>53</v>
      </c>
    </row>
    <row r="262" spans="1:2" x14ac:dyDescent="0.25">
      <c r="A262" s="1">
        <v>0.33639149305555555</v>
      </c>
      <c r="B262" t="s">
        <v>52</v>
      </c>
    </row>
    <row r="263" spans="1:2" x14ac:dyDescent="0.25">
      <c r="A263" s="1">
        <v>0.33639037037037034</v>
      </c>
      <c r="B263" t="s">
        <v>53</v>
      </c>
    </row>
    <row r="264" spans="1:2" x14ac:dyDescent="0.25">
      <c r="A264" s="1">
        <v>0.33638995370370367</v>
      </c>
      <c r="B264" t="s">
        <v>51</v>
      </c>
    </row>
    <row r="265" spans="1:2" x14ac:dyDescent="0.25">
      <c r="A265" s="1">
        <v>0.33638799768518518</v>
      </c>
      <c r="B265" t="s">
        <v>53</v>
      </c>
    </row>
    <row r="266" spans="1:2" x14ac:dyDescent="0.25">
      <c r="A266" s="1">
        <v>0.33638538194444445</v>
      </c>
      <c r="B266" t="s">
        <v>53</v>
      </c>
    </row>
    <row r="267" spans="1:2" x14ac:dyDescent="0.25">
      <c r="A267" s="1">
        <v>0.33638306712962968</v>
      </c>
      <c r="B267" t="s">
        <v>52</v>
      </c>
    </row>
    <row r="268" spans="1:2" x14ac:dyDescent="0.25">
      <c r="A268" s="1">
        <v>0.33638126157407405</v>
      </c>
      <c r="B268" t="s">
        <v>53</v>
      </c>
    </row>
    <row r="269" spans="1:2" x14ac:dyDescent="0.25">
      <c r="A269" s="1">
        <v>0.33638108796296295</v>
      </c>
      <c r="B269" t="s">
        <v>52</v>
      </c>
    </row>
    <row r="270" spans="1:2" x14ac:dyDescent="0.25">
      <c r="A270" s="1">
        <v>0.33637987268518521</v>
      </c>
      <c r="B270" t="s">
        <v>53</v>
      </c>
    </row>
    <row r="271" spans="1:2" x14ac:dyDescent="0.25">
      <c r="A271" s="1">
        <v>0.33637980324074074</v>
      </c>
      <c r="B271" t="s">
        <v>53</v>
      </c>
    </row>
    <row r="272" spans="1:2" x14ac:dyDescent="0.25">
      <c r="A272" s="1">
        <v>0.33637570601851857</v>
      </c>
      <c r="B272" t="s">
        <v>51</v>
      </c>
    </row>
    <row r="273" spans="1:2" x14ac:dyDescent="0.25">
      <c r="A273" s="1">
        <v>0.33637358796296296</v>
      </c>
      <c r="B273" t="s">
        <v>51</v>
      </c>
    </row>
    <row r="274" spans="1:2" x14ac:dyDescent="0.25">
      <c r="A274" s="1">
        <v>0.33637259259259261</v>
      </c>
      <c r="B274" t="s">
        <v>51</v>
      </c>
    </row>
    <row r="275" spans="1:2" x14ac:dyDescent="0.25">
      <c r="A275" s="1">
        <v>0.33637182870370369</v>
      </c>
      <c r="B275" t="s">
        <v>51</v>
      </c>
    </row>
    <row r="276" spans="1:2" x14ac:dyDescent="0.25">
      <c r="A276" s="1">
        <v>0.33636925925925926</v>
      </c>
      <c r="B276" t="s">
        <v>52</v>
      </c>
    </row>
    <row r="277" spans="1:2" x14ac:dyDescent="0.25">
      <c r="A277" s="1">
        <v>0.33636775462962959</v>
      </c>
      <c r="B277" t="s">
        <v>53</v>
      </c>
    </row>
    <row r="278" spans="1:2" x14ac:dyDescent="0.25">
      <c r="A278" s="1">
        <v>0.33636684027777775</v>
      </c>
      <c r="B278" t="s">
        <v>51</v>
      </c>
    </row>
    <row r="279" spans="1:2" x14ac:dyDescent="0.25">
      <c r="A279" s="1">
        <v>0.33636559027777779</v>
      </c>
      <c r="B279" t="s">
        <v>53</v>
      </c>
    </row>
    <row r="280" spans="1:2" x14ac:dyDescent="0.25">
      <c r="A280" s="1">
        <v>0.33636550925925923</v>
      </c>
      <c r="B280" t="s">
        <v>51</v>
      </c>
    </row>
    <row r="281" spans="1:2" x14ac:dyDescent="0.25">
      <c r="A281" s="1">
        <v>0.33636296296296297</v>
      </c>
      <c r="B281" t="s">
        <v>51</v>
      </c>
    </row>
    <row r="282" spans="1:2" x14ac:dyDescent="0.25">
      <c r="A282" s="1">
        <v>0.33636262731481481</v>
      </c>
      <c r="B282" t="s">
        <v>51</v>
      </c>
    </row>
    <row r="283" spans="1:2" x14ac:dyDescent="0.25">
      <c r="A283" s="1">
        <v>0.336362337962963</v>
      </c>
      <c r="B283" t="s">
        <v>51</v>
      </c>
    </row>
    <row r="284" spans="1:2" x14ac:dyDescent="0.25">
      <c r="A284" s="1">
        <v>0.33636049768518522</v>
      </c>
      <c r="B284" t="s">
        <v>52</v>
      </c>
    </row>
    <row r="285" spans="1:2" x14ac:dyDescent="0.25">
      <c r="A285" s="1">
        <v>0.33635795138888885</v>
      </c>
      <c r="B285" t="s">
        <v>51</v>
      </c>
    </row>
    <row r="286" spans="1:2" x14ac:dyDescent="0.25">
      <c r="A286" s="1">
        <v>0.33635721064814811</v>
      </c>
      <c r="B286" t="s">
        <v>52</v>
      </c>
    </row>
    <row r="287" spans="1:2" x14ac:dyDescent="0.25">
      <c r="A287" s="1">
        <v>0.33635268518518519</v>
      </c>
      <c r="B287" t="s">
        <v>53</v>
      </c>
    </row>
    <row r="288" spans="1:2" x14ac:dyDescent="0.25">
      <c r="A288" s="1">
        <v>0.33635255787037038</v>
      </c>
      <c r="B288" t="s">
        <v>51</v>
      </c>
    </row>
    <row r="289" spans="1:2" x14ac:dyDescent="0.25">
      <c r="A289" s="1">
        <v>0.33635157407407407</v>
      </c>
      <c r="B289" t="s">
        <v>52</v>
      </c>
    </row>
    <row r="290" spans="1:2" x14ac:dyDescent="0.25">
      <c r="A290" s="1">
        <v>0.33635130787037038</v>
      </c>
      <c r="B290" t="s">
        <v>51</v>
      </c>
    </row>
    <row r="291" spans="1:2" x14ac:dyDescent="0.25">
      <c r="A291" s="1">
        <v>0.33635113425925928</v>
      </c>
      <c r="B291" t="s">
        <v>53</v>
      </c>
    </row>
    <row r="292" spans="1:2" x14ac:dyDescent="0.25">
      <c r="A292" s="1">
        <v>0.33634943287037039</v>
      </c>
      <c r="B292" t="s">
        <v>52</v>
      </c>
    </row>
    <row r="293" spans="1:2" x14ac:dyDescent="0.25">
      <c r="A293" s="1">
        <v>0.33634840277777783</v>
      </c>
      <c r="B293" t="s">
        <v>51</v>
      </c>
    </row>
    <row r="294" spans="1:2" x14ac:dyDescent="0.25">
      <c r="A294" s="1">
        <v>0.33634652777777779</v>
      </c>
      <c r="B294" t="s">
        <v>52</v>
      </c>
    </row>
    <row r="295" spans="1:2" x14ac:dyDescent="0.25">
      <c r="A295" s="1">
        <v>0.33634619212962963</v>
      </c>
      <c r="B295" t="s">
        <v>51</v>
      </c>
    </row>
    <row r="296" spans="1:2" x14ac:dyDescent="0.25">
      <c r="A296" s="1">
        <v>0.33634592592592588</v>
      </c>
      <c r="B296" t="s">
        <v>52</v>
      </c>
    </row>
    <row r="297" spans="1:2" x14ac:dyDescent="0.25">
      <c r="A297" s="1">
        <v>0.3363450925925926</v>
      </c>
      <c r="B297" t="s">
        <v>53</v>
      </c>
    </row>
    <row r="298" spans="1:2" x14ac:dyDescent="0.25">
      <c r="A298" s="1">
        <v>0.33634273148148147</v>
      </c>
      <c r="B298" t="s">
        <v>52</v>
      </c>
    </row>
    <row r="299" spans="1:2" x14ac:dyDescent="0.25">
      <c r="A299" s="1">
        <v>0.33634263888888888</v>
      </c>
      <c r="B299" t="s">
        <v>52</v>
      </c>
    </row>
    <row r="300" spans="1:2" x14ac:dyDescent="0.25">
      <c r="A300" s="1">
        <v>0.33634125000000004</v>
      </c>
      <c r="B300" t="s">
        <v>51</v>
      </c>
    </row>
    <row r="301" spans="1:2" x14ac:dyDescent="0.25">
      <c r="A301" s="1">
        <v>0.33634018518518521</v>
      </c>
      <c r="B301" t="s">
        <v>53</v>
      </c>
    </row>
    <row r="302" spans="1:2" x14ac:dyDescent="0.25">
      <c r="A302" s="1">
        <v>0.33634009259259257</v>
      </c>
      <c r="B302" t="s">
        <v>52</v>
      </c>
    </row>
    <row r="303" spans="1:2" x14ac:dyDescent="0.25">
      <c r="A303" s="1">
        <v>0.33633914351851851</v>
      </c>
      <c r="B303" t="s">
        <v>53</v>
      </c>
    </row>
    <row r="304" spans="1:2" x14ac:dyDescent="0.25">
      <c r="A304" s="1">
        <v>0.33633747685185184</v>
      </c>
      <c r="B304" t="s">
        <v>53</v>
      </c>
    </row>
    <row r="305" spans="1:2" x14ac:dyDescent="0.25">
      <c r="A305" s="1">
        <v>0.33633703703703705</v>
      </c>
      <c r="B305" t="s">
        <v>53</v>
      </c>
    </row>
    <row r="306" spans="1:2" x14ac:dyDescent="0.25">
      <c r="A306" s="1">
        <v>0.33633678240740744</v>
      </c>
      <c r="B306" t="s">
        <v>52</v>
      </c>
    </row>
    <row r="307" spans="1:2" x14ac:dyDescent="0.25">
      <c r="A307" s="1">
        <v>0.33633670138888888</v>
      </c>
      <c r="B307" t="s">
        <v>52</v>
      </c>
    </row>
    <row r="308" spans="1:2" x14ac:dyDescent="0.25">
      <c r="A308" s="1">
        <v>0.33633587962962963</v>
      </c>
      <c r="B308" t="s">
        <v>53</v>
      </c>
    </row>
    <row r="309" spans="1:2" x14ac:dyDescent="0.25">
      <c r="A309" s="1">
        <v>0.33633436342592593</v>
      </c>
      <c r="B309" t="s">
        <v>51</v>
      </c>
    </row>
    <row r="310" spans="1:2" x14ac:dyDescent="0.25">
      <c r="A310" s="1">
        <v>0.3363289351851852</v>
      </c>
      <c r="B310" t="s">
        <v>52</v>
      </c>
    </row>
    <row r="311" spans="1:2" x14ac:dyDescent="0.25">
      <c r="A311" s="1">
        <v>0.33632841435185185</v>
      </c>
      <c r="B311" t="s">
        <v>53</v>
      </c>
    </row>
    <row r="312" spans="1:2" x14ac:dyDescent="0.25">
      <c r="A312" s="1">
        <v>0.33632528935185185</v>
      </c>
      <c r="B312" t="s">
        <v>53</v>
      </c>
    </row>
    <row r="313" spans="1:2" x14ac:dyDescent="0.25">
      <c r="A313" s="1">
        <v>0.33632255787037035</v>
      </c>
      <c r="B313" t="s">
        <v>52</v>
      </c>
    </row>
    <row r="314" spans="1:2" x14ac:dyDescent="0.25">
      <c r="A314" s="1">
        <v>0.33632187500000005</v>
      </c>
      <c r="B314" t="s">
        <v>52</v>
      </c>
    </row>
    <row r="315" spans="1:2" x14ac:dyDescent="0.25">
      <c r="A315" s="1">
        <v>0.33631799768518517</v>
      </c>
      <c r="B315" t="s">
        <v>52</v>
      </c>
    </row>
    <row r="316" spans="1:2" x14ac:dyDescent="0.25">
      <c r="A316" s="1">
        <v>0.3363157175925926</v>
      </c>
      <c r="B316" t="s">
        <v>52</v>
      </c>
    </row>
    <row r="317" spans="1:2" x14ac:dyDescent="0.25">
      <c r="A317" s="1">
        <v>0.33631284722222227</v>
      </c>
      <c r="B317" t="s">
        <v>51</v>
      </c>
    </row>
    <row r="318" spans="1:2" x14ac:dyDescent="0.25">
      <c r="A318" s="1">
        <v>0.33630989583333332</v>
      </c>
      <c r="B318" t="s">
        <v>53</v>
      </c>
    </row>
    <row r="319" spans="1:2" x14ac:dyDescent="0.25">
      <c r="A319" s="1">
        <v>0.33630968750000001</v>
      </c>
      <c r="B319" t="s">
        <v>53</v>
      </c>
    </row>
    <row r="320" spans="1:2" x14ac:dyDescent="0.25">
      <c r="A320" s="1">
        <v>0.3363083101851852</v>
      </c>
      <c r="B320" t="s">
        <v>52</v>
      </c>
    </row>
    <row r="321" spans="1:2" x14ac:dyDescent="0.25">
      <c r="A321" s="1">
        <v>0.33630652777777775</v>
      </c>
      <c r="B321" t="s">
        <v>53</v>
      </c>
    </row>
    <row r="322" spans="1:2" x14ac:dyDescent="0.25">
      <c r="A322" s="1">
        <v>0.33630637731481478</v>
      </c>
      <c r="B322" t="s">
        <v>51</v>
      </c>
    </row>
    <row r="323" spans="1:2" x14ac:dyDescent="0.25">
      <c r="A323" s="1">
        <v>0.33630495370370372</v>
      </c>
      <c r="B323" t="s">
        <v>53</v>
      </c>
    </row>
    <row r="324" spans="1:2" x14ac:dyDescent="0.25">
      <c r="A324" s="1">
        <v>0.33630439814814816</v>
      </c>
      <c r="B324" t="s">
        <v>53</v>
      </c>
    </row>
    <row r="325" spans="1:2" x14ac:dyDescent="0.25">
      <c r="A325" s="1">
        <v>0.33630321759259263</v>
      </c>
      <c r="B325" t="s">
        <v>53</v>
      </c>
    </row>
    <row r="326" spans="1:2" x14ac:dyDescent="0.25">
      <c r="A326" s="1">
        <v>0.33630057870370367</v>
      </c>
      <c r="B326" t="s">
        <v>53</v>
      </c>
    </row>
    <row r="327" spans="1:2" x14ac:dyDescent="0.25">
      <c r="A327" s="1">
        <v>0.33630031249999998</v>
      </c>
      <c r="B327" t="s">
        <v>53</v>
      </c>
    </row>
    <row r="328" spans="1:2" x14ac:dyDescent="0.25">
      <c r="A328" s="1">
        <v>0.33629800925925929</v>
      </c>
      <c r="B328" t="s">
        <v>53</v>
      </c>
    </row>
    <row r="329" spans="1:2" x14ac:dyDescent="0.25">
      <c r="A329" s="1">
        <v>0.33629754629629627</v>
      </c>
      <c r="B329" t="s">
        <v>52</v>
      </c>
    </row>
    <row r="330" spans="1:2" x14ac:dyDescent="0.25">
      <c r="A330" s="1">
        <v>0.33629260416666668</v>
      </c>
      <c r="B330" t="s">
        <v>53</v>
      </c>
    </row>
    <row r="331" spans="1:2" x14ac:dyDescent="0.25">
      <c r="A331" s="1">
        <v>0.33629256944444447</v>
      </c>
      <c r="B331" t="s">
        <v>51</v>
      </c>
    </row>
    <row r="332" spans="1:2" x14ac:dyDescent="0.25">
      <c r="A332" s="1">
        <v>0.33629019675925925</v>
      </c>
      <c r="B332" t="s">
        <v>52</v>
      </c>
    </row>
    <row r="333" spans="1:2" x14ac:dyDescent="0.25">
      <c r="A333" s="1">
        <v>0.33628819444444447</v>
      </c>
      <c r="B333" t="s">
        <v>52</v>
      </c>
    </row>
    <row r="334" spans="1:2" x14ac:dyDescent="0.25">
      <c r="A334" s="1">
        <v>0.33628262731481479</v>
      </c>
      <c r="B334" t="s">
        <v>52</v>
      </c>
    </row>
    <row r="335" spans="1:2" x14ac:dyDescent="0.25">
      <c r="A335" s="1">
        <v>0.33628243055555557</v>
      </c>
      <c r="B335" t="s">
        <v>53</v>
      </c>
    </row>
    <row r="336" spans="1:2" x14ac:dyDescent="0.25">
      <c r="A336" s="1">
        <v>0.33628069444444447</v>
      </c>
      <c r="B336" t="s">
        <v>53</v>
      </c>
    </row>
    <row r="337" spans="1:2" x14ac:dyDescent="0.25">
      <c r="A337" s="1">
        <v>0.33627909722222221</v>
      </c>
      <c r="B337" t="s">
        <v>51</v>
      </c>
    </row>
    <row r="338" spans="1:2" x14ac:dyDescent="0.25">
      <c r="A338" s="1">
        <v>0.33627693287037036</v>
      </c>
      <c r="B338" t="s">
        <v>52</v>
      </c>
    </row>
    <row r="339" spans="1:2" x14ac:dyDescent="0.25">
      <c r="A339" s="1">
        <v>0.33627527777777777</v>
      </c>
      <c r="B339" t="s">
        <v>53</v>
      </c>
    </row>
    <row r="340" spans="1:2" x14ac:dyDescent="0.25">
      <c r="A340" s="1">
        <v>0.33627456018518515</v>
      </c>
      <c r="B340" t="s">
        <v>52</v>
      </c>
    </row>
    <row r="341" spans="1:2" x14ac:dyDescent="0.25">
      <c r="A341" s="1">
        <v>0.33627119212962958</v>
      </c>
      <c r="B341" t="s">
        <v>53</v>
      </c>
    </row>
    <row r="342" spans="1:2" x14ac:dyDescent="0.25">
      <c r="A342" s="1">
        <v>0.33627055555555557</v>
      </c>
      <c r="B342" t="s">
        <v>52</v>
      </c>
    </row>
    <row r="343" spans="1:2" x14ac:dyDescent="0.25">
      <c r="A343" s="1">
        <v>0.3362699305555556</v>
      </c>
      <c r="B343" t="s">
        <v>53</v>
      </c>
    </row>
    <row r="344" spans="1:2" x14ac:dyDescent="0.25">
      <c r="A344" s="1">
        <v>0.33626956018518522</v>
      </c>
      <c r="B344" t="s">
        <v>51</v>
      </c>
    </row>
    <row r="345" spans="1:2" x14ac:dyDescent="0.25">
      <c r="A345" s="1">
        <v>0.33626923611111109</v>
      </c>
      <c r="B345" t="s">
        <v>53</v>
      </c>
    </row>
    <row r="346" spans="1:2" x14ac:dyDescent="0.25">
      <c r="A346" s="1">
        <v>0.33626817129629627</v>
      </c>
      <c r="B346" t="s">
        <v>52</v>
      </c>
    </row>
    <row r="347" spans="1:2" x14ac:dyDescent="0.25">
      <c r="A347" s="1">
        <v>0.33626663194444445</v>
      </c>
      <c r="B347" t="s">
        <v>51</v>
      </c>
    </row>
    <row r="348" spans="1:2" x14ac:dyDescent="0.25">
      <c r="A348" s="1">
        <v>0.33626280092592592</v>
      </c>
      <c r="B348" t="s">
        <v>53</v>
      </c>
    </row>
    <row r="349" spans="1:2" x14ac:dyDescent="0.25">
      <c r="A349" s="1">
        <v>0.33626239583333334</v>
      </c>
      <c r="B349" t="s">
        <v>51</v>
      </c>
    </row>
    <row r="350" spans="1:2" x14ac:dyDescent="0.25">
      <c r="A350" s="1">
        <v>0.33625746527777772</v>
      </c>
      <c r="B350" t="s">
        <v>51</v>
      </c>
    </row>
    <row r="351" spans="1:2" x14ac:dyDescent="0.25">
      <c r="A351" s="1">
        <v>0.33625603009259258</v>
      </c>
      <c r="B351" t="s">
        <v>52</v>
      </c>
    </row>
    <row r="352" spans="1:2" x14ac:dyDescent="0.25">
      <c r="A352" s="1">
        <v>0.3362550231481482</v>
      </c>
      <c r="B352" t="s">
        <v>51</v>
      </c>
    </row>
    <row r="353" spans="1:2" x14ac:dyDescent="0.25">
      <c r="A353" s="1">
        <v>0.33625326388888888</v>
      </c>
      <c r="B353" t="s">
        <v>51</v>
      </c>
    </row>
    <row r="354" spans="1:2" x14ac:dyDescent="0.25">
      <c r="A354" s="1">
        <v>0.33625325231481479</v>
      </c>
      <c r="B354" t="s">
        <v>51</v>
      </c>
    </row>
    <row r="355" spans="1:2" x14ac:dyDescent="0.25">
      <c r="A355" s="1">
        <v>0.33625101851851852</v>
      </c>
      <c r="B355" t="s">
        <v>52</v>
      </c>
    </row>
    <row r="356" spans="1:2" x14ac:dyDescent="0.25">
      <c r="A356" s="1">
        <v>0.33625027777777777</v>
      </c>
      <c r="B356" t="s">
        <v>52</v>
      </c>
    </row>
    <row r="357" spans="1:2" x14ac:dyDescent="0.25">
      <c r="A357" s="1">
        <v>0.33624800925925924</v>
      </c>
      <c r="B357" t="s">
        <v>51</v>
      </c>
    </row>
    <row r="358" spans="1:2" x14ac:dyDescent="0.25">
      <c r="A358" s="1">
        <v>0.33624479166666665</v>
      </c>
      <c r="B358" t="s">
        <v>53</v>
      </c>
    </row>
    <row r="359" spans="1:2" x14ac:dyDescent="0.25">
      <c r="A359" s="1">
        <v>0.33624196759259256</v>
      </c>
      <c r="B359" t="s">
        <v>51</v>
      </c>
    </row>
    <row r="360" spans="1:2" x14ac:dyDescent="0.25">
      <c r="A360" s="1">
        <v>0.33624131944444446</v>
      </c>
      <c r="B360" t="s">
        <v>51</v>
      </c>
    </row>
    <row r="361" spans="1:2" x14ac:dyDescent="0.25">
      <c r="A361" s="1">
        <v>0.33624034722222224</v>
      </c>
      <c r="B361" t="s">
        <v>53</v>
      </c>
    </row>
    <row r="362" spans="1:2" x14ac:dyDescent="0.25">
      <c r="A362" s="1">
        <v>0.33623855324074076</v>
      </c>
      <c r="B362" t="s">
        <v>53</v>
      </c>
    </row>
    <row r="363" spans="1:2" x14ac:dyDescent="0.25">
      <c r="A363" s="1">
        <v>0.33623836805555557</v>
      </c>
      <c r="B363" t="s">
        <v>51</v>
      </c>
    </row>
    <row r="364" spans="1:2" x14ac:dyDescent="0.25">
      <c r="A364" s="1">
        <v>0.33623591435185185</v>
      </c>
      <c r="B364" t="s">
        <v>52</v>
      </c>
    </row>
    <row r="365" spans="1:2" x14ac:dyDescent="0.25">
      <c r="A365" s="1">
        <v>0.33623579861111108</v>
      </c>
      <c r="B365" t="s">
        <v>53</v>
      </c>
    </row>
    <row r="366" spans="1:2" x14ac:dyDescent="0.25">
      <c r="A366" s="1">
        <v>0.33623562499999998</v>
      </c>
      <c r="B366" t="s">
        <v>53</v>
      </c>
    </row>
    <row r="367" spans="1:2" x14ac:dyDescent="0.25">
      <c r="A367" s="1">
        <v>0.33623472222222223</v>
      </c>
      <c r="B367" t="s">
        <v>51</v>
      </c>
    </row>
    <row r="368" spans="1:2" x14ac:dyDescent="0.25">
      <c r="A368" s="1">
        <v>0.33623450231481483</v>
      </c>
      <c r="B368" t="s">
        <v>52</v>
      </c>
    </row>
    <row r="369" spans="1:2" x14ac:dyDescent="0.25">
      <c r="A369" s="1">
        <v>0.33623072916666663</v>
      </c>
      <c r="B369" t="s">
        <v>53</v>
      </c>
    </row>
    <row r="370" spans="1:2" x14ac:dyDescent="0.25">
      <c r="A370" s="1">
        <v>0.33623001157407412</v>
      </c>
      <c r="B370" t="s">
        <v>53</v>
      </c>
    </row>
    <row r="371" spans="1:2" x14ac:dyDescent="0.25">
      <c r="A371" s="1">
        <v>0.33622909722222222</v>
      </c>
      <c r="B371" t="s">
        <v>52</v>
      </c>
    </row>
    <row r="372" spans="1:2" x14ac:dyDescent="0.25">
      <c r="A372" s="1">
        <v>0.33622725694444444</v>
      </c>
      <c r="B372" t="s">
        <v>53</v>
      </c>
    </row>
    <row r="373" spans="1:2" x14ac:dyDescent="0.25">
      <c r="A373" s="1">
        <v>0.33622575231481483</v>
      </c>
      <c r="B373" t="s">
        <v>52</v>
      </c>
    </row>
    <row r="374" spans="1:2" x14ac:dyDescent="0.25">
      <c r="A374" s="1">
        <v>0.33622347222222221</v>
      </c>
      <c r="B374" t="s">
        <v>52</v>
      </c>
    </row>
    <row r="375" spans="1:2" x14ac:dyDescent="0.25">
      <c r="A375" s="1">
        <v>0.33622122685185185</v>
      </c>
      <c r="B375" t="s">
        <v>51</v>
      </c>
    </row>
    <row r="376" spans="1:2" x14ac:dyDescent="0.25">
      <c r="A376" s="1">
        <v>0.3362205324074074</v>
      </c>
      <c r="B376" t="s">
        <v>51</v>
      </c>
    </row>
    <row r="377" spans="1:2" x14ac:dyDescent="0.25">
      <c r="A377" s="1">
        <v>0.33621800925925927</v>
      </c>
      <c r="B377" t="s">
        <v>53</v>
      </c>
    </row>
    <row r="378" spans="1:2" x14ac:dyDescent="0.25">
      <c r="A378" s="1">
        <v>0.33621799768518518</v>
      </c>
      <c r="B378" t="s">
        <v>53</v>
      </c>
    </row>
    <row r="379" spans="1:2" x14ac:dyDescent="0.25">
      <c r="A379" s="1">
        <v>0.3362176273148148</v>
      </c>
      <c r="B379" t="s">
        <v>51</v>
      </c>
    </row>
    <row r="380" spans="1:2" x14ac:dyDescent="0.25">
      <c r="A380" s="1">
        <v>0.336217025462963</v>
      </c>
      <c r="B380" t="s">
        <v>52</v>
      </c>
    </row>
    <row r="381" spans="1:2" x14ac:dyDescent="0.25">
      <c r="A381" s="1">
        <v>0.33621402777777781</v>
      </c>
      <c r="B381" t="s">
        <v>53</v>
      </c>
    </row>
    <row r="382" spans="1:2" x14ac:dyDescent="0.25">
      <c r="A382" s="1">
        <v>0.3362090509259259</v>
      </c>
      <c r="B382" t="s">
        <v>52</v>
      </c>
    </row>
    <row r="383" spans="1:2" x14ac:dyDescent="0.25">
      <c r="A383" s="1">
        <v>0.33620784722222224</v>
      </c>
      <c r="B383" t="s">
        <v>51</v>
      </c>
    </row>
    <row r="384" spans="1:2" x14ac:dyDescent="0.25">
      <c r="A384" s="1">
        <v>0.33620634259259258</v>
      </c>
      <c r="B384" t="s">
        <v>51</v>
      </c>
    </row>
    <row r="385" spans="1:2" x14ac:dyDescent="0.25">
      <c r="A385" s="1">
        <v>0.33620254629629631</v>
      </c>
      <c r="B385" t="s">
        <v>51</v>
      </c>
    </row>
    <row r="386" spans="1:2" x14ac:dyDescent="0.25">
      <c r="A386" s="1">
        <v>0.33620008101851856</v>
      </c>
      <c r="B386" t="s">
        <v>52</v>
      </c>
    </row>
    <row r="387" spans="1:2" x14ac:dyDescent="0.25">
      <c r="A387" s="1">
        <v>0.33619664351851847</v>
      </c>
      <c r="B387" t="s">
        <v>52</v>
      </c>
    </row>
    <row r="388" spans="1:2" x14ac:dyDescent="0.25">
      <c r="A388" s="1">
        <v>0.33619356481481483</v>
      </c>
      <c r="B388" t="s">
        <v>53</v>
      </c>
    </row>
    <row r="389" spans="1:2" x14ac:dyDescent="0.25">
      <c r="A389" s="1">
        <v>0.33619331018518522</v>
      </c>
      <c r="B389" t="s">
        <v>53</v>
      </c>
    </row>
    <row r="390" spans="1:2" x14ac:dyDescent="0.25">
      <c r="A390" s="1">
        <v>0.33618574074074076</v>
      </c>
      <c r="B390" t="s">
        <v>53</v>
      </c>
    </row>
    <row r="391" spans="1:2" x14ac:dyDescent="0.25">
      <c r="A391" s="1">
        <v>0.33618027777777781</v>
      </c>
      <c r="B391" t="s">
        <v>52</v>
      </c>
    </row>
    <row r="392" spans="1:2" x14ac:dyDescent="0.25">
      <c r="A392" s="1">
        <v>0.33617604166666665</v>
      </c>
      <c r="B392" t="s">
        <v>53</v>
      </c>
    </row>
    <row r="393" spans="1:2" x14ac:dyDescent="0.25">
      <c r="A393" s="1">
        <v>0.33617509259259259</v>
      </c>
      <c r="B393" t="s">
        <v>53</v>
      </c>
    </row>
    <row r="394" spans="1:2" x14ac:dyDescent="0.25">
      <c r="A394" s="1">
        <v>0.33617476851851852</v>
      </c>
      <c r="B394" t="s">
        <v>51</v>
      </c>
    </row>
    <row r="395" spans="1:2" x14ac:dyDescent="0.25">
      <c r="A395" s="1">
        <v>0.33617459490740736</v>
      </c>
      <c r="B395" t="s">
        <v>53</v>
      </c>
    </row>
    <row r="396" spans="1:2" x14ac:dyDescent="0.25">
      <c r="A396" s="1">
        <v>0.33617408564814816</v>
      </c>
      <c r="B396" t="s">
        <v>52</v>
      </c>
    </row>
    <row r="397" spans="1:2" x14ac:dyDescent="0.25">
      <c r="A397" s="1">
        <v>0.33617388888888894</v>
      </c>
      <c r="B397" t="s">
        <v>51</v>
      </c>
    </row>
    <row r="398" spans="1:2" x14ac:dyDescent="0.25">
      <c r="A398" s="1">
        <v>0.3361734027777778</v>
      </c>
      <c r="B398" t="s">
        <v>52</v>
      </c>
    </row>
    <row r="399" spans="1:2" x14ac:dyDescent="0.25">
      <c r="A399" s="1">
        <v>0.33617167824074073</v>
      </c>
      <c r="B399" t="s">
        <v>51</v>
      </c>
    </row>
    <row r="400" spans="1:2" x14ac:dyDescent="0.25">
      <c r="A400" s="1">
        <v>0.33616913194444442</v>
      </c>
      <c r="B400" t="s">
        <v>53</v>
      </c>
    </row>
    <row r="401" spans="1:2" x14ac:dyDescent="0.25">
      <c r="A401" s="1">
        <v>0.33616744212962962</v>
      </c>
      <c r="B401" t="s">
        <v>52</v>
      </c>
    </row>
    <row r="402" spans="1:2" x14ac:dyDescent="0.25">
      <c r="A402" s="1">
        <v>0.33616420138888886</v>
      </c>
      <c r="B402" t="s">
        <v>53</v>
      </c>
    </row>
    <row r="403" spans="1:2" x14ac:dyDescent="0.25">
      <c r="A403" s="1">
        <v>0.33615283564814818</v>
      </c>
      <c r="B403" t="s">
        <v>51</v>
      </c>
    </row>
    <row r="404" spans="1:2" x14ac:dyDescent="0.25">
      <c r="A404" s="1">
        <v>0.33614916666666667</v>
      </c>
      <c r="B404" t="s">
        <v>52</v>
      </c>
    </row>
    <row r="405" spans="1:2" x14ac:dyDescent="0.25">
      <c r="A405" s="1">
        <v>0.3361459722222222</v>
      </c>
      <c r="B405" t="s">
        <v>52</v>
      </c>
    </row>
    <row r="406" spans="1:2" x14ac:dyDescent="0.25">
      <c r="A406" s="1">
        <v>0.33614412037037034</v>
      </c>
      <c r="B406" t="s">
        <v>51</v>
      </c>
    </row>
    <row r="407" spans="1:2" x14ac:dyDescent="0.25">
      <c r="A407" s="1">
        <v>0.33614381944444444</v>
      </c>
      <c r="B407" t="s">
        <v>53</v>
      </c>
    </row>
    <row r="408" spans="1:2" x14ac:dyDescent="0.25">
      <c r="A408" s="1">
        <v>0.33614273148148149</v>
      </c>
      <c r="B408" t="s">
        <v>51</v>
      </c>
    </row>
    <row r="409" spans="1:2" x14ac:dyDescent="0.25">
      <c r="A409" s="1">
        <v>0.33613907407407412</v>
      </c>
      <c r="B409" t="s">
        <v>53</v>
      </c>
    </row>
    <row r="410" spans="1:2" x14ac:dyDescent="0.25">
      <c r="A410" s="1">
        <v>0.33613659722222228</v>
      </c>
      <c r="B410" t="s">
        <v>52</v>
      </c>
    </row>
    <row r="411" spans="1:2" x14ac:dyDescent="0.25">
      <c r="A411" s="1">
        <v>0.33612666666666668</v>
      </c>
      <c r="B411" t="s">
        <v>51</v>
      </c>
    </row>
    <row r="412" spans="1:2" x14ac:dyDescent="0.25">
      <c r="A412" s="1">
        <v>0.3361237037037037</v>
      </c>
      <c r="B412" t="s">
        <v>52</v>
      </c>
    </row>
    <row r="413" spans="1:2" x14ac:dyDescent="0.25">
      <c r="A413" s="1">
        <v>0.33612364583333337</v>
      </c>
      <c r="B413" t="s">
        <v>53</v>
      </c>
    </row>
    <row r="414" spans="1:2" x14ac:dyDescent="0.25">
      <c r="A414" s="1">
        <v>0.33612214120370371</v>
      </c>
      <c r="B414" t="s">
        <v>52</v>
      </c>
    </row>
    <row r="415" spans="1:2" x14ac:dyDescent="0.25">
      <c r="A415" s="1">
        <v>0.33612195601851852</v>
      </c>
      <c r="B415" t="s">
        <v>52</v>
      </c>
    </row>
    <row r="416" spans="1:2" x14ac:dyDescent="0.25">
      <c r="A416" s="1">
        <v>0.33612030092592593</v>
      </c>
      <c r="B416" t="s">
        <v>51</v>
      </c>
    </row>
    <row r="417" spans="1:2" x14ac:dyDescent="0.25">
      <c r="A417" s="1">
        <v>0.33611780092592597</v>
      </c>
      <c r="B417" t="s">
        <v>51</v>
      </c>
    </row>
    <row r="418" spans="1:2" x14ac:dyDescent="0.25">
      <c r="A418" s="1">
        <v>0.33611649305555558</v>
      </c>
      <c r="B418" t="s">
        <v>51</v>
      </c>
    </row>
    <row r="419" spans="1:2" x14ac:dyDescent="0.25">
      <c r="A419" s="1">
        <v>0.33611562499999997</v>
      </c>
      <c r="B419" t="s">
        <v>52</v>
      </c>
    </row>
    <row r="420" spans="1:2" x14ac:dyDescent="0.25">
      <c r="A420" s="1">
        <v>0.33611552083333335</v>
      </c>
      <c r="B420" t="s">
        <v>51</v>
      </c>
    </row>
    <row r="421" spans="1:2" x14ac:dyDescent="0.25">
      <c r="A421" s="1">
        <v>0.33611306712962968</v>
      </c>
      <c r="B421" t="s">
        <v>51</v>
      </c>
    </row>
    <row r="422" spans="1:2" x14ac:dyDescent="0.25">
      <c r="A422" s="1">
        <v>0.3361120949074074</v>
      </c>
      <c r="B422" t="s">
        <v>51</v>
      </c>
    </row>
    <row r="423" spans="1:2" x14ac:dyDescent="0.25">
      <c r="A423" s="1">
        <v>0.33611153935185184</v>
      </c>
      <c r="B423" t="s">
        <v>52</v>
      </c>
    </row>
    <row r="424" spans="1:2" x14ac:dyDescent="0.25">
      <c r="A424" s="1">
        <v>0.33611023148148145</v>
      </c>
      <c r="B424" t="s">
        <v>53</v>
      </c>
    </row>
    <row r="425" spans="1:2" x14ac:dyDescent="0.25">
      <c r="A425" s="1">
        <v>0.33610988425925931</v>
      </c>
      <c r="B425" t="s">
        <v>53</v>
      </c>
    </row>
    <row r="426" spans="1:2" x14ac:dyDescent="0.25">
      <c r="A426" s="1">
        <v>0.33610509259259258</v>
      </c>
      <c r="B426" t="s">
        <v>53</v>
      </c>
    </row>
    <row r="427" spans="1:2" x14ac:dyDescent="0.25">
      <c r="A427" s="1">
        <v>0.33610501157407408</v>
      </c>
      <c r="B427" t="s">
        <v>53</v>
      </c>
    </row>
    <row r="428" spans="1:2" x14ac:dyDescent="0.25">
      <c r="A428" s="1">
        <v>0.33610422453703709</v>
      </c>
      <c r="B428" t="s">
        <v>51</v>
      </c>
    </row>
    <row r="429" spans="1:2" x14ac:dyDescent="0.25">
      <c r="A429" s="1">
        <v>0.33610314814814818</v>
      </c>
      <c r="B429" t="s">
        <v>51</v>
      </c>
    </row>
    <row r="430" spans="1:2" x14ac:dyDescent="0.25">
      <c r="A430" s="1">
        <v>0.33609849537037034</v>
      </c>
      <c r="B430" t="s">
        <v>52</v>
      </c>
    </row>
    <row r="431" spans="1:2" x14ac:dyDescent="0.25">
      <c r="A431" s="1">
        <v>0.33609708333333338</v>
      </c>
      <c r="B431" t="s">
        <v>53</v>
      </c>
    </row>
    <row r="432" spans="1:2" x14ac:dyDescent="0.25">
      <c r="A432" s="1">
        <v>0.33609414351851852</v>
      </c>
      <c r="B432" t="s">
        <v>52</v>
      </c>
    </row>
    <row r="433" spans="1:2" x14ac:dyDescent="0.25">
      <c r="A433" s="1">
        <v>0.33609278935185188</v>
      </c>
      <c r="B433" t="s">
        <v>53</v>
      </c>
    </row>
    <row r="434" spans="1:2" x14ac:dyDescent="0.25">
      <c r="A434" s="1">
        <v>0.33609236111111113</v>
      </c>
      <c r="B434" t="s">
        <v>53</v>
      </c>
    </row>
    <row r="435" spans="1:2" x14ac:dyDescent="0.25">
      <c r="A435" s="1">
        <v>0.33609188657407407</v>
      </c>
      <c r="B435" t="s">
        <v>53</v>
      </c>
    </row>
    <row r="436" spans="1:2" x14ac:dyDescent="0.25">
      <c r="A436" s="1">
        <v>0.33609178240740739</v>
      </c>
      <c r="B436" t="s">
        <v>51</v>
      </c>
    </row>
    <row r="437" spans="1:2" x14ac:dyDescent="0.25">
      <c r="A437" s="1">
        <v>0.33609171296296297</v>
      </c>
      <c r="B437" t="s">
        <v>51</v>
      </c>
    </row>
    <row r="438" spans="1:2" x14ac:dyDescent="0.25">
      <c r="A438" s="1">
        <v>0.3360910416666667</v>
      </c>
      <c r="B438" t="s">
        <v>51</v>
      </c>
    </row>
    <row r="439" spans="1:2" x14ac:dyDescent="0.25">
      <c r="A439" s="1">
        <v>0.33608994212962967</v>
      </c>
      <c r="B439" t="s">
        <v>52</v>
      </c>
    </row>
    <row r="440" spans="1:2" x14ac:dyDescent="0.25">
      <c r="A440" s="1">
        <v>0.3360884375</v>
      </c>
      <c r="B440" t="s">
        <v>52</v>
      </c>
    </row>
    <row r="441" spans="1:2" x14ac:dyDescent="0.25">
      <c r="A441" s="1">
        <v>0.33608049768518522</v>
      </c>
      <c r="B441" t="s">
        <v>53</v>
      </c>
    </row>
    <row r="442" spans="1:2" x14ac:dyDescent="0.25">
      <c r="A442" s="1">
        <v>0.33607922453703704</v>
      </c>
      <c r="B442" t="s">
        <v>52</v>
      </c>
    </row>
    <row r="443" spans="1:2" x14ac:dyDescent="0.25">
      <c r="A443" s="1">
        <v>0.33607759259259257</v>
      </c>
      <c r="B443" t="s">
        <v>53</v>
      </c>
    </row>
    <row r="444" spans="1:2" x14ac:dyDescent="0.25">
      <c r="A444" s="1">
        <v>0.33607606481481483</v>
      </c>
      <c r="B444" t="s">
        <v>52</v>
      </c>
    </row>
    <row r="445" spans="1:2" x14ac:dyDescent="0.25">
      <c r="A445" s="1">
        <v>0.33607557870370369</v>
      </c>
      <c r="B445" t="s">
        <v>51</v>
      </c>
    </row>
    <row r="446" spans="1:2" x14ac:dyDescent="0.25">
      <c r="A446" s="1">
        <v>0.3360740509259259</v>
      </c>
      <c r="B446" t="s">
        <v>53</v>
      </c>
    </row>
    <row r="447" spans="1:2" x14ac:dyDescent="0.25">
      <c r="A447" s="1">
        <v>0.33607273148148148</v>
      </c>
      <c r="B447" t="s">
        <v>51</v>
      </c>
    </row>
    <row r="448" spans="1:2" x14ac:dyDescent="0.25">
      <c r="A448" s="1">
        <v>0.33607178240740737</v>
      </c>
      <c r="B448" t="s">
        <v>51</v>
      </c>
    </row>
    <row r="449" spans="1:2" x14ac:dyDescent="0.25">
      <c r="A449" s="1">
        <v>0.33606888888888892</v>
      </c>
      <c r="B449" t="s">
        <v>52</v>
      </c>
    </row>
    <row r="450" spans="1:2" x14ac:dyDescent="0.25">
      <c r="A450" s="1">
        <v>0.33606733796296301</v>
      </c>
      <c r="B450" t="s">
        <v>52</v>
      </c>
    </row>
    <row r="451" spans="1:2" x14ac:dyDescent="0.25">
      <c r="A451" s="1">
        <v>0.33606532407407408</v>
      </c>
      <c r="B451" t="s">
        <v>53</v>
      </c>
    </row>
    <row r="452" spans="1:2" x14ac:dyDescent="0.25">
      <c r="A452" s="1">
        <v>0.33606442129629627</v>
      </c>
      <c r="B452" t="s">
        <v>53</v>
      </c>
    </row>
    <row r="453" spans="1:2" x14ac:dyDescent="0.25">
      <c r="A453" s="1">
        <v>0.3360625694444444</v>
      </c>
      <c r="B453" t="s">
        <v>51</v>
      </c>
    </row>
    <row r="454" spans="1:2" x14ac:dyDescent="0.25">
      <c r="A454" s="1">
        <v>0.3360625694444444</v>
      </c>
      <c r="B454" t="s">
        <v>53</v>
      </c>
    </row>
    <row r="455" spans="1:2" x14ac:dyDescent="0.25">
      <c r="A455" s="1">
        <v>0.33606122685185186</v>
      </c>
      <c r="B455" t="s">
        <v>52</v>
      </c>
    </row>
    <row r="456" spans="1:2" x14ac:dyDescent="0.25">
      <c r="A456" s="1">
        <v>0.33605818287037037</v>
      </c>
      <c r="B456" t="s">
        <v>52</v>
      </c>
    </row>
    <row r="457" spans="1:2" x14ac:dyDescent="0.25">
      <c r="A457" s="1">
        <v>0.33605688657407407</v>
      </c>
      <c r="B457" t="s">
        <v>53</v>
      </c>
    </row>
    <row r="458" spans="1:2" x14ac:dyDescent="0.25">
      <c r="A458" s="1">
        <v>0.33605685185185186</v>
      </c>
      <c r="B458" t="s">
        <v>52</v>
      </c>
    </row>
    <row r="459" spans="1:2" x14ac:dyDescent="0.25">
      <c r="A459" s="1">
        <v>0.33605420138888892</v>
      </c>
      <c r="B459" t="s">
        <v>53</v>
      </c>
    </row>
    <row r="460" spans="1:2" x14ac:dyDescent="0.25">
      <c r="A460" s="1">
        <v>0.33605136574074074</v>
      </c>
      <c r="B460" t="s">
        <v>51</v>
      </c>
    </row>
    <row r="461" spans="1:2" x14ac:dyDescent="0.25">
      <c r="A461" s="1">
        <v>0.3360500115740741</v>
      </c>
      <c r="B461" t="s">
        <v>52</v>
      </c>
    </row>
    <row r="462" spans="1:2" x14ac:dyDescent="0.25">
      <c r="A462" s="1">
        <v>0.33604988425925925</v>
      </c>
      <c r="B462" t="s">
        <v>51</v>
      </c>
    </row>
    <row r="463" spans="1:2" x14ac:dyDescent="0.25">
      <c r="A463" s="1">
        <v>0.33604651620370368</v>
      </c>
      <c r="B463" t="s">
        <v>51</v>
      </c>
    </row>
    <row r="464" spans="1:2" x14ac:dyDescent="0.25">
      <c r="A464" s="1">
        <v>0.33604107638888886</v>
      </c>
      <c r="B464" t="s">
        <v>52</v>
      </c>
    </row>
    <row r="465" spans="1:2" x14ac:dyDescent="0.25">
      <c r="A465" s="1">
        <v>0.33603954861111113</v>
      </c>
      <c r="B465" t="s">
        <v>52</v>
      </c>
    </row>
    <row r="466" spans="1:2" x14ac:dyDescent="0.25">
      <c r="A466" s="1">
        <v>0.33603836805555559</v>
      </c>
      <c r="B466" t="s">
        <v>52</v>
      </c>
    </row>
    <row r="467" spans="1:2" x14ac:dyDescent="0.25">
      <c r="A467" s="1">
        <v>0.3360377430555555</v>
      </c>
      <c r="B467" t="s">
        <v>53</v>
      </c>
    </row>
    <row r="468" spans="1:2" x14ac:dyDescent="0.25">
      <c r="A468" s="1">
        <v>0.33603563657407404</v>
      </c>
      <c r="B468" t="s">
        <v>51</v>
      </c>
    </row>
    <row r="469" spans="1:2" x14ac:dyDescent="0.25">
      <c r="A469" s="1">
        <v>0.3360340277777778</v>
      </c>
      <c r="B469" t="s">
        <v>51</v>
      </c>
    </row>
    <row r="470" spans="1:2" x14ac:dyDescent="0.25">
      <c r="A470" s="1">
        <v>0.33603200231481484</v>
      </c>
      <c r="B470" t="s">
        <v>53</v>
      </c>
    </row>
    <row r="471" spans="1:2" x14ac:dyDescent="0.25">
      <c r="A471" s="1">
        <v>0.33603067129629632</v>
      </c>
      <c r="B471" t="s">
        <v>51</v>
      </c>
    </row>
    <row r="472" spans="1:2" x14ac:dyDescent="0.25">
      <c r="A472" s="1">
        <v>0.33602984953703707</v>
      </c>
      <c r="B472" t="s">
        <v>51</v>
      </c>
    </row>
    <row r="473" spans="1:2" x14ac:dyDescent="0.25">
      <c r="A473" s="1">
        <v>0.33602672453703702</v>
      </c>
      <c r="B473" t="s">
        <v>53</v>
      </c>
    </row>
    <row r="474" spans="1:2" x14ac:dyDescent="0.25">
      <c r="A474" s="1">
        <v>0.3360254861111111</v>
      </c>
      <c r="B474" t="s">
        <v>53</v>
      </c>
    </row>
    <row r="475" spans="1:2" x14ac:dyDescent="0.25">
      <c r="A475" s="1">
        <v>0.33602334490740743</v>
      </c>
      <c r="B475" t="s">
        <v>53</v>
      </c>
    </row>
    <row r="476" spans="1:2" x14ac:dyDescent="0.25">
      <c r="A476" s="1">
        <v>0.33602256944444447</v>
      </c>
      <c r="B476" t="s">
        <v>52</v>
      </c>
    </row>
    <row r="477" spans="1:2" x14ac:dyDescent="0.25">
      <c r="A477" s="1">
        <v>0.33602009259259263</v>
      </c>
      <c r="B477" t="s">
        <v>52</v>
      </c>
    </row>
    <row r="478" spans="1:2" x14ac:dyDescent="0.25">
      <c r="A478" s="1">
        <v>0.33601763888888891</v>
      </c>
      <c r="B478" t="s">
        <v>52</v>
      </c>
    </row>
    <row r="479" spans="1:2" x14ac:dyDescent="0.25">
      <c r="A479" s="1">
        <v>0.33601646990740736</v>
      </c>
      <c r="B479" t="s">
        <v>53</v>
      </c>
    </row>
    <row r="480" spans="1:2" x14ac:dyDescent="0.25">
      <c r="A480" s="1">
        <v>0.33601609953703698</v>
      </c>
      <c r="B480" t="s">
        <v>52</v>
      </c>
    </row>
    <row r="481" spans="1:2" x14ac:dyDescent="0.25">
      <c r="A481" s="1">
        <v>0.33601486111111112</v>
      </c>
      <c r="B481" t="s">
        <v>51</v>
      </c>
    </row>
    <row r="482" spans="1:2" x14ac:dyDescent="0.25">
      <c r="A482" s="1">
        <v>0.33601209490740741</v>
      </c>
      <c r="B482" t="s">
        <v>51</v>
      </c>
    </row>
    <row r="483" spans="1:2" x14ac:dyDescent="0.25">
      <c r="A483" s="1">
        <v>0.33601056712962962</v>
      </c>
      <c r="B483" t="s">
        <v>52</v>
      </c>
    </row>
    <row r="484" spans="1:2" x14ac:dyDescent="0.25">
      <c r="A484" s="1">
        <v>0.33600737268518516</v>
      </c>
      <c r="B484" t="s">
        <v>51</v>
      </c>
    </row>
    <row r="485" spans="1:2" x14ac:dyDescent="0.25">
      <c r="A485" s="1">
        <v>0.33600697916666666</v>
      </c>
      <c r="B485" t="s">
        <v>52</v>
      </c>
    </row>
    <row r="486" spans="1:2" x14ac:dyDescent="0.25">
      <c r="A486" s="1">
        <v>0.33600379629629629</v>
      </c>
      <c r="B486" t="s">
        <v>51</v>
      </c>
    </row>
    <row r="487" spans="1:2" x14ac:dyDescent="0.25">
      <c r="A487" s="1">
        <v>0.33599828703703705</v>
      </c>
      <c r="B487" t="s">
        <v>51</v>
      </c>
    </row>
    <row r="488" spans="1:2" x14ac:dyDescent="0.25">
      <c r="A488" s="1">
        <v>0.3359975</v>
      </c>
      <c r="B488" t="s">
        <v>51</v>
      </c>
    </row>
    <row r="489" spans="1:2" x14ac:dyDescent="0.25">
      <c r="A489" s="1">
        <v>0.33599684027777776</v>
      </c>
      <c r="B489" t="s">
        <v>51</v>
      </c>
    </row>
    <row r="490" spans="1:2" x14ac:dyDescent="0.25">
      <c r="A490" s="1">
        <v>0.3359949884259259</v>
      </c>
      <c r="B490" t="s">
        <v>52</v>
      </c>
    </row>
    <row r="491" spans="1:2" x14ac:dyDescent="0.25">
      <c r="A491" s="1">
        <v>0.3359945601851852</v>
      </c>
      <c r="B491" t="s">
        <v>53</v>
      </c>
    </row>
    <row r="492" spans="1:2" x14ac:dyDescent="0.25">
      <c r="A492" s="1">
        <v>0.33599449074074078</v>
      </c>
      <c r="B492" t="s">
        <v>53</v>
      </c>
    </row>
    <row r="493" spans="1:2" x14ac:dyDescent="0.25">
      <c r="A493" s="1">
        <v>0.33599156250000001</v>
      </c>
      <c r="B493" t="s">
        <v>53</v>
      </c>
    </row>
    <row r="494" spans="1:2" x14ac:dyDescent="0.25">
      <c r="A494" s="1">
        <v>0.33599121527777775</v>
      </c>
      <c r="B494" t="s">
        <v>53</v>
      </c>
    </row>
    <row r="495" spans="1:2" x14ac:dyDescent="0.25">
      <c r="A495" s="1">
        <v>0.33598920138888894</v>
      </c>
      <c r="B495" t="s">
        <v>52</v>
      </c>
    </row>
    <row r="496" spans="1:2" x14ac:dyDescent="0.25">
      <c r="A496" s="1">
        <v>0.33598842592592587</v>
      </c>
      <c r="B496" t="s">
        <v>52</v>
      </c>
    </row>
    <row r="497" spans="1:2" x14ac:dyDescent="0.25">
      <c r="A497" s="1">
        <v>0.33598659722222224</v>
      </c>
      <c r="B497" t="s">
        <v>51</v>
      </c>
    </row>
    <row r="498" spans="1:2" x14ac:dyDescent="0.25">
      <c r="A498" s="1">
        <v>0.33598224537037041</v>
      </c>
      <c r="B498" t="s">
        <v>51</v>
      </c>
    </row>
    <row r="499" spans="1:2" x14ac:dyDescent="0.25">
      <c r="A499" s="1">
        <v>0.33597998842592597</v>
      </c>
      <c r="B499" t="s">
        <v>51</v>
      </c>
    </row>
    <row r="500" spans="1:2" x14ac:dyDescent="0.25">
      <c r="A500" s="1">
        <v>0.33597729166666662</v>
      </c>
      <c r="B500" t="s">
        <v>53</v>
      </c>
    </row>
    <row r="501" spans="1:2" x14ac:dyDescent="0.25">
      <c r="A501" s="1">
        <v>0.33597712962962961</v>
      </c>
      <c r="B501" t="s">
        <v>52</v>
      </c>
    </row>
    <row r="502" spans="1:2" x14ac:dyDescent="0.25">
      <c r="A502" s="1">
        <v>0.33597665509259261</v>
      </c>
      <c r="B502" t="s">
        <v>52</v>
      </c>
    </row>
    <row r="503" spans="1:2" x14ac:dyDescent="0.25">
      <c r="A503" s="1">
        <v>0.33597202546296295</v>
      </c>
      <c r="B503" t="s">
        <v>52</v>
      </c>
    </row>
    <row r="504" spans="1:2" x14ac:dyDescent="0.25">
      <c r="A504" s="1">
        <v>0.33596975694444442</v>
      </c>
      <c r="B504" t="s">
        <v>52</v>
      </c>
    </row>
    <row r="505" spans="1:2" x14ac:dyDescent="0.25">
      <c r="A505" s="1">
        <v>0.33596938657407405</v>
      </c>
      <c r="B505" t="s">
        <v>52</v>
      </c>
    </row>
    <row r="506" spans="1:2" x14ac:dyDescent="0.25">
      <c r="A506" s="1">
        <v>0.33596851851851856</v>
      </c>
      <c r="B506" t="s">
        <v>52</v>
      </c>
    </row>
    <row r="507" spans="1:2" x14ac:dyDescent="0.25">
      <c r="A507" s="1">
        <v>0.33596763888888886</v>
      </c>
      <c r="B507" t="s">
        <v>51</v>
      </c>
    </row>
    <row r="508" spans="1:2" x14ac:dyDescent="0.25">
      <c r="A508" s="1">
        <v>0.33596621527777781</v>
      </c>
      <c r="B508" t="s">
        <v>53</v>
      </c>
    </row>
    <row r="509" spans="1:2" x14ac:dyDescent="0.25">
      <c r="A509" s="1">
        <v>0.33596516203703702</v>
      </c>
      <c r="B509" t="s">
        <v>52</v>
      </c>
    </row>
    <row r="510" spans="1:2" x14ac:dyDescent="0.25">
      <c r="A510" s="1">
        <v>0.33596376157407404</v>
      </c>
      <c r="B510" t="s">
        <v>53</v>
      </c>
    </row>
    <row r="511" spans="1:2" x14ac:dyDescent="0.25">
      <c r="A511" s="1">
        <v>0.33596374999999995</v>
      </c>
      <c r="B511" t="s">
        <v>53</v>
      </c>
    </row>
    <row r="512" spans="1:2" x14ac:dyDescent="0.25">
      <c r="A512" s="1">
        <v>0.33596069444444443</v>
      </c>
      <c r="B512" t="s">
        <v>51</v>
      </c>
    </row>
    <row r="513" spans="1:2" x14ac:dyDescent="0.25">
      <c r="A513" s="1">
        <v>0.33595896990740742</v>
      </c>
      <c r="B513" t="s">
        <v>53</v>
      </c>
    </row>
    <row r="514" spans="1:2" x14ac:dyDescent="0.25">
      <c r="A514" s="1">
        <v>0.33595796296296299</v>
      </c>
      <c r="B514" t="s">
        <v>53</v>
      </c>
    </row>
    <row r="515" spans="1:2" x14ac:dyDescent="0.25">
      <c r="A515" s="1">
        <v>0.33595596064814814</v>
      </c>
      <c r="B515" t="s">
        <v>53</v>
      </c>
    </row>
    <row r="516" spans="1:2" x14ac:dyDescent="0.25">
      <c r="A516" s="1">
        <v>0.33595568287037042</v>
      </c>
      <c r="B516" t="s">
        <v>51</v>
      </c>
    </row>
    <row r="517" spans="1:2" x14ac:dyDescent="0.25">
      <c r="A517" s="1">
        <v>0.3359552662037037</v>
      </c>
      <c r="B517" t="s">
        <v>53</v>
      </c>
    </row>
    <row r="518" spans="1:2" x14ac:dyDescent="0.25">
      <c r="A518" s="1">
        <v>0.33595445601851853</v>
      </c>
      <c r="B518" t="s">
        <v>53</v>
      </c>
    </row>
    <row r="519" spans="1:2" x14ac:dyDescent="0.25">
      <c r="A519" s="1">
        <v>0.33595398148148153</v>
      </c>
      <c r="B519" t="s">
        <v>51</v>
      </c>
    </row>
    <row r="520" spans="1:2" x14ac:dyDescent="0.25">
      <c r="A520" s="1">
        <v>0.33595185185185183</v>
      </c>
      <c r="B520" t="s">
        <v>53</v>
      </c>
    </row>
    <row r="521" spans="1:2" x14ac:dyDescent="0.25">
      <c r="A521" s="1">
        <v>0.33595168981481477</v>
      </c>
      <c r="B521" t="s">
        <v>52</v>
      </c>
    </row>
    <row r="522" spans="1:2" x14ac:dyDescent="0.25">
      <c r="A522" s="1">
        <v>0.33595124999999998</v>
      </c>
      <c r="B522" t="s">
        <v>52</v>
      </c>
    </row>
    <row r="523" spans="1:2" x14ac:dyDescent="0.25">
      <c r="A523" s="1">
        <v>0.33595083333333337</v>
      </c>
      <c r="B523" t="s">
        <v>53</v>
      </c>
    </row>
    <row r="524" spans="1:2" x14ac:dyDescent="0.25">
      <c r="A524" s="1">
        <v>0.33595025462962963</v>
      </c>
      <c r="B524" t="s">
        <v>53</v>
      </c>
    </row>
    <row r="525" spans="1:2" x14ac:dyDescent="0.25">
      <c r="A525" s="1">
        <v>0.33594663194444446</v>
      </c>
      <c r="B525" t="s">
        <v>53</v>
      </c>
    </row>
    <row r="526" spans="1:2" x14ac:dyDescent="0.25">
      <c r="A526" s="1">
        <v>0.3359461226851852</v>
      </c>
      <c r="B526" t="s">
        <v>53</v>
      </c>
    </row>
    <row r="527" spans="1:2" x14ac:dyDescent="0.25">
      <c r="A527" s="1">
        <v>0.33594196759259259</v>
      </c>
      <c r="B527" t="s">
        <v>52</v>
      </c>
    </row>
    <row r="528" spans="1:2" x14ac:dyDescent="0.25">
      <c r="A528" s="1">
        <v>0.33593585648148144</v>
      </c>
      <c r="B528" t="s">
        <v>52</v>
      </c>
    </row>
    <row r="529" spans="1:2" x14ac:dyDescent="0.25">
      <c r="A529" s="1">
        <v>0.33593120370370372</v>
      </c>
      <c r="B529" t="s">
        <v>53</v>
      </c>
    </row>
    <row r="530" spans="1:2" x14ac:dyDescent="0.25">
      <c r="A530" s="1">
        <v>0.3359310069444445</v>
      </c>
      <c r="B530" t="s">
        <v>53</v>
      </c>
    </row>
    <row r="531" spans="1:2" x14ac:dyDescent="0.25">
      <c r="A531" s="1">
        <v>0.33592543981481482</v>
      </c>
      <c r="B531" t="s">
        <v>52</v>
      </c>
    </row>
    <row r="532" spans="1:2" x14ac:dyDescent="0.25">
      <c r="A532" s="1">
        <v>0.33592474537037037</v>
      </c>
      <c r="B532" t="s">
        <v>51</v>
      </c>
    </row>
    <row r="533" spans="1:2" x14ac:dyDescent="0.25">
      <c r="A533" s="1">
        <v>0.33592251157407405</v>
      </c>
      <c r="B533" t="s">
        <v>53</v>
      </c>
    </row>
    <row r="534" spans="1:2" x14ac:dyDescent="0.25">
      <c r="A534" s="1">
        <v>0.33592223379629632</v>
      </c>
      <c r="B534" t="s">
        <v>53</v>
      </c>
    </row>
    <row r="535" spans="1:2" x14ac:dyDescent="0.25">
      <c r="A535" s="1">
        <v>0.33591961805555554</v>
      </c>
      <c r="B535" t="s">
        <v>53</v>
      </c>
    </row>
    <row r="536" spans="1:2" x14ac:dyDescent="0.25">
      <c r="A536" s="1">
        <v>0.33591815972222222</v>
      </c>
      <c r="B536" t="s">
        <v>52</v>
      </c>
    </row>
    <row r="537" spans="1:2" x14ac:dyDescent="0.25">
      <c r="A537" s="1">
        <v>0.33591541666666669</v>
      </c>
      <c r="B537" t="s">
        <v>52</v>
      </c>
    </row>
    <row r="538" spans="1:2" x14ac:dyDescent="0.25">
      <c r="A538" s="1">
        <v>0.33591535879629625</v>
      </c>
      <c r="B538" t="s">
        <v>52</v>
      </c>
    </row>
    <row r="539" spans="1:2" x14ac:dyDescent="0.25">
      <c r="A539" s="1">
        <v>0.3359137615740741</v>
      </c>
      <c r="B539" t="s">
        <v>52</v>
      </c>
    </row>
    <row r="540" spans="1:2" x14ac:dyDescent="0.25">
      <c r="A540" s="1">
        <v>0.33591307870370368</v>
      </c>
      <c r="B540" t="s">
        <v>53</v>
      </c>
    </row>
    <row r="541" spans="1:2" x14ac:dyDescent="0.25">
      <c r="A541" s="1">
        <v>0.3359126736111111</v>
      </c>
      <c r="B541" t="s">
        <v>53</v>
      </c>
    </row>
    <row r="542" spans="1:2" x14ac:dyDescent="0.25">
      <c r="A542" s="1">
        <v>0.33591209490740742</v>
      </c>
      <c r="B542" t="s">
        <v>51</v>
      </c>
    </row>
    <row r="543" spans="1:2" x14ac:dyDescent="0.25">
      <c r="A543" s="1">
        <v>0.33591034722222224</v>
      </c>
      <c r="B543" t="s">
        <v>52</v>
      </c>
    </row>
    <row r="544" spans="1:2" x14ac:dyDescent="0.25">
      <c r="A544" s="1">
        <v>0.33590982638888889</v>
      </c>
      <c r="B544" t="s">
        <v>52</v>
      </c>
    </row>
    <row r="545" spans="1:2" x14ac:dyDescent="0.25">
      <c r="A545" s="1">
        <v>0.33590593749999997</v>
      </c>
      <c r="B545" t="s">
        <v>52</v>
      </c>
    </row>
    <row r="546" spans="1:2" x14ac:dyDescent="0.25">
      <c r="A546" s="1">
        <v>0.33590576388888888</v>
      </c>
      <c r="B546" t="s">
        <v>53</v>
      </c>
    </row>
    <row r="547" spans="1:2" x14ac:dyDescent="0.25">
      <c r="A547" s="1">
        <v>0.3359046643518519</v>
      </c>
      <c r="B547" t="s">
        <v>51</v>
      </c>
    </row>
    <row r="548" spans="1:2" x14ac:dyDescent="0.25">
      <c r="A548" s="1">
        <v>0.33590211805555553</v>
      </c>
      <c r="B548" t="s">
        <v>51</v>
      </c>
    </row>
    <row r="549" spans="1:2" x14ac:dyDescent="0.25">
      <c r="A549" s="1">
        <v>0.33590081018518519</v>
      </c>
      <c r="B549" t="s">
        <v>51</v>
      </c>
    </row>
    <row r="550" spans="1:2" x14ac:dyDescent="0.25">
      <c r="A550" s="1">
        <v>0.33589912037037034</v>
      </c>
      <c r="B550" t="s">
        <v>51</v>
      </c>
    </row>
    <row r="551" spans="1:2" x14ac:dyDescent="0.25">
      <c r="A551" s="1">
        <v>0.33589783564814812</v>
      </c>
      <c r="B551" t="s">
        <v>51</v>
      </c>
    </row>
    <row r="552" spans="1:2" x14ac:dyDescent="0.25">
      <c r="A552" s="1">
        <v>0.33589597222222217</v>
      </c>
      <c r="B552" t="s">
        <v>52</v>
      </c>
    </row>
    <row r="553" spans="1:2" x14ac:dyDescent="0.25">
      <c r="A553" s="1">
        <v>0.33589490740740741</v>
      </c>
      <c r="B553" t="s">
        <v>52</v>
      </c>
    </row>
    <row r="554" spans="1:2" x14ac:dyDescent="0.25">
      <c r="A554" s="1">
        <v>0.33589473379629631</v>
      </c>
      <c r="B554" t="s">
        <v>51</v>
      </c>
    </row>
    <row r="555" spans="1:2" x14ac:dyDescent="0.25">
      <c r="A555" s="1">
        <v>0.33589299768518521</v>
      </c>
      <c r="B555" t="s">
        <v>51</v>
      </c>
    </row>
    <row r="556" spans="1:2" x14ac:dyDescent="0.25">
      <c r="A556" s="1">
        <v>0.33589248842592595</v>
      </c>
      <c r="B556" t="s">
        <v>51</v>
      </c>
    </row>
    <row r="557" spans="1:2" x14ac:dyDescent="0.25">
      <c r="A557" s="1">
        <v>0.33589041666666669</v>
      </c>
      <c r="B557" t="s">
        <v>52</v>
      </c>
    </row>
    <row r="558" spans="1:2" x14ac:dyDescent="0.25">
      <c r="A558" s="1">
        <v>0.33589017361111112</v>
      </c>
      <c r="B558" t="s">
        <v>51</v>
      </c>
    </row>
    <row r="559" spans="1:2" x14ac:dyDescent="0.25">
      <c r="A559" s="1">
        <v>0.33588561342592588</v>
      </c>
      <c r="B559" t="s">
        <v>51</v>
      </c>
    </row>
    <row r="560" spans="1:2" x14ac:dyDescent="0.25">
      <c r="A560" s="1">
        <v>0.33588561342592588</v>
      </c>
      <c r="B560" t="s">
        <v>53</v>
      </c>
    </row>
    <row r="561" spans="1:2" x14ac:dyDescent="0.25">
      <c r="A561" s="1">
        <v>0.33588431712962968</v>
      </c>
      <c r="B561" t="s">
        <v>52</v>
      </c>
    </row>
    <row r="562" spans="1:2" x14ac:dyDescent="0.25">
      <c r="A562" s="1">
        <v>0.33588165509259255</v>
      </c>
      <c r="B562" t="s">
        <v>51</v>
      </c>
    </row>
    <row r="563" spans="1:2" x14ac:dyDescent="0.25">
      <c r="A563" s="1">
        <v>0.33587861111111111</v>
      </c>
      <c r="B563" t="s">
        <v>51</v>
      </c>
    </row>
    <row r="564" spans="1:2" x14ac:dyDescent="0.25">
      <c r="A564" s="1">
        <v>0.33587798611111114</v>
      </c>
      <c r="B564" t="s">
        <v>53</v>
      </c>
    </row>
    <row r="565" spans="1:2" x14ac:dyDescent="0.25">
      <c r="A565" s="1">
        <v>0.33587640046296291</v>
      </c>
      <c r="B565" t="s">
        <v>52</v>
      </c>
    </row>
    <row r="566" spans="1:2" x14ac:dyDescent="0.25">
      <c r="A566" s="1">
        <v>0.3358763657407407</v>
      </c>
      <c r="B566" t="s">
        <v>52</v>
      </c>
    </row>
    <row r="567" spans="1:2" x14ac:dyDescent="0.25">
      <c r="A567" s="1">
        <v>0.33587468749999999</v>
      </c>
      <c r="B567" t="s">
        <v>51</v>
      </c>
    </row>
    <row r="568" spans="1:2" x14ac:dyDescent="0.25">
      <c r="A568" s="1">
        <v>0.33587104166666665</v>
      </c>
      <c r="B568" t="s">
        <v>53</v>
      </c>
    </row>
    <row r="569" spans="1:2" x14ac:dyDescent="0.25">
      <c r="A569" s="1">
        <v>0.3358703009259259</v>
      </c>
      <c r="B569" t="s">
        <v>51</v>
      </c>
    </row>
    <row r="570" spans="1:2" x14ac:dyDescent="0.25">
      <c r="A570" s="1">
        <v>0.33586976851851852</v>
      </c>
      <c r="B570" t="s">
        <v>53</v>
      </c>
    </row>
    <row r="571" spans="1:2" x14ac:dyDescent="0.25">
      <c r="A571" s="1">
        <v>0.33586945601851853</v>
      </c>
      <c r="B571" t="s">
        <v>51</v>
      </c>
    </row>
    <row r="572" spans="1:2" x14ac:dyDescent="0.25">
      <c r="A572" s="1">
        <v>0.33586820601851852</v>
      </c>
      <c r="B572" t="s">
        <v>51</v>
      </c>
    </row>
    <row r="573" spans="1:2" x14ac:dyDescent="0.25">
      <c r="A573" s="1">
        <v>0.33586619212962959</v>
      </c>
      <c r="B573" t="s">
        <v>51</v>
      </c>
    </row>
    <row r="574" spans="1:2" x14ac:dyDescent="0.25">
      <c r="A574" s="1">
        <v>0.33586405092592592</v>
      </c>
      <c r="B574" t="s">
        <v>53</v>
      </c>
    </row>
    <row r="575" spans="1:2" x14ac:dyDescent="0.25">
      <c r="A575" s="1">
        <v>0.33586240740740742</v>
      </c>
      <c r="B575" t="s">
        <v>53</v>
      </c>
    </row>
    <row r="576" spans="1:2" x14ac:dyDescent="0.25">
      <c r="A576" s="1">
        <v>0.33586200231481483</v>
      </c>
      <c r="B576" t="s">
        <v>53</v>
      </c>
    </row>
    <row r="577" spans="1:2" x14ac:dyDescent="0.25">
      <c r="A577" s="1">
        <v>0.33586182870370368</v>
      </c>
      <c r="B577" t="s">
        <v>52</v>
      </c>
    </row>
    <row r="578" spans="1:2" x14ac:dyDescent="0.25">
      <c r="A578" s="1">
        <v>0.33585988425925928</v>
      </c>
      <c r="B578" t="s">
        <v>52</v>
      </c>
    </row>
    <row r="579" spans="1:2" x14ac:dyDescent="0.25">
      <c r="A579" s="1">
        <v>0.33585959490740741</v>
      </c>
      <c r="B579" t="s">
        <v>53</v>
      </c>
    </row>
    <row r="580" spans="1:2" x14ac:dyDescent="0.25">
      <c r="A580" s="1">
        <v>0.33585641203703703</v>
      </c>
      <c r="B580" t="s">
        <v>51</v>
      </c>
    </row>
    <row r="581" spans="1:2" x14ac:dyDescent="0.25">
      <c r="A581" s="1">
        <v>0.33585339120370367</v>
      </c>
      <c r="B581" t="s">
        <v>52</v>
      </c>
    </row>
    <row r="582" spans="1:2" x14ac:dyDescent="0.25">
      <c r="A582" s="1">
        <v>0.3358524537037037</v>
      </c>
      <c r="B582" t="s">
        <v>53</v>
      </c>
    </row>
    <row r="583" spans="1:2" x14ac:dyDescent="0.25">
      <c r="A583" s="1">
        <v>0.33584788194444443</v>
      </c>
      <c r="B583" t="s">
        <v>52</v>
      </c>
    </row>
    <row r="584" spans="1:2" x14ac:dyDescent="0.25">
      <c r="A584" s="1">
        <v>0.33584572916666672</v>
      </c>
      <c r="B584" t="s">
        <v>53</v>
      </c>
    </row>
    <row r="585" spans="1:2" x14ac:dyDescent="0.25">
      <c r="A585" s="1">
        <v>0.33584270833333335</v>
      </c>
      <c r="B585" t="s">
        <v>51</v>
      </c>
    </row>
    <row r="586" spans="1:2" x14ac:dyDescent="0.25">
      <c r="A586" s="1">
        <v>0.33584165509259262</v>
      </c>
      <c r="B586" t="s">
        <v>51</v>
      </c>
    </row>
    <row r="587" spans="1:2" x14ac:dyDescent="0.25">
      <c r="A587" s="1">
        <v>0.33583896990740741</v>
      </c>
      <c r="B587" t="s">
        <v>52</v>
      </c>
    </row>
    <row r="588" spans="1:2" x14ac:dyDescent="0.25">
      <c r="A588" s="1">
        <v>0.33583737268518515</v>
      </c>
      <c r="B588" t="s">
        <v>53</v>
      </c>
    </row>
    <row r="589" spans="1:2" x14ac:dyDescent="0.25">
      <c r="A589" s="1">
        <v>0.33583604166666664</v>
      </c>
      <c r="B589" t="s">
        <v>51</v>
      </c>
    </row>
    <row r="590" spans="1:2" x14ac:dyDescent="0.25">
      <c r="A590" s="1">
        <v>0.33583581018518521</v>
      </c>
      <c r="B590" t="s">
        <v>52</v>
      </c>
    </row>
    <row r="591" spans="1:2" x14ac:dyDescent="0.25">
      <c r="A591" s="1">
        <v>0.33583307870370366</v>
      </c>
      <c r="B591" t="s">
        <v>53</v>
      </c>
    </row>
    <row r="592" spans="1:2" x14ac:dyDescent="0.25">
      <c r="A592" s="1">
        <v>0.33583201388888889</v>
      </c>
      <c r="B592" t="s">
        <v>52</v>
      </c>
    </row>
    <row r="593" spans="1:2" x14ac:dyDescent="0.25">
      <c r="A593" s="1">
        <v>0.33582765046296298</v>
      </c>
      <c r="B593" t="s">
        <v>53</v>
      </c>
    </row>
    <row r="594" spans="1:2" x14ac:dyDescent="0.25">
      <c r="A594" s="1">
        <v>0.33582619212962966</v>
      </c>
      <c r="B594" t="s">
        <v>53</v>
      </c>
    </row>
    <row r="595" spans="1:2" x14ac:dyDescent="0.25">
      <c r="A595" s="1">
        <v>0.33582596064814818</v>
      </c>
      <c r="B595" t="s">
        <v>53</v>
      </c>
    </row>
    <row r="596" spans="1:2" x14ac:dyDescent="0.25">
      <c r="A596" s="1">
        <v>0.33582473379629629</v>
      </c>
      <c r="B596" t="s">
        <v>51</v>
      </c>
    </row>
    <row r="597" spans="1:2" x14ac:dyDescent="0.25">
      <c r="A597" s="1">
        <v>0.33582261574074074</v>
      </c>
      <c r="B597" t="s">
        <v>53</v>
      </c>
    </row>
    <row r="598" spans="1:2" x14ac:dyDescent="0.25">
      <c r="A598" s="1">
        <v>0.33582062499999998</v>
      </c>
      <c r="B598" t="s">
        <v>51</v>
      </c>
    </row>
    <row r="599" spans="1:2" x14ac:dyDescent="0.25">
      <c r="A599" s="1">
        <v>0.33581824074074079</v>
      </c>
      <c r="B599" t="s">
        <v>51</v>
      </c>
    </row>
    <row r="600" spans="1:2" x14ac:dyDescent="0.25">
      <c r="A600" s="1">
        <v>0.3358171875</v>
      </c>
      <c r="B600" t="s">
        <v>52</v>
      </c>
    </row>
    <row r="601" spans="1:2" x14ac:dyDescent="0.25">
      <c r="A601" s="1">
        <v>0.33581692129629631</v>
      </c>
      <c r="B601" t="s">
        <v>51</v>
      </c>
    </row>
    <row r="602" spans="1:2" x14ac:dyDescent="0.25">
      <c r="A602" s="1">
        <v>0.33581519675925925</v>
      </c>
      <c r="B602" t="s">
        <v>52</v>
      </c>
    </row>
    <row r="603" spans="1:2" x14ac:dyDescent="0.25">
      <c r="A603" s="1">
        <v>0.33581388888888886</v>
      </c>
      <c r="B603" t="s">
        <v>51</v>
      </c>
    </row>
    <row r="604" spans="1:2" x14ac:dyDescent="0.25">
      <c r="A604" s="1">
        <v>0.33581388888888886</v>
      </c>
      <c r="B604" t="s">
        <v>53</v>
      </c>
    </row>
    <row r="605" spans="1:2" x14ac:dyDescent="0.25">
      <c r="A605" s="1">
        <v>0.33581368055555555</v>
      </c>
      <c r="B605" t="s">
        <v>53</v>
      </c>
    </row>
    <row r="606" spans="1:2" x14ac:dyDescent="0.25">
      <c r="A606" s="1">
        <v>0.33581353009259263</v>
      </c>
      <c r="B606" t="s">
        <v>53</v>
      </c>
    </row>
    <row r="607" spans="1:2" x14ac:dyDescent="0.25">
      <c r="A607" s="1">
        <v>0.33581246527777781</v>
      </c>
      <c r="B607" t="s">
        <v>52</v>
      </c>
    </row>
    <row r="608" spans="1:2" x14ac:dyDescent="0.25">
      <c r="A608" s="1">
        <v>0.33581194444444445</v>
      </c>
      <c r="B608" t="s">
        <v>51</v>
      </c>
    </row>
    <row r="609" spans="1:2" x14ac:dyDescent="0.25">
      <c r="A609" s="1">
        <v>0.33581043981481479</v>
      </c>
      <c r="B609" t="s">
        <v>51</v>
      </c>
    </row>
    <row r="610" spans="1:2" x14ac:dyDescent="0.25">
      <c r="A610" s="1">
        <v>0.33581017361111115</v>
      </c>
      <c r="B610" t="s">
        <v>53</v>
      </c>
    </row>
    <row r="611" spans="1:2" x14ac:dyDescent="0.25">
      <c r="A611" s="1">
        <v>0.33580784722222218</v>
      </c>
      <c r="B611" t="s">
        <v>52</v>
      </c>
    </row>
    <row r="612" spans="1:2" x14ac:dyDescent="0.25">
      <c r="A612" s="1">
        <v>0.33580635416666665</v>
      </c>
      <c r="B612" t="s">
        <v>53</v>
      </c>
    </row>
    <row r="613" spans="1:2" x14ac:dyDescent="0.25">
      <c r="A613" s="1">
        <v>0.33580572916666668</v>
      </c>
      <c r="B613" t="s">
        <v>53</v>
      </c>
    </row>
    <row r="614" spans="1:2" x14ac:dyDescent="0.25">
      <c r="A614" s="1">
        <v>0.33580365740740742</v>
      </c>
      <c r="B614" t="s">
        <v>51</v>
      </c>
    </row>
    <row r="615" spans="1:2" x14ac:dyDescent="0.25">
      <c r="A615" s="1">
        <v>0.33580290509259259</v>
      </c>
      <c r="B615" t="s">
        <v>52</v>
      </c>
    </row>
    <row r="616" spans="1:2" x14ac:dyDescent="0.25">
      <c r="A616" s="1">
        <v>0.3358024652777778</v>
      </c>
      <c r="B616" t="s">
        <v>53</v>
      </c>
    </row>
    <row r="617" spans="1:2" x14ac:dyDescent="0.25">
      <c r="A617" s="1">
        <v>0.3358024189814815</v>
      </c>
      <c r="B617" t="s">
        <v>51</v>
      </c>
    </row>
    <row r="618" spans="1:2" x14ac:dyDescent="0.25">
      <c r="A618" s="1">
        <v>0.33580193287037036</v>
      </c>
      <c r="B618" t="s">
        <v>53</v>
      </c>
    </row>
    <row r="619" spans="1:2" x14ac:dyDescent="0.25">
      <c r="A619" s="1">
        <v>0.3358014583333333</v>
      </c>
      <c r="B619" t="s">
        <v>51</v>
      </c>
    </row>
    <row r="620" spans="1:2" x14ac:dyDescent="0.25">
      <c r="A620" s="1">
        <v>0.33579719907407407</v>
      </c>
      <c r="B620" t="s">
        <v>51</v>
      </c>
    </row>
    <row r="621" spans="1:2" x14ac:dyDescent="0.25">
      <c r="A621" s="1">
        <v>0.33579704861111109</v>
      </c>
      <c r="B621" t="s">
        <v>52</v>
      </c>
    </row>
    <row r="622" spans="1:2" x14ac:dyDescent="0.25">
      <c r="A622" s="1">
        <v>0.335788287037037</v>
      </c>
      <c r="B622" t="s">
        <v>52</v>
      </c>
    </row>
    <row r="623" spans="1:2" x14ac:dyDescent="0.25">
      <c r="A623" s="1">
        <v>0.3357845717592593</v>
      </c>
      <c r="B623" t="s">
        <v>53</v>
      </c>
    </row>
    <row r="624" spans="1:2" x14ac:dyDescent="0.25">
      <c r="A624" s="1">
        <v>0.33578278935185185</v>
      </c>
      <c r="B624" t="s">
        <v>52</v>
      </c>
    </row>
    <row r="625" spans="1:2" x14ac:dyDescent="0.25">
      <c r="A625" s="1">
        <v>0.33578122685185186</v>
      </c>
      <c r="B625" t="s">
        <v>52</v>
      </c>
    </row>
    <row r="626" spans="1:2" x14ac:dyDescent="0.25">
      <c r="A626" s="1">
        <v>0.33577980324074069</v>
      </c>
      <c r="B626" t="s">
        <v>53</v>
      </c>
    </row>
    <row r="627" spans="1:2" x14ac:dyDescent="0.25">
      <c r="A627" s="1">
        <v>0.33577836805555555</v>
      </c>
      <c r="B627" t="s">
        <v>53</v>
      </c>
    </row>
    <row r="628" spans="1:2" x14ac:dyDescent="0.25">
      <c r="A628" s="1">
        <v>0.3357745601851852</v>
      </c>
      <c r="B628" t="s">
        <v>53</v>
      </c>
    </row>
    <row r="629" spans="1:2" x14ac:dyDescent="0.25">
      <c r="A629" s="1">
        <v>0.33577327546296298</v>
      </c>
      <c r="B629" t="s">
        <v>51</v>
      </c>
    </row>
    <row r="630" spans="1:2" x14ac:dyDescent="0.25">
      <c r="A630" s="1">
        <v>0.33577313657407409</v>
      </c>
      <c r="B630" t="s">
        <v>52</v>
      </c>
    </row>
    <row r="631" spans="1:2" x14ac:dyDescent="0.25">
      <c r="A631" s="1">
        <v>0.33577164351851851</v>
      </c>
      <c r="B631" t="s">
        <v>52</v>
      </c>
    </row>
    <row r="632" spans="1:2" x14ac:dyDescent="0.25">
      <c r="A632" s="1">
        <v>0.33577041666666668</v>
      </c>
      <c r="B632" t="s">
        <v>52</v>
      </c>
    </row>
    <row r="633" spans="1:2" x14ac:dyDescent="0.25">
      <c r="A633" s="1">
        <v>0.33577038194444442</v>
      </c>
      <c r="B633" t="s">
        <v>52</v>
      </c>
    </row>
    <row r="634" spans="1:2" x14ac:dyDescent="0.25">
      <c r="A634" s="1">
        <v>0.33576600694444442</v>
      </c>
      <c r="B634" t="s">
        <v>51</v>
      </c>
    </row>
    <row r="635" spans="1:2" x14ac:dyDescent="0.25">
      <c r="A635" s="1">
        <v>0.3357642939814815</v>
      </c>
      <c r="B635" t="s">
        <v>52</v>
      </c>
    </row>
    <row r="636" spans="1:2" x14ac:dyDescent="0.25">
      <c r="A636" s="1">
        <v>0.33576281250000001</v>
      </c>
      <c r="B636" t="s">
        <v>52</v>
      </c>
    </row>
    <row r="637" spans="1:2" x14ac:dyDescent="0.25">
      <c r="A637" s="1">
        <v>0.33575927083333329</v>
      </c>
      <c r="B637" t="s">
        <v>53</v>
      </c>
    </row>
    <row r="638" spans="1:2" x14ac:dyDescent="0.25">
      <c r="A638" s="1">
        <v>0.33575711805555558</v>
      </c>
      <c r="B638" t="s">
        <v>51</v>
      </c>
    </row>
    <row r="639" spans="1:2" x14ac:dyDescent="0.25">
      <c r="A639" s="1">
        <v>0.33575517361111112</v>
      </c>
      <c r="B639" t="s">
        <v>52</v>
      </c>
    </row>
    <row r="640" spans="1:2" x14ac:dyDescent="0.25">
      <c r="A640" s="1">
        <v>0.33575437499999999</v>
      </c>
      <c r="B640" t="s">
        <v>51</v>
      </c>
    </row>
    <row r="641" spans="1:2" x14ac:dyDescent="0.25">
      <c r="A641" s="1">
        <v>0.33575409722222221</v>
      </c>
      <c r="B641" t="s">
        <v>51</v>
      </c>
    </row>
    <row r="642" spans="1:2" x14ac:dyDescent="0.25">
      <c r="A642" s="1">
        <v>0.33575190972222219</v>
      </c>
      <c r="B642" t="s">
        <v>51</v>
      </c>
    </row>
    <row r="643" spans="1:2" x14ac:dyDescent="0.25">
      <c r="A643" s="1">
        <v>0.33574940972222223</v>
      </c>
      <c r="B643" t="s">
        <v>52</v>
      </c>
    </row>
    <row r="644" spans="1:2" x14ac:dyDescent="0.25">
      <c r="A644" s="1">
        <v>0.33574732638888888</v>
      </c>
      <c r="B644" t="s">
        <v>52</v>
      </c>
    </row>
    <row r="645" spans="1:2" x14ac:dyDescent="0.25">
      <c r="A645" s="1">
        <v>0.33574732638888888</v>
      </c>
      <c r="B645" t="s">
        <v>51</v>
      </c>
    </row>
    <row r="646" spans="1:2" x14ac:dyDescent="0.25">
      <c r="A646" s="1">
        <v>0.33574564814814817</v>
      </c>
      <c r="B646" t="s">
        <v>52</v>
      </c>
    </row>
    <row r="647" spans="1:2" x14ac:dyDescent="0.25">
      <c r="A647" s="1">
        <v>0.33574377314814813</v>
      </c>
      <c r="B647" t="s">
        <v>51</v>
      </c>
    </row>
    <row r="648" spans="1:2" x14ac:dyDescent="0.25">
      <c r="A648" s="1">
        <v>0.33574275462962966</v>
      </c>
      <c r="B648" t="s">
        <v>52</v>
      </c>
    </row>
    <row r="649" spans="1:2" x14ac:dyDescent="0.25">
      <c r="A649" s="1">
        <v>0.33573952546296293</v>
      </c>
      <c r="B649" t="s">
        <v>51</v>
      </c>
    </row>
    <row r="650" spans="1:2" x14ac:dyDescent="0.25">
      <c r="A650" s="1">
        <v>0.33573341435185183</v>
      </c>
      <c r="B650" t="s">
        <v>51</v>
      </c>
    </row>
    <row r="651" spans="1:2" x14ac:dyDescent="0.25">
      <c r="A651" s="1">
        <v>0.33573053240740741</v>
      </c>
      <c r="B651" t="s">
        <v>52</v>
      </c>
    </row>
    <row r="652" spans="1:2" x14ac:dyDescent="0.25">
      <c r="A652" s="1">
        <v>0.33572876157407405</v>
      </c>
      <c r="B652" t="s">
        <v>53</v>
      </c>
    </row>
    <row r="653" spans="1:2" x14ac:dyDescent="0.25">
      <c r="A653" s="1">
        <v>0.33572724537037035</v>
      </c>
      <c r="B653" t="s">
        <v>51</v>
      </c>
    </row>
    <row r="654" spans="1:2" x14ac:dyDescent="0.25">
      <c r="A654" s="1">
        <v>0.33572462962962962</v>
      </c>
      <c r="B654" t="s">
        <v>53</v>
      </c>
    </row>
    <row r="655" spans="1:2" x14ac:dyDescent="0.25">
      <c r="A655" s="1">
        <v>0.33572432870370372</v>
      </c>
      <c r="B655" t="s">
        <v>53</v>
      </c>
    </row>
    <row r="656" spans="1:2" x14ac:dyDescent="0.25">
      <c r="A656" s="1">
        <v>0.33572385416666667</v>
      </c>
      <c r="B656" t="s">
        <v>51</v>
      </c>
    </row>
    <row r="657" spans="1:2" x14ac:dyDescent="0.25">
      <c r="A657" s="1">
        <v>0.33571835648148146</v>
      </c>
      <c r="B657" t="s">
        <v>52</v>
      </c>
    </row>
    <row r="658" spans="1:2" x14ac:dyDescent="0.25">
      <c r="A658" s="1">
        <v>0.33571622685185187</v>
      </c>
      <c r="B658" t="s">
        <v>52</v>
      </c>
    </row>
    <row r="659" spans="1:2" x14ac:dyDescent="0.25">
      <c r="A659" s="1">
        <v>0.33570986111111112</v>
      </c>
      <c r="B659" t="s">
        <v>53</v>
      </c>
    </row>
    <row r="660" spans="1:2" x14ac:dyDescent="0.25">
      <c r="A660" s="1">
        <v>0.33570951388888887</v>
      </c>
      <c r="B660" t="s">
        <v>53</v>
      </c>
    </row>
    <row r="661" spans="1:2" x14ac:dyDescent="0.25">
      <c r="A661" s="1">
        <v>0.33570938657407406</v>
      </c>
      <c r="B661" t="s">
        <v>52</v>
      </c>
    </row>
    <row r="662" spans="1:2" x14ac:dyDescent="0.25">
      <c r="A662" s="1">
        <v>0.3357012152777778</v>
      </c>
      <c r="B662" t="s">
        <v>52</v>
      </c>
    </row>
    <row r="663" spans="1:2" x14ac:dyDescent="0.25">
      <c r="A663" s="1">
        <v>0.33570087962962963</v>
      </c>
      <c r="B663" t="s">
        <v>52</v>
      </c>
    </row>
    <row r="664" spans="1:2" x14ac:dyDescent="0.25">
      <c r="A664" s="1">
        <v>0.3356984375</v>
      </c>
      <c r="B664" t="s">
        <v>51</v>
      </c>
    </row>
    <row r="665" spans="1:2" x14ac:dyDescent="0.25">
      <c r="A665" s="1">
        <v>0.33569842592592591</v>
      </c>
      <c r="B665" t="s">
        <v>51</v>
      </c>
    </row>
    <row r="666" spans="1:2" x14ac:dyDescent="0.25">
      <c r="A666" s="1">
        <v>0.33569797453703704</v>
      </c>
      <c r="B666" t="s">
        <v>53</v>
      </c>
    </row>
    <row r="667" spans="1:2" x14ac:dyDescent="0.25">
      <c r="A667" s="1">
        <v>0.3356955787037037</v>
      </c>
      <c r="B667" t="s">
        <v>53</v>
      </c>
    </row>
    <row r="668" spans="1:2" x14ac:dyDescent="0.25">
      <c r="A668" s="1">
        <v>0.33569418981481486</v>
      </c>
      <c r="B668" t="s">
        <v>51</v>
      </c>
    </row>
    <row r="669" spans="1:2" x14ac:dyDescent="0.25">
      <c r="A669" s="1">
        <v>0.33569387731481481</v>
      </c>
      <c r="B669" t="s">
        <v>53</v>
      </c>
    </row>
    <row r="670" spans="1:2" x14ac:dyDescent="0.25">
      <c r="A670" s="1">
        <v>0.33569353009259256</v>
      </c>
      <c r="B670" t="s">
        <v>52</v>
      </c>
    </row>
    <row r="671" spans="1:2" x14ac:dyDescent="0.25">
      <c r="A671" s="1">
        <v>0.33569017361111109</v>
      </c>
      <c r="B671" t="s">
        <v>53</v>
      </c>
    </row>
    <row r="672" spans="1:2" x14ac:dyDescent="0.25">
      <c r="A672" s="1">
        <v>0.33568993055555557</v>
      </c>
      <c r="B672" t="s">
        <v>52</v>
      </c>
    </row>
    <row r="673" spans="1:2" x14ac:dyDescent="0.25">
      <c r="A673" s="1">
        <v>0.33568815972222227</v>
      </c>
      <c r="B673" t="s">
        <v>53</v>
      </c>
    </row>
    <row r="674" spans="1:2" x14ac:dyDescent="0.25">
      <c r="A674" s="1">
        <v>0.33568461805555555</v>
      </c>
      <c r="B674" t="s">
        <v>51</v>
      </c>
    </row>
    <row r="675" spans="1:2" x14ac:dyDescent="0.25">
      <c r="A675" s="1">
        <v>0.33568351851851852</v>
      </c>
      <c r="B675" t="s">
        <v>53</v>
      </c>
    </row>
    <row r="676" spans="1:2" x14ac:dyDescent="0.25">
      <c r="A676" s="1">
        <v>0.33568317129629627</v>
      </c>
      <c r="B676" t="s">
        <v>51</v>
      </c>
    </row>
    <row r="677" spans="1:2" x14ac:dyDescent="0.25">
      <c r="A677" s="1">
        <v>0.33568290509259263</v>
      </c>
      <c r="B677" t="s">
        <v>53</v>
      </c>
    </row>
    <row r="678" spans="1:2" x14ac:dyDescent="0.25">
      <c r="A678" s="1">
        <v>0.33568144675925926</v>
      </c>
      <c r="B678" t="s">
        <v>53</v>
      </c>
    </row>
    <row r="679" spans="1:2" x14ac:dyDescent="0.25">
      <c r="A679" s="1">
        <v>0.33567964120370369</v>
      </c>
      <c r="B679" t="s">
        <v>53</v>
      </c>
    </row>
    <row r="680" spans="1:2" x14ac:dyDescent="0.25">
      <c r="A680" s="1">
        <v>0.33567884259259256</v>
      </c>
      <c r="B680" t="s">
        <v>53</v>
      </c>
    </row>
    <row r="681" spans="1:2" x14ac:dyDescent="0.25">
      <c r="A681" s="1">
        <v>0.33567778935185189</v>
      </c>
      <c r="B681" t="s">
        <v>53</v>
      </c>
    </row>
    <row r="682" spans="1:2" x14ac:dyDescent="0.25">
      <c r="A682" s="1">
        <v>0.33567666666666668</v>
      </c>
      <c r="B682" t="s">
        <v>53</v>
      </c>
    </row>
    <row r="683" spans="1:2" x14ac:dyDescent="0.25">
      <c r="A683" s="1">
        <v>0.33567417824074069</v>
      </c>
      <c r="B683" t="s">
        <v>51</v>
      </c>
    </row>
    <row r="684" spans="1:2" x14ac:dyDescent="0.25">
      <c r="A684" s="1">
        <v>0.33567351851851851</v>
      </c>
      <c r="B684" t="s">
        <v>52</v>
      </c>
    </row>
    <row r="685" spans="1:2" x14ac:dyDescent="0.25">
      <c r="A685" s="1">
        <v>0.33567347222222227</v>
      </c>
      <c r="B685" t="s">
        <v>52</v>
      </c>
    </row>
    <row r="686" spans="1:2" x14ac:dyDescent="0.25">
      <c r="A686" s="1">
        <v>0.33567287037037036</v>
      </c>
      <c r="B686" t="s">
        <v>52</v>
      </c>
    </row>
    <row r="687" spans="1:2" x14ac:dyDescent="0.25">
      <c r="A687" s="1">
        <v>0.33567207175925923</v>
      </c>
      <c r="B687" t="s">
        <v>52</v>
      </c>
    </row>
    <row r="688" spans="1:2" x14ac:dyDescent="0.25">
      <c r="A688" s="1">
        <v>0.33567190972222222</v>
      </c>
      <c r="B688" t="s">
        <v>51</v>
      </c>
    </row>
    <row r="689" spans="1:2" x14ac:dyDescent="0.25">
      <c r="A689" s="1">
        <v>0.3356707986111111</v>
      </c>
      <c r="B689" t="s">
        <v>51</v>
      </c>
    </row>
    <row r="690" spans="1:2" x14ac:dyDescent="0.25">
      <c r="A690" s="1">
        <v>0.33567076388888889</v>
      </c>
      <c r="B690" t="s">
        <v>51</v>
      </c>
    </row>
    <row r="691" spans="1:2" x14ac:dyDescent="0.25">
      <c r="A691" s="1">
        <v>0.33566648148148143</v>
      </c>
      <c r="B691" t="s">
        <v>53</v>
      </c>
    </row>
    <row r="692" spans="1:2" x14ac:dyDescent="0.25">
      <c r="A692" s="1">
        <v>0.33566644675925922</v>
      </c>
      <c r="B692" t="s">
        <v>52</v>
      </c>
    </row>
    <row r="693" spans="1:2" x14ac:dyDescent="0.25">
      <c r="A693" s="1">
        <v>0.33566505787037038</v>
      </c>
      <c r="B693" t="s">
        <v>53</v>
      </c>
    </row>
    <row r="694" spans="1:2" x14ac:dyDescent="0.25">
      <c r="A694" s="1">
        <v>0.33566400462962959</v>
      </c>
      <c r="B694" t="s">
        <v>52</v>
      </c>
    </row>
    <row r="695" spans="1:2" x14ac:dyDescent="0.25">
      <c r="A695" s="1">
        <v>0.3356621296296296</v>
      </c>
      <c r="B695" t="s">
        <v>52</v>
      </c>
    </row>
    <row r="696" spans="1:2" x14ac:dyDescent="0.25">
      <c r="A696" s="1">
        <v>0.33565957175925926</v>
      </c>
      <c r="B696" t="s">
        <v>52</v>
      </c>
    </row>
    <row r="697" spans="1:2" x14ac:dyDescent="0.25">
      <c r="A697" s="1">
        <v>0.33565890046296293</v>
      </c>
      <c r="B697" t="s">
        <v>52</v>
      </c>
    </row>
    <row r="698" spans="1:2" x14ac:dyDescent="0.25">
      <c r="A698" s="1">
        <v>0.33565626157407408</v>
      </c>
      <c r="B698" t="s">
        <v>53</v>
      </c>
    </row>
    <row r="699" spans="1:2" x14ac:dyDescent="0.25">
      <c r="A699" s="1">
        <v>0.33564424768518514</v>
      </c>
      <c r="B699" t="s">
        <v>52</v>
      </c>
    </row>
    <row r="700" spans="1:2" x14ac:dyDescent="0.25">
      <c r="A700" s="1">
        <v>0.33564167824074076</v>
      </c>
      <c r="B700" t="s">
        <v>51</v>
      </c>
    </row>
    <row r="701" spans="1:2" x14ac:dyDescent="0.25">
      <c r="A701" s="1">
        <v>0.33564131944444447</v>
      </c>
      <c r="B701" t="s">
        <v>53</v>
      </c>
    </row>
    <row r="702" spans="1:2" x14ac:dyDescent="0.25">
      <c r="A702" s="1">
        <v>0.3356398263888889</v>
      </c>
      <c r="B702" t="s">
        <v>53</v>
      </c>
    </row>
    <row r="703" spans="1:2" x14ac:dyDescent="0.25">
      <c r="A703" s="1">
        <v>0.33563666666666664</v>
      </c>
      <c r="B703" t="s">
        <v>52</v>
      </c>
    </row>
    <row r="704" spans="1:2" x14ac:dyDescent="0.25">
      <c r="A704" s="1">
        <v>0.33563546296296298</v>
      </c>
      <c r="B704" t="s">
        <v>51</v>
      </c>
    </row>
    <row r="705" spans="1:2" x14ac:dyDescent="0.25">
      <c r="A705" s="1">
        <v>0.33563512731481482</v>
      </c>
      <c r="B705" t="s">
        <v>53</v>
      </c>
    </row>
    <row r="706" spans="1:2" x14ac:dyDescent="0.25">
      <c r="A706" s="1">
        <v>0.33563509259259261</v>
      </c>
      <c r="B706" t="s">
        <v>52</v>
      </c>
    </row>
    <row r="707" spans="1:2" x14ac:dyDescent="0.25">
      <c r="A707" s="1">
        <v>0.33563494212962963</v>
      </c>
      <c r="B707" t="s">
        <v>51</v>
      </c>
    </row>
    <row r="708" spans="1:2" x14ac:dyDescent="0.25">
      <c r="A708" s="1">
        <v>0.33563440972222219</v>
      </c>
      <c r="B708" t="s">
        <v>52</v>
      </c>
    </row>
    <row r="709" spans="1:2" x14ac:dyDescent="0.25">
      <c r="A709" s="1">
        <v>0.33563281250000004</v>
      </c>
      <c r="B709" t="s">
        <v>53</v>
      </c>
    </row>
    <row r="710" spans="1:2" x14ac:dyDescent="0.25">
      <c r="A710" s="1">
        <v>0.33563159722222219</v>
      </c>
      <c r="B710" t="s">
        <v>51</v>
      </c>
    </row>
    <row r="711" spans="1:2" x14ac:dyDescent="0.25">
      <c r="A711" s="1">
        <v>0.3356312037037037</v>
      </c>
      <c r="B711" t="s">
        <v>51</v>
      </c>
    </row>
    <row r="712" spans="1:2" x14ac:dyDescent="0.25">
      <c r="A712" s="1">
        <v>0.33563112268518519</v>
      </c>
      <c r="B712" t="s">
        <v>51</v>
      </c>
    </row>
    <row r="713" spans="1:2" x14ac:dyDescent="0.25">
      <c r="A713" s="1">
        <v>0.33562930555555553</v>
      </c>
      <c r="B713" t="s">
        <v>53</v>
      </c>
    </row>
    <row r="714" spans="1:2" x14ac:dyDescent="0.25">
      <c r="A714" s="1">
        <v>0.33562775462962963</v>
      </c>
      <c r="B714" t="s">
        <v>52</v>
      </c>
    </row>
    <row r="715" spans="1:2" x14ac:dyDescent="0.25">
      <c r="A715" s="1">
        <v>0.33562592592592594</v>
      </c>
      <c r="B715" t="s">
        <v>52</v>
      </c>
    </row>
    <row r="716" spans="1:2" x14ac:dyDescent="0.25">
      <c r="A716" s="1">
        <v>0.33562574074074075</v>
      </c>
      <c r="B716" t="s">
        <v>52</v>
      </c>
    </row>
    <row r="717" spans="1:2" x14ac:dyDescent="0.25">
      <c r="A717" s="1">
        <v>0.3356240972222222</v>
      </c>
      <c r="B717" t="s">
        <v>51</v>
      </c>
    </row>
    <row r="718" spans="1:2" x14ac:dyDescent="0.25">
      <c r="A718" s="1">
        <v>0.33562402777777778</v>
      </c>
      <c r="B718" t="s">
        <v>53</v>
      </c>
    </row>
    <row r="719" spans="1:2" x14ac:dyDescent="0.25">
      <c r="A719" s="1">
        <v>0.33562049768518515</v>
      </c>
      <c r="B719" t="s">
        <v>53</v>
      </c>
    </row>
    <row r="720" spans="1:2" x14ac:dyDescent="0.25">
      <c r="A720" s="1">
        <v>0.33561609953703703</v>
      </c>
      <c r="B720" t="s">
        <v>53</v>
      </c>
    </row>
    <row r="721" spans="1:2" x14ac:dyDescent="0.25">
      <c r="A721" s="1">
        <v>0.33561430555555555</v>
      </c>
      <c r="B721" t="s">
        <v>52</v>
      </c>
    </row>
    <row r="722" spans="1:2" x14ac:dyDescent="0.25">
      <c r="A722" s="1">
        <v>0.33561379629629634</v>
      </c>
      <c r="B722" t="s">
        <v>51</v>
      </c>
    </row>
    <row r="723" spans="1:2" x14ac:dyDescent="0.25">
      <c r="A723" s="1">
        <v>0.33561151620370372</v>
      </c>
      <c r="B723" t="s">
        <v>53</v>
      </c>
    </row>
    <row r="724" spans="1:2" x14ac:dyDescent="0.25">
      <c r="A724" s="1">
        <v>0.33561077546296297</v>
      </c>
      <c r="B724" t="s">
        <v>52</v>
      </c>
    </row>
    <row r="725" spans="1:2" x14ac:dyDescent="0.25">
      <c r="A725" s="1">
        <v>0.33560958333333329</v>
      </c>
      <c r="B725" t="s">
        <v>52</v>
      </c>
    </row>
    <row r="726" spans="1:2" x14ac:dyDescent="0.25">
      <c r="A726" s="1">
        <v>0.3356055092592593</v>
      </c>
      <c r="B726" t="s">
        <v>52</v>
      </c>
    </row>
    <row r="727" spans="1:2" x14ac:dyDescent="0.25">
      <c r="A727" s="1">
        <v>0.33560134259259261</v>
      </c>
      <c r="B727" t="s">
        <v>52</v>
      </c>
    </row>
    <row r="728" spans="1:2" x14ac:dyDescent="0.25">
      <c r="A728" s="1">
        <v>0.33560120370370372</v>
      </c>
      <c r="B728" t="s">
        <v>52</v>
      </c>
    </row>
    <row r="729" spans="1:2" x14ac:dyDescent="0.25">
      <c r="A729" s="1">
        <v>0.33560119212962963</v>
      </c>
      <c r="B729" t="s">
        <v>52</v>
      </c>
    </row>
    <row r="730" spans="1:2" x14ac:dyDescent="0.25">
      <c r="A730" s="1">
        <v>0.33559946759259263</v>
      </c>
      <c r="B730" t="s">
        <v>51</v>
      </c>
    </row>
    <row r="731" spans="1:2" x14ac:dyDescent="0.25">
      <c r="A731" s="1">
        <v>0.33559863425925923</v>
      </c>
      <c r="B731" t="s">
        <v>51</v>
      </c>
    </row>
    <row r="732" spans="1:2" x14ac:dyDescent="0.25">
      <c r="A732" s="1">
        <v>0.33559687500000002</v>
      </c>
      <c r="B732" t="s">
        <v>53</v>
      </c>
    </row>
    <row r="733" spans="1:2" x14ac:dyDescent="0.25">
      <c r="A733" s="1">
        <v>0.33559614583333336</v>
      </c>
      <c r="B733" t="s">
        <v>51</v>
      </c>
    </row>
    <row r="734" spans="1:2" x14ac:dyDescent="0.25">
      <c r="A734" s="1">
        <v>0.33559607638888894</v>
      </c>
      <c r="B734" t="s">
        <v>53</v>
      </c>
    </row>
    <row r="735" spans="1:2" x14ac:dyDescent="0.25">
      <c r="A735" s="1">
        <v>0.33559585648148144</v>
      </c>
      <c r="B735" t="s">
        <v>52</v>
      </c>
    </row>
    <row r="736" spans="1:2" x14ac:dyDescent="0.25">
      <c r="A736" s="1">
        <v>0.33559475694444446</v>
      </c>
      <c r="B736" t="s">
        <v>52</v>
      </c>
    </row>
    <row r="737" spans="1:2" x14ac:dyDescent="0.25">
      <c r="A737" s="1">
        <v>0.33559322916666662</v>
      </c>
      <c r="B737" t="s">
        <v>51</v>
      </c>
    </row>
    <row r="738" spans="1:2" x14ac:dyDescent="0.25">
      <c r="A738" s="1">
        <v>0.33558281249999999</v>
      </c>
      <c r="B738" t="s">
        <v>51</v>
      </c>
    </row>
    <row r="739" spans="1:2" x14ac:dyDescent="0.25">
      <c r="A739" s="1">
        <v>0.335582337962963</v>
      </c>
      <c r="B739" t="s">
        <v>51</v>
      </c>
    </row>
    <row r="740" spans="1:2" x14ac:dyDescent="0.25">
      <c r="A740" s="1">
        <v>0.33558059027777776</v>
      </c>
      <c r="B740" t="s">
        <v>53</v>
      </c>
    </row>
    <row r="741" spans="1:2" x14ac:dyDescent="0.25">
      <c r="A741" s="1">
        <v>0.33557931712962968</v>
      </c>
      <c r="B741" t="s">
        <v>52</v>
      </c>
    </row>
    <row r="742" spans="1:2" x14ac:dyDescent="0.25">
      <c r="A742" s="1">
        <v>0.33557868055555556</v>
      </c>
      <c r="B742" t="s">
        <v>51</v>
      </c>
    </row>
    <row r="743" spans="1:2" x14ac:dyDescent="0.25">
      <c r="A743" s="1">
        <v>0.33557734953703705</v>
      </c>
      <c r="B743" t="s">
        <v>51</v>
      </c>
    </row>
    <row r="744" spans="1:2" x14ac:dyDescent="0.25">
      <c r="A744" s="1">
        <v>0.33556953703703707</v>
      </c>
      <c r="B744" t="s">
        <v>51</v>
      </c>
    </row>
    <row r="745" spans="1:2" x14ac:dyDescent="0.25">
      <c r="A745" s="1">
        <v>0.33556821759259264</v>
      </c>
      <c r="B745" t="s">
        <v>51</v>
      </c>
    </row>
    <row r="746" spans="1:2" x14ac:dyDescent="0.25">
      <c r="A746" s="1">
        <v>0.33556776620370371</v>
      </c>
      <c r="B746" t="s">
        <v>51</v>
      </c>
    </row>
    <row r="747" spans="1:2" x14ac:dyDescent="0.25">
      <c r="A747" s="1">
        <v>0.33556752314814814</v>
      </c>
      <c r="B747" t="s">
        <v>52</v>
      </c>
    </row>
    <row r="748" spans="1:2" x14ac:dyDescent="0.25">
      <c r="A748" s="1">
        <v>0.33556688657407402</v>
      </c>
      <c r="B748" t="s">
        <v>51</v>
      </c>
    </row>
    <row r="749" spans="1:2" x14ac:dyDescent="0.25">
      <c r="A749" s="1">
        <v>0.33556678240740739</v>
      </c>
      <c r="B749" t="s">
        <v>53</v>
      </c>
    </row>
    <row r="750" spans="1:2" x14ac:dyDescent="0.25">
      <c r="A750" s="1">
        <v>0.33556451388888892</v>
      </c>
      <c r="B750" t="s">
        <v>52</v>
      </c>
    </row>
    <row r="751" spans="1:2" x14ac:dyDescent="0.25">
      <c r="A751" s="1">
        <v>0.33556218750000005</v>
      </c>
      <c r="B751" t="s">
        <v>53</v>
      </c>
    </row>
    <row r="752" spans="1:2" x14ac:dyDescent="0.25">
      <c r="A752" s="1">
        <v>0.3355612268518518</v>
      </c>
      <c r="B752" t="s">
        <v>53</v>
      </c>
    </row>
    <row r="753" spans="1:2" x14ac:dyDescent="0.25">
      <c r="A753" s="1">
        <v>0.33556120370370368</v>
      </c>
      <c r="B753" t="s">
        <v>52</v>
      </c>
    </row>
    <row r="754" spans="1:2" x14ac:dyDescent="0.25">
      <c r="A754" s="1">
        <v>0.33555740740740742</v>
      </c>
      <c r="B754" t="s">
        <v>51</v>
      </c>
    </row>
    <row r="755" spans="1:2" x14ac:dyDescent="0.25">
      <c r="A755" s="1">
        <v>0.3355543055555556</v>
      </c>
      <c r="B755" t="s">
        <v>53</v>
      </c>
    </row>
    <row r="756" spans="1:2" x14ac:dyDescent="0.25">
      <c r="A756" s="1">
        <v>0.33555424768518516</v>
      </c>
      <c r="B756" t="s">
        <v>51</v>
      </c>
    </row>
    <row r="757" spans="1:2" x14ac:dyDescent="0.25">
      <c r="A757" s="1">
        <v>0.33555287037037035</v>
      </c>
      <c r="B757" t="s">
        <v>53</v>
      </c>
    </row>
    <row r="758" spans="1:2" x14ac:dyDescent="0.25">
      <c r="A758" s="1">
        <v>0.33555008101851852</v>
      </c>
      <c r="B758" t="s">
        <v>53</v>
      </c>
    </row>
    <row r="759" spans="1:2" x14ac:dyDescent="0.25">
      <c r="A759" s="1">
        <v>0.33554982638888892</v>
      </c>
      <c r="B759" t="s">
        <v>52</v>
      </c>
    </row>
    <row r="760" spans="1:2" x14ac:dyDescent="0.25">
      <c r="A760" s="1">
        <v>0.33554850694444444</v>
      </c>
      <c r="B760" t="s">
        <v>52</v>
      </c>
    </row>
    <row r="761" spans="1:2" x14ac:dyDescent="0.25">
      <c r="A761" s="1">
        <v>0.33554756944444447</v>
      </c>
      <c r="B761" t="s">
        <v>52</v>
      </c>
    </row>
    <row r="762" spans="1:2" x14ac:dyDescent="0.25">
      <c r="A762" s="1">
        <v>0.3355469791666667</v>
      </c>
      <c r="B762" t="s">
        <v>53</v>
      </c>
    </row>
    <row r="763" spans="1:2" x14ac:dyDescent="0.25">
      <c r="A763" s="1">
        <v>0.33554641203703706</v>
      </c>
      <c r="B763" t="s">
        <v>52</v>
      </c>
    </row>
    <row r="764" spans="1:2" x14ac:dyDescent="0.25">
      <c r="A764" s="1">
        <v>0.33554525462962964</v>
      </c>
      <c r="B764" t="s">
        <v>53</v>
      </c>
    </row>
    <row r="765" spans="1:2" x14ac:dyDescent="0.25">
      <c r="A765" s="1">
        <v>0.33554497685185186</v>
      </c>
      <c r="B765" t="s">
        <v>52</v>
      </c>
    </row>
    <row r="766" spans="1:2" x14ac:dyDescent="0.25">
      <c r="A766" s="1">
        <v>0.33553956018518516</v>
      </c>
      <c r="B766" t="s">
        <v>51</v>
      </c>
    </row>
    <row r="767" spans="1:2" x14ac:dyDescent="0.25">
      <c r="A767" s="1">
        <v>0.33553891203703706</v>
      </c>
      <c r="B767" t="s">
        <v>51</v>
      </c>
    </row>
    <row r="768" spans="1:2" x14ac:dyDescent="0.25">
      <c r="A768" s="1">
        <v>0.33553891203703706</v>
      </c>
      <c r="B768" t="s">
        <v>52</v>
      </c>
    </row>
    <row r="769" spans="1:2" x14ac:dyDescent="0.25">
      <c r="A769" s="1">
        <v>0.33553649305555555</v>
      </c>
      <c r="B769" t="s">
        <v>51</v>
      </c>
    </row>
    <row r="770" spans="1:2" x14ac:dyDescent="0.25">
      <c r="A770" s="1">
        <v>0.33553262731481487</v>
      </c>
      <c r="B770" t="s">
        <v>53</v>
      </c>
    </row>
    <row r="771" spans="1:2" x14ac:dyDescent="0.25">
      <c r="A771" s="1">
        <v>0.33553196759259257</v>
      </c>
      <c r="B771" t="s">
        <v>51</v>
      </c>
    </row>
    <row r="772" spans="1:2" x14ac:dyDescent="0.25">
      <c r="A772" s="1">
        <v>0.33553163194444441</v>
      </c>
      <c r="B772" t="s">
        <v>51</v>
      </c>
    </row>
    <row r="773" spans="1:2" x14ac:dyDescent="0.25">
      <c r="A773" s="1">
        <v>0.33553113425925929</v>
      </c>
      <c r="B773" t="s">
        <v>51</v>
      </c>
    </row>
    <row r="774" spans="1:2" x14ac:dyDescent="0.25">
      <c r="A774" s="1">
        <v>0.33552894675925926</v>
      </c>
      <c r="B774" t="s">
        <v>53</v>
      </c>
    </row>
    <row r="775" spans="1:2" x14ac:dyDescent="0.25">
      <c r="A775" s="1">
        <v>0.33552785879629626</v>
      </c>
      <c r="B775" t="s">
        <v>53</v>
      </c>
    </row>
    <row r="776" spans="1:2" x14ac:dyDescent="0.25">
      <c r="A776" s="1">
        <v>0.33552771990740737</v>
      </c>
      <c r="B776" t="s">
        <v>51</v>
      </c>
    </row>
    <row r="777" spans="1:2" x14ac:dyDescent="0.25">
      <c r="A777" s="1">
        <v>0.33552744212962965</v>
      </c>
      <c r="B777" t="s">
        <v>53</v>
      </c>
    </row>
    <row r="778" spans="1:2" x14ac:dyDescent="0.25">
      <c r="A778" s="1">
        <v>0.33552459490740744</v>
      </c>
      <c r="B778" t="s">
        <v>52</v>
      </c>
    </row>
    <row r="779" spans="1:2" x14ac:dyDescent="0.25">
      <c r="A779" s="1">
        <v>0.33551952546296299</v>
      </c>
      <c r="B779" t="s">
        <v>51</v>
      </c>
    </row>
    <row r="780" spans="1:2" x14ac:dyDescent="0.25">
      <c r="A780" s="1">
        <v>0.33551902777777776</v>
      </c>
      <c r="B780" t="s">
        <v>51</v>
      </c>
    </row>
    <row r="781" spans="1:2" x14ac:dyDescent="0.25">
      <c r="A781" s="1">
        <v>0.33551611111111113</v>
      </c>
      <c r="B781" t="s">
        <v>53</v>
      </c>
    </row>
    <row r="782" spans="1:2" x14ac:dyDescent="0.25">
      <c r="A782" s="1">
        <v>0.33551462962962963</v>
      </c>
      <c r="B782" t="s">
        <v>52</v>
      </c>
    </row>
    <row r="783" spans="1:2" x14ac:dyDescent="0.25">
      <c r="A783" s="1">
        <v>0.33551347222222222</v>
      </c>
      <c r="B783" t="s">
        <v>51</v>
      </c>
    </row>
    <row r="784" spans="1:2" x14ac:dyDescent="0.25">
      <c r="A784" s="1">
        <v>0.33551271990740744</v>
      </c>
      <c r="B784" t="s">
        <v>53</v>
      </c>
    </row>
    <row r="785" spans="1:2" x14ac:dyDescent="0.25">
      <c r="A785" s="1">
        <v>0.33551040509259256</v>
      </c>
      <c r="B785" t="s">
        <v>52</v>
      </c>
    </row>
    <row r="786" spans="1:2" x14ac:dyDescent="0.25">
      <c r="A786" s="1">
        <v>0.33550950231481486</v>
      </c>
      <c r="B786" t="s">
        <v>52</v>
      </c>
    </row>
    <row r="787" spans="1:2" x14ac:dyDescent="0.25">
      <c r="A787" s="1">
        <v>0.33550881944444444</v>
      </c>
      <c r="B787" t="s">
        <v>52</v>
      </c>
    </row>
    <row r="788" spans="1:2" x14ac:dyDescent="0.25">
      <c r="A788" s="1">
        <v>0.3355078125</v>
      </c>
      <c r="B788" t="s">
        <v>51</v>
      </c>
    </row>
    <row r="789" spans="1:2" x14ac:dyDescent="0.25">
      <c r="A789" s="1">
        <v>0.33550592592592593</v>
      </c>
      <c r="B789" t="s">
        <v>51</v>
      </c>
    </row>
    <row r="790" spans="1:2" x14ac:dyDescent="0.25">
      <c r="A790" s="1">
        <v>0.33550513888888894</v>
      </c>
      <c r="B790" t="s">
        <v>51</v>
      </c>
    </row>
    <row r="791" spans="1:2" x14ac:dyDescent="0.25">
      <c r="A791" s="1">
        <v>0.33550247685185181</v>
      </c>
      <c r="B791" t="s">
        <v>52</v>
      </c>
    </row>
    <row r="792" spans="1:2" x14ac:dyDescent="0.25">
      <c r="A792" s="1">
        <v>0.33549787037037038</v>
      </c>
      <c r="B792" t="s">
        <v>52</v>
      </c>
    </row>
    <row r="793" spans="1:2" x14ac:dyDescent="0.25">
      <c r="A793" s="1">
        <v>0.33549773148148149</v>
      </c>
      <c r="B793" t="s">
        <v>53</v>
      </c>
    </row>
    <row r="794" spans="1:2" x14ac:dyDescent="0.25">
      <c r="A794" s="1">
        <v>0.3354975</v>
      </c>
      <c r="B794" t="s">
        <v>51</v>
      </c>
    </row>
    <row r="795" spans="1:2" x14ac:dyDescent="0.25">
      <c r="A795" s="1">
        <v>0.33549649305555557</v>
      </c>
      <c r="B795" t="s">
        <v>52</v>
      </c>
    </row>
    <row r="796" spans="1:2" x14ac:dyDescent="0.25">
      <c r="A796" s="1">
        <v>0.33549643518518518</v>
      </c>
      <c r="B796" t="s">
        <v>53</v>
      </c>
    </row>
    <row r="797" spans="1:2" x14ac:dyDescent="0.25">
      <c r="A797" s="1">
        <v>0.33549547453703704</v>
      </c>
      <c r="B797" t="s">
        <v>51</v>
      </c>
    </row>
    <row r="798" spans="1:2" x14ac:dyDescent="0.25">
      <c r="A798" s="1">
        <v>0.33549181712962967</v>
      </c>
      <c r="B798" t="s">
        <v>52</v>
      </c>
    </row>
    <row r="799" spans="1:2" x14ac:dyDescent="0.25">
      <c r="A799" s="1">
        <v>0.33548893518518513</v>
      </c>
      <c r="B799" t="s">
        <v>53</v>
      </c>
    </row>
    <row r="800" spans="1:2" x14ac:dyDescent="0.25">
      <c r="A800" s="1">
        <v>0.3354885763888889</v>
      </c>
      <c r="B800" t="s">
        <v>53</v>
      </c>
    </row>
    <row r="801" spans="1:2" x14ac:dyDescent="0.25">
      <c r="A801" s="1">
        <v>0.33548681712962963</v>
      </c>
      <c r="B801" t="s">
        <v>51</v>
      </c>
    </row>
    <row r="802" spans="1:2" x14ac:dyDescent="0.25">
      <c r="A802" s="1">
        <v>0.33548170138888889</v>
      </c>
      <c r="B802" t="s">
        <v>52</v>
      </c>
    </row>
    <row r="803" spans="1:2" x14ac:dyDescent="0.25">
      <c r="A803" s="1">
        <v>0.33548112268518521</v>
      </c>
      <c r="B803" t="s">
        <v>51</v>
      </c>
    </row>
    <row r="804" spans="1:2" x14ac:dyDescent="0.25">
      <c r="A804" s="1">
        <v>0.33548005787037033</v>
      </c>
      <c r="B804" t="s">
        <v>51</v>
      </c>
    </row>
    <row r="805" spans="1:2" x14ac:dyDescent="0.25">
      <c r="A805" s="1">
        <v>0.33547906249999998</v>
      </c>
      <c r="B805" t="s">
        <v>52</v>
      </c>
    </row>
    <row r="806" spans="1:2" x14ac:dyDescent="0.25">
      <c r="A806" s="1">
        <v>0.3354771875</v>
      </c>
      <c r="B806" t="s">
        <v>51</v>
      </c>
    </row>
    <row r="807" spans="1:2" x14ac:dyDescent="0.25">
      <c r="A807" s="1">
        <v>0.3354769212962963</v>
      </c>
      <c r="B807" t="s">
        <v>51</v>
      </c>
    </row>
    <row r="808" spans="1:2" x14ac:dyDescent="0.25">
      <c r="A808" s="1">
        <v>0.33547572916666663</v>
      </c>
      <c r="B808" t="s">
        <v>51</v>
      </c>
    </row>
    <row r="809" spans="1:2" x14ac:dyDescent="0.25">
      <c r="A809" s="1">
        <v>0.33547113425925928</v>
      </c>
      <c r="B809" t="s">
        <v>53</v>
      </c>
    </row>
    <row r="810" spans="1:2" x14ac:dyDescent="0.25">
      <c r="A810" s="1">
        <v>0.33546902777777782</v>
      </c>
      <c r="B810" t="s">
        <v>51</v>
      </c>
    </row>
    <row r="811" spans="1:2" x14ac:dyDescent="0.25">
      <c r="A811" s="1">
        <v>0.33546525462962967</v>
      </c>
      <c r="B811" t="s">
        <v>53</v>
      </c>
    </row>
    <row r="812" spans="1:2" x14ac:dyDescent="0.25">
      <c r="A812" s="1">
        <v>0.3354651388888889</v>
      </c>
      <c r="B812" t="s">
        <v>51</v>
      </c>
    </row>
    <row r="813" spans="1:2" x14ac:dyDescent="0.25">
      <c r="A813" s="1">
        <v>0.33546417824074076</v>
      </c>
      <c r="B813" t="s">
        <v>51</v>
      </c>
    </row>
    <row r="814" spans="1:2" x14ac:dyDescent="0.25">
      <c r="A814" s="1">
        <v>0.33546416666666667</v>
      </c>
      <c r="B814" t="s">
        <v>52</v>
      </c>
    </row>
    <row r="815" spans="1:2" x14ac:dyDescent="0.25">
      <c r="A815" s="1">
        <v>0.33546388888888884</v>
      </c>
      <c r="B815" t="s">
        <v>53</v>
      </c>
    </row>
    <row r="816" spans="1:2" x14ac:dyDescent="0.25">
      <c r="A816" s="1">
        <v>0.33546318287037041</v>
      </c>
      <c r="B816" t="s">
        <v>53</v>
      </c>
    </row>
    <row r="817" spans="1:2" x14ac:dyDescent="0.25">
      <c r="A817" s="1">
        <v>0.33546289351851849</v>
      </c>
      <c r="B817" t="s">
        <v>53</v>
      </c>
    </row>
    <row r="818" spans="1:2" x14ac:dyDescent="0.25">
      <c r="A818" s="1">
        <v>0.33546237268518514</v>
      </c>
      <c r="B818" t="s">
        <v>53</v>
      </c>
    </row>
    <row r="819" spans="1:2" x14ac:dyDescent="0.25">
      <c r="A819" s="1">
        <v>0.33546208333333333</v>
      </c>
      <c r="B819" t="s">
        <v>53</v>
      </c>
    </row>
    <row r="820" spans="1:2" x14ac:dyDescent="0.25">
      <c r="A820" s="1">
        <v>0.33545530092592596</v>
      </c>
      <c r="B820" t="s">
        <v>51</v>
      </c>
    </row>
    <row r="821" spans="1:2" x14ac:dyDescent="0.25">
      <c r="A821" s="1">
        <v>0.33545422453703705</v>
      </c>
      <c r="B821" t="s">
        <v>53</v>
      </c>
    </row>
    <row r="822" spans="1:2" x14ac:dyDescent="0.25">
      <c r="A822" s="1">
        <v>0.33545394675925927</v>
      </c>
      <c r="B822" t="s">
        <v>52</v>
      </c>
    </row>
    <row r="823" spans="1:2" x14ac:dyDescent="0.25">
      <c r="A823" s="1">
        <v>0.33545243055555557</v>
      </c>
      <c r="B823" t="s">
        <v>52</v>
      </c>
    </row>
    <row r="824" spans="1:2" x14ac:dyDescent="0.25">
      <c r="A824" s="1">
        <v>0.33545098379629629</v>
      </c>
      <c r="B824" t="s">
        <v>52</v>
      </c>
    </row>
    <row r="825" spans="1:2" x14ac:dyDescent="0.25">
      <c r="A825" s="1">
        <v>0.33544898148148145</v>
      </c>
      <c r="B825" t="s">
        <v>53</v>
      </c>
    </row>
    <row r="826" spans="1:2" x14ac:dyDescent="0.25">
      <c r="A826" s="1">
        <v>0.33544613425925923</v>
      </c>
      <c r="B826" t="s">
        <v>52</v>
      </c>
    </row>
    <row r="827" spans="1:2" x14ac:dyDescent="0.25">
      <c r="A827" s="1">
        <v>0.33544476851851851</v>
      </c>
      <c r="B827" t="s">
        <v>53</v>
      </c>
    </row>
    <row r="828" spans="1:2" x14ac:dyDescent="0.25">
      <c r="A828" s="1">
        <v>0.33544421296296295</v>
      </c>
      <c r="B828" t="s">
        <v>51</v>
      </c>
    </row>
    <row r="829" spans="1:2" x14ac:dyDescent="0.25">
      <c r="A829" s="1">
        <v>0.33544386574074075</v>
      </c>
      <c r="B829" t="s">
        <v>51</v>
      </c>
    </row>
    <row r="830" spans="1:2" x14ac:dyDescent="0.25">
      <c r="A830" s="1">
        <v>0.33543840277777776</v>
      </c>
      <c r="B830" t="s">
        <v>52</v>
      </c>
    </row>
    <row r="831" spans="1:2" x14ac:dyDescent="0.25">
      <c r="A831" s="1">
        <v>0.33543680555555561</v>
      </c>
      <c r="B831" t="s">
        <v>53</v>
      </c>
    </row>
    <row r="832" spans="1:2" x14ac:dyDescent="0.25">
      <c r="A832" s="1">
        <v>0.33543537037037036</v>
      </c>
      <c r="B832" t="s">
        <v>52</v>
      </c>
    </row>
    <row r="833" spans="1:2" x14ac:dyDescent="0.25">
      <c r="A833" s="1">
        <v>0.33543410879629626</v>
      </c>
      <c r="B833" t="s">
        <v>53</v>
      </c>
    </row>
    <row r="834" spans="1:2" x14ac:dyDescent="0.25">
      <c r="A834" s="1">
        <v>0.33543300925925923</v>
      </c>
      <c r="B834" t="s">
        <v>53</v>
      </c>
    </row>
    <row r="835" spans="1:2" x14ac:dyDescent="0.25">
      <c r="A835" s="1">
        <v>0.3354305671296296</v>
      </c>
      <c r="B835" t="s">
        <v>52</v>
      </c>
    </row>
    <row r="836" spans="1:2" x14ac:dyDescent="0.25">
      <c r="A836" s="1">
        <v>0.33542756944444446</v>
      </c>
      <c r="B836" t="s">
        <v>53</v>
      </c>
    </row>
    <row r="837" spans="1:2" x14ac:dyDescent="0.25">
      <c r="A837" s="1">
        <v>0.33542721064814818</v>
      </c>
      <c r="B837" t="s">
        <v>51</v>
      </c>
    </row>
    <row r="838" spans="1:2" x14ac:dyDescent="0.25">
      <c r="A838" s="1">
        <v>0.33542366898148152</v>
      </c>
      <c r="B838" t="s">
        <v>51</v>
      </c>
    </row>
    <row r="839" spans="1:2" x14ac:dyDescent="0.25">
      <c r="A839" s="1">
        <v>0.3354231597222222</v>
      </c>
      <c r="B839" t="s">
        <v>53</v>
      </c>
    </row>
    <row r="840" spans="1:2" x14ac:dyDescent="0.25">
      <c r="A840" s="1">
        <v>0.33542313657407408</v>
      </c>
      <c r="B840" t="s">
        <v>52</v>
      </c>
    </row>
    <row r="841" spans="1:2" x14ac:dyDescent="0.25">
      <c r="A841" s="1">
        <v>0.33542290509259259</v>
      </c>
      <c r="B841" t="s">
        <v>52</v>
      </c>
    </row>
    <row r="842" spans="1:2" x14ac:dyDescent="0.25">
      <c r="A842" s="1">
        <v>0.33542065972222224</v>
      </c>
      <c r="B842" t="s">
        <v>52</v>
      </c>
    </row>
    <row r="843" spans="1:2" x14ac:dyDescent="0.25">
      <c r="A843" s="1">
        <v>0.33542059027777776</v>
      </c>
      <c r="B843" t="s">
        <v>52</v>
      </c>
    </row>
    <row r="844" spans="1:2" x14ac:dyDescent="0.25">
      <c r="A844" s="1">
        <v>0.33542040509259258</v>
      </c>
      <c r="B844" t="s">
        <v>51</v>
      </c>
    </row>
    <row r="845" spans="1:2" x14ac:dyDescent="0.25">
      <c r="A845" s="1">
        <v>0.33541791666666665</v>
      </c>
      <c r="B845" t="s">
        <v>53</v>
      </c>
    </row>
    <row r="846" spans="1:2" x14ac:dyDescent="0.25">
      <c r="A846" s="1">
        <v>0.33541287037037032</v>
      </c>
      <c r="B846" t="s">
        <v>52</v>
      </c>
    </row>
    <row r="847" spans="1:2" x14ac:dyDescent="0.25">
      <c r="A847" s="1">
        <v>0.33540565972222219</v>
      </c>
      <c r="B847" t="s">
        <v>52</v>
      </c>
    </row>
    <row r="848" spans="1:2" x14ac:dyDescent="0.25">
      <c r="A848" s="1">
        <v>0.33540549768518518</v>
      </c>
      <c r="B848" t="s">
        <v>51</v>
      </c>
    </row>
    <row r="849" spans="1:2" x14ac:dyDescent="0.25">
      <c r="A849" s="1">
        <v>0.33540283564814816</v>
      </c>
      <c r="B849" t="s">
        <v>53</v>
      </c>
    </row>
    <row r="850" spans="1:2" x14ac:dyDescent="0.25">
      <c r="A850" s="1">
        <v>0.3354024074074074</v>
      </c>
      <c r="B850" t="s">
        <v>53</v>
      </c>
    </row>
    <row r="851" spans="1:2" x14ac:dyDescent="0.25">
      <c r="A851" s="1">
        <v>0.3354013657407407</v>
      </c>
      <c r="B851" t="s">
        <v>53</v>
      </c>
    </row>
    <row r="852" spans="1:2" x14ac:dyDescent="0.25">
      <c r="A852" s="1">
        <v>0.33539684027777777</v>
      </c>
      <c r="B852" t="s">
        <v>53</v>
      </c>
    </row>
    <row r="853" spans="1:2" x14ac:dyDescent="0.25">
      <c r="A853" s="1">
        <v>0.33539569444444445</v>
      </c>
      <c r="B853" t="s">
        <v>53</v>
      </c>
    </row>
    <row r="854" spans="1:2" x14ac:dyDescent="0.25">
      <c r="A854" s="1">
        <v>0.33539494212962961</v>
      </c>
      <c r="B854" t="s">
        <v>53</v>
      </c>
    </row>
    <row r="855" spans="1:2" x14ac:dyDescent="0.25">
      <c r="A855" s="1">
        <v>0.33539476851851852</v>
      </c>
      <c r="B855" t="s">
        <v>52</v>
      </c>
    </row>
    <row r="856" spans="1:2" x14ac:dyDescent="0.25">
      <c r="A856" s="1">
        <v>0.33539474537037034</v>
      </c>
      <c r="B856" t="s">
        <v>51</v>
      </c>
    </row>
    <row r="857" spans="1:2" x14ac:dyDescent="0.25">
      <c r="A857" s="1">
        <v>0.33539129629629633</v>
      </c>
      <c r="B857" t="s">
        <v>51</v>
      </c>
    </row>
    <row r="858" spans="1:2" x14ac:dyDescent="0.25">
      <c r="A858" s="1">
        <v>0.33539114583333335</v>
      </c>
      <c r="B858" t="s">
        <v>52</v>
      </c>
    </row>
    <row r="859" spans="1:2" x14ac:dyDescent="0.25">
      <c r="A859" s="1">
        <v>0.3353907986111111</v>
      </c>
      <c r="B859" t="s">
        <v>52</v>
      </c>
    </row>
    <row r="860" spans="1:2" x14ac:dyDescent="0.25">
      <c r="A860" s="1">
        <v>0.33538917824074077</v>
      </c>
      <c r="B860" t="s">
        <v>51</v>
      </c>
    </row>
    <row r="861" spans="1:2" x14ac:dyDescent="0.25">
      <c r="A861" s="1">
        <v>0.33538864583333333</v>
      </c>
      <c r="B861" t="s">
        <v>53</v>
      </c>
    </row>
    <row r="862" spans="1:2" x14ac:dyDescent="0.25">
      <c r="A862" s="1">
        <v>0.33538384259259257</v>
      </c>
      <c r="B862" t="s">
        <v>52</v>
      </c>
    </row>
    <row r="863" spans="1:2" x14ac:dyDescent="0.25">
      <c r="A863" s="1">
        <v>0.33538378472222224</v>
      </c>
      <c r="B863" t="s">
        <v>53</v>
      </c>
    </row>
    <row r="864" spans="1:2" x14ac:dyDescent="0.25">
      <c r="A864" s="1">
        <v>0.33538337962962966</v>
      </c>
      <c r="B864" t="s">
        <v>53</v>
      </c>
    </row>
    <row r="865" spans="1:2" x14ac:dyDescent="0.25">
      <c r="A865" s="1">
        <v>0.33538311342592592</v>
      </c>
      <c r="B865" t="s">
        <v>52</v>
      </c>
    </row>
    <row r="866" spans="1:2" x14ac:dyDescent="0.25">
      <c r="A866" s="1">
        <v>0.33538295138888891</v>
      </c>
      <c r="B866" t="s">
        <v>52</v>
      </c>
    </row>
    <row r="867" spans="1:2" x14ac:dyDescent="0.25">
      <c r="A867" s="1">
        <v>0.33538232638888887</v>
      </c>
      <c r="B867" t="s">
        <v>51</v>
      </c>
    </row>
    <row r="868" spans="1:2" x14ac:dyDescent="0.25">
      <c r="A868" s="1">
        <v>0.33538223379629634</v>
      </c>
      <c r="B868" t="s">
        <v>52</v>
      </c>
    </row>
    <row r="869" spans="1:2" x14ac:dyDescent="0.25">
      <c r="A869" s="1">
        <v>0.33538031250000006</v>
      </c>
      <c r="B869" t="s">
        <v>53</v>
      </c>
    </row>
    <row r="870" spans="1:2" x14ac:dyDescent="0.25">
      <c r="A870" s="1">
        <v>0.33537947916666666</v>
      </c>
      <c r="B870" t="s">
        <v>53</v>
      </c>
    </row>
    <row r="871" spans="1:2" x14ac:dyDescent="0.25">
      <c r="A871" s="1">
        <v>0.33537901620370375</v>
      </c>
      <c r="B871" t="s">
        <v>53</v>
      </c>
    </row>
    <row r="872" spans="1:2" x14ac:dyDescent="0.25">
      <c r="A872" s="1">
        <v>0.33537868055555559</v>
      </c>
      <c r="B872" t="s">
        <v>51</v>
      </c>
    </row>
    <row r="873" spans="1:2" x14ac:dyDescent="0.25">
      <c r="A873" s="1">
        <v>0.33537656250000003</v>
      </c>
      <c r="B873" t="s">
        <v>52</v>
      </c>
    </row>
    <row r="874" spans="1:2" x14ac:dyDescent="0.25">
      <c r="A874" s="1">
        <v>0.33537583333333337</v>
      </c>
      <c r="B874" t="s">
        <v>51</v>
      </c>
    </row>
    <row r="875" spans="1:2" x14ac:dyDescent="0.25">
      <c r="A875" s="1">
        <v>0.33537486111111114</v>
      </c>
      <c r="B875" t="s">
        <v>52</v>
      </c>
    </row>
    <row r="876" spans="1:2" x14ac:dyDescent="0.25">
      <c r="A876" s="1">
        <v>0.33537468750000005</v>
      </c>
      <c r="B876" t="s">
        <v>53</v>
      </c>
    </row>
    <row r="877" spans="1:2" x14ac:dyDescent="0.25">
      <c r="A877" s="1">
        <v>0.33537256944444443</v>
      </c>
      <c r="B877" t="s">
        <v>52</v>
      </c>
    </row>
    <row r="878" spans="1:2" x14ac:dyDescent="0.25">
      <c r="A878" s="1">
        <v>0.33537127314814813</v>
      </c>
      <c r="B878" t="s">
        <v>52</v>
      </c>
    </row>
    <row r="879" spans="1:2" x14ac:dyDescent="0.25">
      <c r="A879" s="1">
        <v>0.33537090277777781</v>
      </c>
      <c r="B879" t="s">
        <v>51</v>
      </c>
    </row>
    <row r="880" spans="1:2" x14ac:dyDescent="0.25">
      <c r="A880" s="1">
        <v>0.33537020833333336</v>
      </c>
      <c r="B880" t="s">
        <v>53</v>
      </c>
    </row>
    <row r="881" spans="1:2" x14ac:dyDescent="0.25">
      <c r="A881" s="1">
        <v>0.33536842592592592</v>
      </c>
      <c r="B881" t="s">
        <v>52</v>
      </c>
    </row>
    <row r="882" spans="1:2" x14ac:dyDescent="0.25">
      <c r="A882" s="1">
        <v>0.33536456018518518</v>
      </c>
      <c r="B882" t="s">
        <v>52</v>
      </c>
    </row>
    <row r="883" spans="1:2" x14ac:dyDescent="0.25">
      <c r="A883" s="1">
        <v>0.33536362268518521</v>
      </c>
      <c r="B883" t="s">
        <v>51</v>
      </c>
    </row>
    <row r="884" spans="1:2" x14ac:dyDescent="0.25">
      <c r="A884" s="1">
        <v>0.33536255787037034</v>
      </c>
      <c r="B884" t="s">
        <v>51</v>
      </c>
    </row>
    <row r="885" spans="1:2" x14ac:dyDescent="0.25">
      <c r="A885" s="1">
        <v>0.33536182870370368</v>
      </c>
      <c r="B885" t="s">
        <v>53</v>
      </c>
    </row>
    <row r="886" spans="1:2" x14ac:dyDescent="0.25">
      <c r="A886" s="1">
        <v>0.33535813657407409</v>
      </c>
      <c r="B886" t="s">
        <v>52</v>
      </c>
    </row>
    <row r="887" spans="1:2" x14ac:dyDescent="0.25">
      <c r="A887" s="1">
        <v>0.33535758101851854</v>
      </c>
      <c r="B887" t="s">
        <v>52</v>
      </c>
    </row>
    <row r="888" spans="1:2" x14ac:dyDescent="0.25">
      <c r="A888" s="1">
        <v>0.33535609953703704</v>
      </c>
      <c r="B888" t="s">
        <v>53</v>
      </c>
    </row>
    <row r="889" spans="1:2" x14ac:dyDescent="0.25">
      <c r="A889" s="1">
        <v>0.33535592592592595</v>
      </c>
      <c r="B889" t="s">
        <v>51</v>
      </c>
    </row>
    <row r="890" spans="1:2" x14ac:dyDescent="0.25">
      <c r="A890" s="1">
        <v>0.33535325231481483</v>
      </c>
      <c r="B890" t="s">
        <v>52</v>
      </c>
    </row>
    <row r="891" spans="1:2" x14ac:dyDescent="0.25">
      <c r="A891" s="1">
        <v>0.33535281249999999</v>
      </c>
      <c r="B891" t="s">
        <v>51</v>
      </c>
    </row>
    <row r="892" spans="1:2" x14ac:dyDescent="0.25">
      <c r="A892" s="1">
        <v>0.33535149305555551</v>
      </c>
      <c r="B892" t="s">
        <v>51</v>
      </c>
    </row>
    <row r="893" spans="1:2" x14ac:dyDescent="0.25">
      <c r="A893" s="1">
        <v>0.33535130787037032</v>
      </c>
      <c r="B893" t="s">
        <v>51</v>
      </c>
    </row>
    <row r="894" spans="1:2" x14ac:dyDescent="0.25">
      <c r="A894" s="1">
        <v>0.33534996527777777</v>
      </c>
      <c r="B894" t="s">
        <v>52</v>
      </c>
    </row>
    <row r="895" spans="1:2" x14ac:dyDescent="0.25">
      <c r="A895" s="1">
        <v>0.33534721064814815</v>
      </c>
      <c r="B895" t="s">
        <v>51</v>
      </c>
    </row>
    <row r="896" spans="1:2" x14ac:dyDescent="0.25">
      <c r="A896" s="1">
        <v>0.33534663194444447</v>
      </c>
      <c r="B896" t="s">
        <v>52</v>
      </c>
    </row>
    <row r="897" spans="1:2" x14ac:dyDescent="0.25">
      <c r="A897" s="1">
        <v>0.33534434027777776</v>
      </c>
      <c r="B897" t="s">
        <v>51</v>
      </c>
    </row>
    <row r="898" spans="1:2" x14ac:dyDescent="0.25">
      <c r="A898" s="1">
        <v>0.33534393518518518</v>
      </c>
      <c r="B898" t="s">
        <v>52</v>
      </c>
    </row>
    <row r="899" spans="1:2" x14ac:dyDescent="0.25">
      <c r="A899" s="1">
        <v>0.335343275462963</v>
      </c>
      <c r="B899" t="s">
        <v>53</v>
      </c>
    </row>
    <row r="900" spans="1:2" x14ac:dyDescent="0.25">
      <c r="A900" s="1">
        <v>0.33534270833333335</v>
      </c>
      <c r="B900" t="s">
        <v>53</v>
      </c>
    </row>
    <row r="901" spans="1:2" x14ac:dyDescent="0.25">
      <c r="A901" s="1">
        <v>0.33534173611111112</v>
      </c>
      <c r="B901" t="s">
        <v>51</v>
      </c>
    </row>
    <row r="902" spans="1:2" x14ac:dyDescent="0.25">
      <c r="A902" s="1">
        <v>0.33534021990740742</v>
      </c>
      <c r="B902" t="s">
        <v>51</v>
      </c>
    </row>
    <row r="903" spans="1:2" x14ac:dyDescent="0.25">
      <c r="A903" s="1">
        <v>0.33533814814814816</v>
      </c>
      <c r="B903" t="s">
        <v>52</v>
      </c>
    </row>
    <row r="904" spans="1:2" x14ac:dyDescent="0.25">
      <c r="A904" s="1">
        <v>0.33533686342592595</v>
      </c>
      <c r="B904" t="s">
        <v>53</v>
      </c>
    </row>
    <row r="905" spans="1:2" x14ac:dyDescent="0.25">
      <c r="A905" s="1">
        <v>0.3353344328703704</v>
      </c>
      <c r="B905" t="s">
        <v>53</v>
      </c>
    </row>
    <row r="906" spans="1:2" x14ac:dyDescent="0.25">
      <c r="A906" s="1">
        <v>0.33533424768518522</v>
      </c>
      <c r="B906" t="s">
        <v>53</v>
      </c>
    </row>
    <row r="907" spans="1:2" x14ac:dyDescent="0.25">
      <c r="A907" s="1">
        <v>0.33533381944444446</v>
      </c>
      <c r="B907" t="s">
        <v>52</v>
      </c>
    </row>
    <row r="908" spans="1:2" x14ac:dyDescent="0.25">
      <c r="A908" s="1">
        <v>0.33533243055555556</v>
      </c>
      <c r="B908" t="s">
        <v>53</v>
      </c>
    </row>
    <row r="909" spans="1:2" x14ac:dyDescent="0.25">
      <c r="A909" s="1">
        <v>0.33533163194444443</v>
      </c>
      <c r="B909" t="s">
        <v>53</v>
      </c>
    </row>
    <row r="910" spans="1:2" x14ac:dyDescent="0.25">
      <c r="A910" s="1">
        <v>0.33532831018518516</v>
      </c>
      <c r="B910" t="s">
        <v>52</v>
      </c>
    </row>
    <row r="911" spans="1:2" x14ac:dyDescent="0.25">
      <c r="A911" s="1">
        <v>0.33532597222222221</v>
      </c>
      <c r="B911" t="s">
        <v>52</v>
      </c>
    </row>
    <row r="912" spans="1:2" x14ac:dyDescent="0.25">
      <c r="A912" s="1">
        <v>0.33532478009259264</v>
      </c>
      <c r="B912" t="s">
        <v>51</v>
      </c>
    </row>
    <row r="913" spans="1:2" x14ac:dyDescent="0.25">
      <c r="A913" s="1">
        <v>0.33532358796296297</v>
      </c>
      <c r="B913" t="s">
        <v>53</v>
      </c>
    </row>
    <row r="914" spans="1:2" x14ac:dyDescent="0.25">
      <c r="A914" s="1">
        <v>0.33532349537037037</v>
      </c>
      <c r="B914" t="s">
        <v>53</v>
      </c>
    </row>
    <row r="915" spans="1:2" x14ac:dyDescent="0.25">
      <c r="A915" s="1">
        <v>0.33532333333333336</v>
      </c>
      <c r="B915" t="s">
        <v>52</v>
      </c>
    </row>
    <row r="916" spans="1:2" x14ac:dyDescent="0.25">
      <c r="A916" s="1">
        <v>0.33532144675925929</v>
      </c>
      <c r="B916" t="s">
        <v>52</v>
      </c>
    </row>
    <row r="917" spans="1:2" x14ac:dyDescent="0.25">
      <c r="A917" s="1">
        <v>0.33532106481481483</v>
      </c>
      <c r="B917" t="s">
        <v>51</v>
      </c>
    </row>
    <row r="918" spans="1:2" x14ac:dyDescent="0.25">
      <c r="A918" s="1">
        <v>0.33531734953703701</v>
      </c>
      <c r="B918" t="s">
        <v>52</v>
      </c>
    </row>
    <row r="919" spans="1:2" x14ac:dyDescent="0.25">
      <c r="A919" s="1">
        <v>0.33531729166666668</v>
      </c>
      <c r="B919" t="s">
        <v>51</v>
      </c>
    </row>
    <row r="920" spans="1:2" x14ac:dyDescent="0.25">
      <c r="A920" s="1">
        <v>0.33531719907407403</v>
      </c>
      <c r="B920" t="s">
        <v>53</v>
      </c>
    </row>
    <row r="921" spans="1:2" x14ac:dyDescent="0.25">
      <c r="A921" s="1">
        <v>0.33531637731481484</v>
      </c>
      <c r="B921" t="s">
        <v>52</v>
      </c>
    </row>
    <row r="922" spans="1:2" x14ac:dyDescent="0.25">
      <c r="A922" s="1">
        <v>0.33531476851851849</v>
      </c>
      <c r="B922" t="s">
        <v>51</v>
      </c>
    </row>
    <row r="923" spans="1:2" x14ac:dyDescent="0.25">
      <c r="A923" s="1">
        <v>0.33531243055555554</v>
      </c>
      <c r="B923" t="s">
        <v>51</v>
      </c>
    </row>
    <row r="924" spans="1:2" x14ac:dyDescent="0.25">
      <c r="A924" s="1">
        <v>0.33531179398148153</v>
      </c>
      <c r="B924" t="s">
        <v>53</v>
      </c>
    </row>
    <row r="925" spans="1:2" x14ac:dyDescent="0.25">
      <c r="A925" s="1">
        <v>0.33531136574074072</v>
      </c>
      <c r="B925" t="s">
        <v>53</v>
      </c>
    </row>
    <row r="926" spans="1:2" x14ac:dyDescent="0.25">
      <c r="A926" s="1">
        <v>0.33531055555555556</v>
      </c>
      <c r="B926" t="s">
        <v>52</v>
      </c>
    </row>
    <row r="927" spans="1:2" x14ac:dyDescent="0.25">
      <c r="A927" s="1">
        <v>0.3353087384259259</v>
      </c>
      <c r="B927" t="s">
        <v>53</v>
      </c>
    </row>
    <row r="928" spans="1:2" x14ac:dyDescent="0.25">
      <c r="A928" s="1">
        <v>0.33530736111111109</v>
      </c>
      <c r="B928" t="s">
        <v>51</v>
      </c>
    </row>
    <row r="929" spans="1:2" x14ac:dyDescent="0.25">
      <c r="A929" s="1">
        <v>0.33530648148148146</v>
      </c>
      <c r="B929" t="s">
        <v>51</v>
      </c>
    </row>
    <row r="930" spans="1:2" x14ac:dyDescent="0.25">
      <c r="A930" s="1">
        <v>0.33530615740740743</v>
      </c>
      <c r="B930" t="s">
        <v>51</v>
      </c>
    </row>
    <row r="931" spans="1:2" x14ac:dyDescent="0.25">
      <c r="A931" s="1">
        <v>0.33530605324074075</v>
      </c>
      <c r="B931" t="s">
        <v>53</v>
      </c>
    </row>
    <row r="932" spans="1:2" x14ac:dyDescent="0.25">
      <c r="A932" s="1">
        <v>0.33530491898148146</v>
      </c>
      <c r="B932" t="s">
        <v>53</v>
      </c>
    </row>
    <row r="933" spans="1:2" x14ac:dyDescent="0.25">
      <c r="A933" s="1">
        <v>0.33530373842592592</v>
      </c>
      <c r="B933" t="s">
        <v>51</v>
      </c>
    </row>
    <row r="934" spans="1:2" x14ac:dyDescent="0.25">
      <c r="A934" s="1">
        <v>0.33530168981481484</v>
      </c>
      <c r="B934" t="s">
        <v>53</v>
      </c>
    </row>
    <row r="935" spans="1:2" x14ac:dyDescent="0.25">
      <c r="A935" s="1">
        <v>0.3353015509259259</v>
      </c>
      <c r="B935" t="s">
        <v>53</v>
      </c>
    </row>
    <row r="936" spans="1:2" x14ac:dyDescent="0.25">
      <c r="A936" s="1">
        <v>0.33529950231481481</v>
      </c>
      <c r="B936" t="s">
        <v>51</v>
      </c>
    </row>
    <row r="937" spans="1:2" x14ac:dyDescent="0.25">
      <c r="A937" s="1">
        <v>0.33529883101851854</v>
      </c>
      <c r="B937" t="s">
        <v>53</v>
      </c>
    </row>
    <row r="938" spans="1:2" x14ac:dyDescent="0.25">
      <c r="A938" s="1">
        <v>0.33529763888888886</v>
      </c>
      <c r="B938" t="s">
        <v>53</v>
      </c>
    </row>
    <row r="939" spans="1:2" x14ac:dyDescent="0.25">
      <c r="A939" s="1">
        <v>0.335297037037037</v>
      </c>
      <c r="B939" t="s">
        <v>51</v>
      </c>
    </row>
    <row r="940" spans="1:2" x14ac:dyDescent="0.25">
      <c r="A940" s="1">
        <v>0.33529126157407413</v>
      </c>
      <c r="B940" t="s">
        <v>52</v>
      </c>
    </row>
    <row r="941" spans="1:2" x14ac:dyDescent="0.25">
      <c r="A941" s="1">
        <v>0.33528987268518518</v>
      </c>
      <c r="B941" t="s">
        <v>51</v>
      </c>
    </row>
    <row r="942" spans="1:2" x14ac:dyDescent="0.25">
      <c r="A942" s="1">
        <v>0.33528603009259261</v>
      </c>
      <c r="B942" t="s">
        <v>51</v>
      </c>
    </row>
    <row r="943" spans="1:2" x14ac:dyDescent="0.25">
      <c r="A943" s="1">
        <v>0.33528535879629628</v>
      </c>
      <c r="B943" t="s">
        <v>53</v>
      </c>
    </row>
    <row r="944" spans="1:2" x14ac:dyDescent="0.25">
      <c r="A944" s="1">
        <v>0.33528513888888889</v>
      </c>
      <c r="B944" t="s">
        <v>51</v>
      </c>
    </row>
    <row r="945" spans="1:2" x14ac:dyDescent="0.25">
      <c r="A945" s="1">
        <v>0.33528472222222222</v>
      </c>
      <c r="B945" t="s">
        <v>51</v>
      </c>
    </row>
    <row r="946" spans="1:2" x14ac:dyDescent="0.25">
      <c r="A946" s="1">
        <v>0.33528369212962961</v>
      </c>
      <c r="B946" t="s">
        <v>51</v>
      </c>
    </row>
    <row r="947" spans="1:2" x14ac:dyDescent="0.25">
      <c r="A947" s="1">
        <v>0.33527884259259261</v>
      </c>
      <c r="B947" t="s">
        <v>52</v>
      </c>
    </row>
    <row r="948" spans="1:2" x14ac:dyDescent="0.25">
      <c r="A948" s="1">
        <v>0.33527491898148148</v>
      </c>
      <c r="B948" t="s">
        <v>52</v>
      </c>
    </row>
    <row r="949" spans="1:2" x14ac:dyDescent="0.25">
      <c r="A949" s="1">
        <v>0.33527314814814813</v>
      </c>
      <c r="B949" t="s">
        <v>53</v>
      </c>
    </row>
    <row r="950" spans="1:2" x14ac:dyDescent="0.25">
      <c r="A950" s="1">
        <v>0.33527201388888889</v>
      </c>
      <c r="B950" t="s">
        <v>53</v>
      </c>
    </row>
    <row r="951" spans="1:2" x14ac:dyDescent="0.25">
      <c r="A951" s="1">
        <v>0.33526962962962964</v>
      </c>
      <c r="B951" t="s">
        <v>52</v>
      </c>
    </row>
    <row r="952" spans="1:2" x14ac:dyDescent="0.25">
      <c r="A952" s="1">
        <v>0.33526945601851854</v>
      </c>
      <c r="B952" t="s">
        <v>51</v>
      </c>
    </row>
    <row r="953" spans="1:2" x14ac:dyDescent="0.25">
      <c r="A953" s="1">
        <v>0.33526813657407412</v>
      </c>
      <c r="B953" t="s">
        <v>52</v>
      </c>
    </row>
    <row r="954" spans="1:2" x14ac:dyDescent="0.25">
      <c r="A954" s="1">
        <v>0.33526663194444445</v>
      </c>
      <c r="B954" t="s">
        <v>51</v>
      </c>
    </row>
    <row r="955" spans="1:2" x14ac:dyDescent="0.25">
      <c r="A955" s="1">
        <v>0.33526572916666669</v>
      </c>
      <c r="B955" t="s">
        <v>52</v>
      </c>
    </row>
    <row r="956" spans="1:2" x14ac:dyDescent="0.25">
      <c r="A956" s="1">
        <v>0.33526476851851855</v>
      </c>
      <c r="B956" t="s">
        <v>53</v>
      </c>
    </row>
    <row r="957" spans="1:2" x14ac:dyDescent="0.25">
      <c r="A957" s="1">
        <v>0.33526148148148144</v>
      </c>
      <c r="B957" t="s">
        <v>51</v>
      </c>
    </row>
    <row r="958" spans="1:2" x14ac:dyDescent="0.25">
      <c r="A958" s="1">
        <v>0.33526064814814815</v>
      </c>
      <c r="B958" t="s">
        <v>53</v>
      </c>
    </row>
    <row r="959" spans="1:2" x14ac:dyDescent="0.25">
      <c r="A959" s="1">
        <v>0.33526042824074076</v>
      </c>
      <c r="B959" t="s">
        <v>52</v>
      </c>
    </row>
    <row r="960" spans="1:2" x14ac:dyDescent="0.25">
      <c r="A960" s="1">
        <v>0.33525949074074074</v>
      </c>
      <c r="B960" t="s">
        <v>51</v>
      </c>
    </row>
    <row r="961" spans="1:2" x14ac:dyDescent="0.25">
      <c r="A961" s="1">
        <v>0.33525725694444447</v>
      </c>
      <c r="B961" t="s">
        <v>51</v>
      </c>
    </row>
    <row r="962" spans="1:2" x14ac:dyDescent="0.25">
      <c r="A962" s="1">
        <v>0.33525690972222222</v>
      </c>
      <c r="B962" t="s">
        <v>52</v>
      </c>
    </row>
    <row r="963" spans="1:2" x14ac:dyDescent="0.25">
      <c r="A963" s="1">
        <v>0.33525498842592594</v>
      </c>
      <c r="B963" t="s">
        <v>51</v>
      </c>
    </row>
    <row r="964" spans="1:2" x14ac:dyDescent="0.25">
      <c r="A964" s="1">
        <v>0.33525265046296293</v>
      </c>
      <c r="B964" t="s">
        <v>51</v>
      </c>
    </row>
    <row r="965" spans="1:2" x14ac:dyDescent="0.25">
      <c r="A965" s="1">
        <v>0.33525222222222223</v>
      </c>
      <c r="B965" t="s">
        <v>51</v>
      </c>
    </row>
    <row r="966" spans="1:2" x14ac:dyDescent="0.25">
      <c r="A966" s="1">
        <v>0.33524682870370376</v>
      </c>
      <c r="B966" t="s">
        <v>51</v>
      </c>
    </row>
    <row r="967" spans="1:2" x14ac:dyDescent="0.25">
      <c r="A967" s="1">
        <v>0.33524531249999995</v>
      </c>
      <c r="B967" t="s">
        <v>53</v>
      </c>
    </row>
    <row r="968" spans="1:2" x14ac:dyDescent="0.25">
      <c r="A968" s="1">
        <v>0.33524530092592592</v>
      </c>
      <c r="B968" t="s">
        <v>52</v>
      </c>
    </row>
    <row r="969" spans="1:2" x14ac:dyDescent="0.25">
      <c r="A969" s="1">
        <v>0.33524423611111115</v>
      </c>
      <c r="B969" t="s">
        <v>52</v>
      </c>
    </row>
    <row r="970" spans="1:2" x14ac:dyDescent="0.25">
      <c r="A970" s="1">
        <v>0.3352428009259259</v>
      </c>
      <c r="B970" t="s">
        <v>51</v>
      </c>
    </row>
    <row r="971" spans="1:2" x14ac:dyDescent="0.25">
      <c r="A971" s="1">
        <v>0.33524109953703701</v>
      </c>
      <c r="B971" t="s">
        <v>52</v>
      </c>
    </row>
    <row r="972" spans="1:2" x14ac:dyDescent="0.25">
      <c r="A972" s="1">
        <v>0.33524105324074077</v>
      </c>
      <c r="B972" t="s">
        <v>52</v>
      </c>
    </row>
    <row r="973" spans="1:2" x14ac:dyDescent="0.25">
      <c r="A973" s="1">
        <v>0.33523943287037034</v>
      </c>
      <c r="B973" t="s">
        <v>53</v>
      </c>
    </row>
    <row r="974" spans="1:2" x14ac:dyDescent="0.25">
      <c r="A974" s="1">
        <v>0.33523538194444447</v>
      </c>
      <c r="B974" t="s">
        <v>53</v>
      </c>
    </row>
    <row r="975" spans="1:2" x14ac:dyDescent="0.25">
      <c r="A975" s="1">
        <v>0.33523152777777776</v>
      </c>
      <c r="B975" t="s">
        <v>51</v>
      </c>
    </row>
    <row r="976" spans="1:2" x14ac:dyDescent="0.25">
      <c r="A976" s="1">
        <v>0.33523134259259257</v>
      </c>
      <c r="B976" t="s">
        <v>53</v>
      </c>
    </row>
    <row r="977" spans="1:2" x14ac:dyDescent="0.25">
      <c r="A977" s="1">
        <v>0.33522538194444446</v>
      </c>
      <c r="B977" t="s">
        <v>51</v>
      </c>
    </row>
    <row r="978" spans="1:2" x14ac:dyDescent="0.25">
      <c r="A978" s="1">
        <v>0.33522460648148145</v>
      </c>
      <c r="B978" t="s">
        <v>51</v>
      </c>
    </row>
    <row r="979" spans="1:2" x14ac:dyDescent="0.25">
      <c r="A979" s="1">
        <v>0.33522090277777777</v>
      </c>
      <c r="B979" t="s">
        <v>53</v>
      </c>
    </row>
    <row r="980" spans="1:2" x14ac:dyDescent="0.25">
      <c r="A980" s="1">
        <v>0.33522032407407409</v>
      </c>
      <c r="B980" t="s">
        <v>52</v>
      </c>
    </row>
    <row r="981" spans="1:2" x14ac:dyDescent="0.25">
      <c r="A981" s="1">
        <v>0.33522020833333332</v>
      </c>
      <c r="B981" t="s">
        <v>52</v>
      </c>
    </row>
    <row r="982" spans="1:2" x14ac:dyDescent="0.25">
      <c r="A982" s="1">
        <v>0.33521956018518523</v>
      </c>
      <c r="B982" t="s">
        <v>52</v>
      </c>
    </row>
    <row r="983" spans="1:2" x14ac:dyDescent="0.25">
      <c r="A983" s="1">
        <v>0.3352192361111111</v>
      </c>
      <c r="B983" t="s">
        <v>53</v>
      </c>
    </row>
    <row r="984" spans="1:2" x14ac:dyDescent="0.25">
      <c r="A984" s="1">
        <v>0.33521586805555553</v>
      </c>
      <c r="B984" t="s">
        <v>52</v>
      </c>
    </row>
    <row r="985" spans="1:2" x14ac:dyDescent="0.25">
      <c r="A985" s="1">
        <v>0.33521520833333335</v>
      </c>
      <c r="B985" t="s">
        <v>51</v>
      </c>
    </row>
    <row r="986" spans="1:2" x14ac:dyDescent="0.25">
      <c r="A986" s="1">
        <v>0.33521511574074075</v>
      </c>
      <c r="B986" t="s">
        <v>53</v>
      </c>
    </row>
    <row r="987" spans="1:2" x14ac:dyDescent="0.25">
      <c r="A987" s="1">
        <v>0.33521430555555559</v>
      </c>
      <c r="B987" t="s">
        <v>53</v>
      </c>
    </row>
    <row r="988" spans="1:2" x14ac:dyDescent="0.25">
      <c r="A988" s="1">
        <v>0.33521417824074073</v>
      </c>
      <c r="B988" t="s">
        <v>51</v>
      </c>
    </row>
    <row r="989" spans="1:2" x14ac:dyDescent="0.25">
      <c r="A989" s="1">
        <v>0.33521373842592594</v>
      </c>
      <c r="B989" t="s">
        <v>51</v>
      </c>
    </row>
    <row r="990" spans="1:2" x14ac:dyDescent="0.25">
      <c r="A990" s="1">
        <v>0.33521054398148148</v>
      </c>
      <c r="B990" t="s">
        <v>52</v>
      </c>
    </row>
    <row r="991" spans="1:2" x14ac:dyDescent="0.25">
      <c r="A991" s="1">
        <v>0.33520925925925926</v>
      </c>
      <c r="B991" t="s">
        <v>53</v>
      </c>
    </row>
    <row r="992" spans="1:2" x14ac:dyDescent="0.25">
      <c r="A992" s="1">
        <v>0.33520829861111112</v>
      </c>
      <c r="B992" t="s">
        <v>51</v>
      </c>
    </row>
    <row r="993" spans="1:2" x14ac:dyDescent="0.25">
      <c r="A993" s="1">
        <v>0.33520769675925927</v>
      </c>
      <c r="B993" t="s">
        <v>51</v>
      </c>
    </row>
    <row r="994" spans="1:2" x14ac:dyDescent="0.25">
      <c r="A994" s="1">
        <v>0.33520337962962965</v>
      </c>
      <c r="B994" t="s">
        <v>51</v>
      </c>
    </row>
    <row r="995" spans="1:2" x14ac:dyDescent="0.25">
      <c r="A995" s="1">
        <v>0.33519986111111111</v>
      </c>
      <c r="B995" t="s">
        <v>53</v>
      </c>
    </row>
    <row r="996" spans="1:2" x14ac:dyDescent="0.25">
      <c r="A996" s="1">
        <v>0.3351995717592593</v>
      </c>
      <c r="B996" t="s">
        <v>53</v>
      </c>
    </row>
    <row r="997" spans="1:2" x14ac:dyDescent="0.25">
      <c r="A997" s="1">
        <v>0.33519874999999999</v>
      </c>
      <c r="B997" t="s">
        <v>52</v>
      </c>
    </row>
    <row r="998" spans="1:2" x14ac:dyDescent="0.25">
      <c r="A998" s="1">
        <v>0.33519874999999999</v>
      </c>
      <c r="B998" t="s">
        <v>51</v>
      </c>
    </row>
    <row r="999" spans="1:2" x14ac:dyDescent="0.25">
      <c r="A999" s="1">
        <v>0.3351986111111111</v>
      </c>
      <c r="B999" t="s">
        <v>52</v>
      </c>
    </row>
    <row r="1000" spans="1:2" x14ac:dyDescent="0.25">
      <c r="A1000" s="1">
        <v>0.33519781249999997</v>
      </c>
      <c r="B1000" t="s">
        <v>52</v>
      </c>
    </row>
    <row r="1001" spans="1:2" x14ac:dyDescent="0.25">
      <c r="A1001" s="1">
        <v>0.33519693287037033</v>
      </c>
      <c r="B1001" t="s">
        <v>53</v>
      </c>
    </row>
    <row r="1002" spans="1:2" x14ac:dyDescent="0.25">
      <c r="A1002" s="1">
        <v>0.33519328703703705</v>
      </c>
      <c r="B1002" t="s">
        <v>52</v>
      </c>
    </row>
    <row r="1003" spans="1:2" x14ac:dyDescent="0.25">
      <c r="A1003" s="1">
        <v>0.33519327546296296</v>
      </c>
      <c r="B1003" t="s">
        <v>52</v>
      </c>
    </row>
    <row r="1004" spans="1:2" x14ac:dyDescent="0.25">
      <c r="A1004" s="1">
        <v>0.33519318287037042</v>
      </c>
      <c r="B1004" t="s">
        <v>51</v>
      </c>
    </row>
    <row r="1005" spans="1:2" x14ac:dyDescent="0.25">
      <c r="A1005" s="1">
        <v>0.33519214120370372</v>
      </c>
      <c r="B1005" t="s">
        <v>51</v>
      </c>
    </row>
    <row r="1006" spans="1:2" x14ac:dyDescent="0.25">
      <c r="A1006" s="1">
        <v>0.33519144675925922</v>
      </c>
      <c r="B1006" t="s">
        <v>53</v>
      </c>
    </row>
    <row r="1007" spans="1:2" x14ac:dyDescent="0.25">
      <c r="A1007" s="1">
        <v>0.33519136574074077</v>
      </c>
      <c r="B1007" t="s">
        <v>51</v>
      </c>
    </row>
    <row r="1008" spans="1:2" x14ac:dyDescent="0.25">
      <c r="A1008" s="1">
        <v>0.33519038194444445</v>
      </c>
      <c r="B1008" t="s">
        <v>52</v>
      </c>
    </row>
    <row r="1009" spans="1:2" x14ac:dyDescent="0.25">
      <c r="A1009" s="1">
        <v>0.33518962962962967</v>
      </c>
      <c r="B1009" t="s">
        <v>52</v>
      </c>
    </row>
    <row r="1010" spans="1:2" x14ac:dyDescent="0.25">
      <c r="A1010" s="1">
        <v>0.33518826388888884</v>
      </c>
      <c r="B1010" t="s">
        <v>53</v>
      </c>
    </row>
    <row r="1011" spans="1:2" x14ac:dyDescent="0.25">
      <c r="A1011" s="1">
        <v>0.33518739583333335</v>
      </c>
      <c r="B1011" t="s">
        <v>52</v>
      </c>
    </row>
    <row r="1012" spans="1:2" x14ac:dyDescent="0.25">
      <c r="A1012" s="1">
        <v>0.33518688657407408</v>
      </c>
      <c r="B1012" t="s">
        <v>51</v>
      </c>
    </row>
    <row r="1013" spans="1:2" x14ac:dyDescent="0.25">
      <c r="A1013" s="1">
        <v>0.33518190972222223</v>
      </c>
      <c r="B1013" t="s">
        <v>53</v>
      </c>
    </row>
    <row r="1014" spans="1:2" x14ac:dyDescent="0.25">
      <c r="A1014" s="1">
        <v>0.33518035879629626</v>
      </c>
      <c r="B1014" t="s">
        <v>51</v>
      </c>
    </row>
    <row r="1015" spans="1:2" x14ac:dyDescent="0.25">
      <c r="A1015" s="1">
        <v>0.33517969907407408</v>
      </c>
      <c r="B1015" t="s">
        <v>52</v>
      </c>
    </row>
    <row r="1016" spans="1:2" x14ac:dyDescent="0.25">
      <c r="A1016" s="1">
        <v>0.335179375</v>
      </c>
      <c r="B1016" t="s">
        <v>51</v>
      </c>
    </row>
    <row r="1017" spans="1:2" x14ac:dyDescent="0.25">
      <c r="A1017" s="1">
        <v>0.33517920138888885</v>
      </c>
      <c r="B1017" t="s">
        <v>52</v>
      </c>
    </row>
    <row r="1018" spans="1:2" x14ac:dyDescent="0.25">
      <c r="A1018" s="1">
        <v>0.33517769675925924</v>
      </c>
      <c r="B1018" t="s">
        <v>52</v>
      </c>
    </row>
    <row r="1019" spans="1:2" x14ac:dyDescent="0.25">
      <c r="A1019" s="1">
        <v>0.33517731481481478</v>
      </c>
      <c r="B1019" t="s">
        <v>51</v>
      </c>
    </row>
    <row r="1020" spans="1:2" x14ac:dyDescent="0.25">
      <c r="A1020" s="1">
        <v>0.33517548611111114</v>
      </c>
      <c r="B1020" t="s">
        <v>53</v>
      </c>
    </row>
    <row r="1021" spans="1:2" x14ac:dyDescent="0.25">
      <c r="A1021" s="1">
        <v>0.3351749189814815</v>
      </c>
      <c r="B1021" t="s">
        <v>53</v>
      </c>
    </row>
    <row r="1022" spans="1:2" x14ac:dyDescent="0.25">
      <c r="A1022" s="1">
        <v>0.33517317129629626</v>
      </c>
      <c r="B1022" t="s">
        <v>51</v>
      </c>
    </row>
    <row r="1023" spans="1:2" x14ac:dyDescent="0.25">
      <c r="A1023" s="1">
        <v>0.33516782407407408</v>
      </c>
      <c r="B1023" t="s">
        <v>53</v>
      </c>
    </row>
    <row r="1024" spans="1:2" x14ac:dyDescent="0.25">
      <c r="A1024" s="1">
        <v>0.33516756944444448</v>
      </c>
      <c r="B1024" t="s">
        <v>51</v>
      </c>
    </row>
    <row r="1025" spans="1:2" x14ac:dyDescent="0.25">
      <c r="A1025" s="1">
        <v>0.335164212962963</v>
      </c>
      <c r="B1025" t="s">
        <v>52</v>
      </c>
    </row>
    <row r="1026" spans="1:2" x14ac:dyDescent="0.25">
      <c r="A1026" s="1">
        <v>0.33515961805555555</v>
      </c>
      <c r="B1026" t="s">
        <v>53</v>
      </c>
    </row>
    <row r="1027" spans="1:2" x14ac:dyDescent="0.25">
      <c r="A1027" s="1">
        <v>0.33515721064814813</v>
      </c>
      <c r="B1027" t="s">
        <v>53</v>
      </c>
    </row>
    <row r="1028" spans="1:2" x14ac:dyDescent="0.25">
      <c r="A1028" s="1">
        <v>0.33515563657407405</v>
      </c>
      <c r="B1028" t="s">
        <v>52</v>
      </c>
    </row>
    <row r="1029" spans="1:2" x14ac:dyDescent="0.25">
      <c r="A1029" s="1">
        <v>0.3351527314814815</v>
      </c>
      <c r="B1029" t="s">
        <v>52</v>
      </c>
    </row>
    <row r="1030" spans="1:2" x14ac:dyDescent="0.25">
      <c r="A1030" s="1">
        <v>0.33515192129629628</v>
      </c>
      <c r="B1030" t="s">
        <v>51</v>
      </c>
    </row>
    <row r="1031" spans="1:2" x14ac:dyDescent="0.25">
      <c r="A1031" s="1">
        <v>0.33515187499999999</v>
      </c>
      <c r="B1031" t="s">
        <v>51</v>
      </c>
    </row>
    <row r="1032" spans="1:2" x14ac:dyDescent="0.25">
      <c r="A1032" s="1">
        <v>0.33514364583333328</v>
      </c>
      <c r="B1032" t="s">
        <v>51</v>
      </c>
    </row>
    <row r="1033" spans="1:2" x14ac:dyDescent="0.25">
      <c r="A1033" s="1">
        <v>0.33514278935185188</v>
      </c>
      <c r="B1033" t="s">
        <v>52</v>
      </c>
    </row>
    <row r="1034" spans="1:2" x14ac:dyDescent="0.25">
      <c r="A1034" s="1">
        <v>0.33514224537037035</v>
      </c>
      <c r="B1034" t="s">
        <v>53</v>
      </c>
    </row>
    <row r="1035" spans="1:2" x14ac:dyDescent="0.25">
      <c r="A1035" s="1">
        <v>0.33513656250000001</v>
      </c>
      <c r="B1035" t="s">
        <v>53</v>
      </c>
    </row>
    <row r="1036" spans="1:2" x14ac:dyDescent="0.25">
      <c r="A1036" s="1">
        <v>0.3351326736111111</v>
      </c>
      <c r="B1036" t="s">
        <v>53</v>
      </c>
    </row>
    <row r="1037" spans="1:2" x14ac:dyDescent="0.25">
      <c r="A1037" s="1">
        <v>0.33512898148148151</v>
      </c>
      <c r="B1037" t="s">
        <v>52</v>
      </c>
    </row>
    <row r="1038" spans="1:2" x14ac:dyDescent="0.25">
      <c r="A1038" s="1">
        <v>0.33512630787037034</v>
      </c>
      <c r="B1038" t="s">
        <v>53</v>
      </c>
    </row>
    <row r="1039" spans="1:2" x14ac:dyDescent="0.25">
      <c r="A1039" s="1">
        <v>0.33512626157407405</v>
      </c>
      <c r="B1039" t="s">
        <v>51</v>
      </c>
    </row>
    <row r="1040" spans="1:2" x14ac:dyDescent="0.25">
      <c r="A1040" s="1">
        <v>0.33512579861111114</v>
      </c>
      <c r="B1040" t="s">
        <v>53</v>
      </c>
    </row>
    <row r="1041" spans="1:2" x14ac:dyDescent="0.25">
      <c r="A1041" s="1">
        <v>0.33512434027777777</v>
      </c>
      <c r="B1041" t="s">
        <v>53</v>
      </c>
    </row>
    <row r="1042" spans="1:2" x14ac:dyDescent="0.25">
      <c r="A1042" s="1">
        <v>0.33512329861111106</v>
      </c>
      <c r="B1042" t="s">
        <v>53</v>
      </c>
    </row>
    <row r="1043" spans="1:2" x14ac:dyDescent="0.25">
      <c r="A1043" s="1">
        <v>0.33512296296296301</v>
      </c>
      <c r="B1043" t="s">
        <v>53</v>
      </c>
    </row>
    <row r="1044" spans="1:2" x14ac:dyDescent="0.25">
      <c r="A1044" s="1">
        <v>0.33512233796296292</v>
      </c>
      <c r="B1044" t="s">
        <v>52</v>
      </c>
    </row>
    <row r="1045" spans="1:2" x14ac:dyDescent="0.25">
      <c r="A1045" s="1">
        <v>0.33511706018518517</v>
      </c>
      <c r="B1045" t="s">
        <v>52</v>
      </c>
    </row>
    <row r="1046" spans="1:2" x14ac:dyDescent="0.25">
      <c r="A1046" s="1">
        <v>0.33511600694444449</v>
      </c>
      <c r="B1046" t="s">
        <v>53</v>
      </c>
    </row>
    <row r="1047" spans="1:2" x14ac:dyDescent="0.25">
      <c r="A1047" s="1">
        <v>0.33511502314814812</v>
      </c>
      <c r="B1047" t="s">
        <v>51</v>
      </c>
    </row>
    <row r="1048" spans="1:2" x14ac:dyDescent="0.25">
      <c r="A1048" s="1">
        <v>0.33510980324074074</v>
      </c>
      <c r="B1048" t="s">
        <v>52</v>
      </c>
    </row>
    <row r="1049" spans="1:2" x14ac:dyDescent="0.25">
      <c r="A1049" s="1">
        <v>0.33510554398148146</v>
      </c>
      <c r="B1049" t="s">
        <v>53</v>
      </c>
    </row>
    <row r="1050" spans="1:2" x14ac:dyDescent="0.25">
      <c r="A1050" s="1">
        <v>0.3351046412037037</v>
      </c>
      <c r="B1050" t="s">
        <v>51</v>
      </c>
    </row>
    <row r="1051" spans="1:2" x14ac:dyDescent="0.25">
      <c r="A1051" s="1">
        <v>0.33510361111111114</v>
      </c>
      <c r="B1051" t="s">
        <v>52</v>
      </c>
    </row>
    <row r="1052" spans="1:2" x14ac:dyDescent="0.25">
      <c r="A1052" s="1">
        <v>0.33510093750000003</v>
      </c>
      <c r="B1052" t="s">
        <v>52</v>
      </c>
    </row>
    <row r="1053" spans="1:2" x14ac:dyDescent="0.25">
      <c r="A1053" s="1">
        <v>0.33509952546296295</v>
      </c>
      <c r="B1053" t="s">
        <v>51</v>
      </c>
    </row>
    <row r="1054" spans="1:2" x14ac:dyDescent="0.25">
      <c r="A1054" s="1">
        <v>0.33509858796296293</v>
      </c>
      <c r="B1054" t="s">
        <v>52</v>
      </c>
    </row>
    <row r="1055" spans="1:2" x14ac:dyDescent="0.25">
      <c r="A1055" s="1">
        <v>0.33509765046296297</v>
      </c>
      <c r="B1055" t="s">
        <v>52</v>
      </c>
    </row>
    <row r="1056" spans="1:2" x14ac:dyDescent="0.25">
      <c r="A1056" s="1">
        <v>0.33509649305555556</v>
      </c>
      <c r="B1056" t="s">
        <v>53</v>
      </c>
    </row>
    <row r="1057" spans="1:2" x14ac:dyDescent="0.25">
      <c r="A1057" s="1">
        <v>0.33509466435185181</v>
      </c>
      <c r="B1057" t="s">
        <v>51</v>
      </c>
    </row>
    <row r="1058" spans="1:2" x14ac:dyDescent="0.25">
      <c r="A1058" s="1">
        <v>0.33509101851851852</v>
      </c>
      <c r="B1058" t="s">
        <v>52</v>
      </c>
    </row>
    <row r="1059" spans="1:2" x14ac:dyDescent="0.25">
      <c r="A1059" s="1">
        <v>0.33509045138888888</v>
      </c>
      <c r="B1059" t="s">
        <v>51</v>
      </c>
    </row>
    <row r="1060" spans="1:2" x14ac:dyDescent="0.25">
      <c r="A1060" s="1">
        <v>0.33509023148148148</v>
      </c>
      <c r="B1060" t="s">
        <v>53</v>
      </c>
    </row>
    <row r="1061" spans="1:2" x14ac:dyDescent="0.25">
      <c r="A1061" s="1">
        <v>0.33508728009259259</v>
      </c>
      <c r="B1061" t="s">
        <v>53</v>
      </c>
    </row>
    <row r="1062" spans="1:2" x14ac:dyDescent="0.25">
      <c r="A1062" s="1">
        <v>0.33508491898148152</v>
      </c>
      <c r="B1062" t="s">
        <v>53</v>
      </c>
    </row>
    <row r="1063" spans="1:2" x14ac:dyDescent="0.25">
      <c r="A1063" s="1">
        <v>0.33508219907407405</v>
      </c>
      <c r="B1063" t="s">
        <v>51</v>
      </c>
    </row>
    <row r="1064" spans="1:2" x14ac:dyDescent="0.25">
      <c r="A1064" s="1">
        <v>0.33508218750000002</v>
      </c>
      <c r="B1064" t="s">
        <v>53</v>
      </c>
    </row>
    <row r="1065" spans="1:2" x14ac:dyDescent="0.25">
      <c r="A1065" s="1">
        <v>0.33508165509259258</v>
      </c>
      <c r="B1065" t="s">
        <v>52</v>
      </c>
    </row>
    <row r="1066" spans="1:2" x14ac:dyDescent="0.25">
      <c r="A1066" s="1">
        <v>0.33507891203703705</v>
      </c>
      <c r="B1066" t="s">
        <v>52</v>
      </c>
    </row>
    <row r="1067" spans="1:2" x14ac:dyDescent="0.25">
      <c r="A1067" s="1">
        <v>0.33507505787037034</v>
      </c>
      <c r="B1067" t="s">
        <v>52</v>
      </c>
    </row>
    <row r="1068" spans="1:2" x14ac:dyDescent="0.25">
      <c r="A1068" s="1">
        <v>0.33507398148148143</v>
      </c>
      <c r="B1068" t="s">
        <v>51</v>
      </c>
    </row>
    <row r="1069" spans="1:2" x14ac:dyDescent="0.25">
      <c r="A1069" s="1">
        <v>0.33507377314814812</v>
      </c>
      <c r="B1069" t="s">
        <v>53</v>
      </c>
    </row>
    <row r="1070" spans="1:2" x14ac:dyDescent="0.25">
      <c r="A1070" s="1">
        <v>0.33507061342592598</v>
      </c>
      <c r="B1070" t="s">
        <v>52</v>
      </c>
    </row>
    <row r="1071" spans="1:2" x14ac:dyDescent="0.25">
      <c r="A1071" s="1">
        <v>0.33507037037037035</v>
      </c>
      <c r="B1071" t="s">
        <v>51</v>
      </c>
    </row>
    <row r="1072" spans="1:2" x14ac:dyDescent="0.25">
      <c r="A1072" s="1">
        <v>0.33507009259259263</v>
      </c>
      <c r="B1072" t="s">
        <v>52</v>
      </c>
    </row>
    <row r="1073" spans="1:2" x14ac:dyDescent="0.25">
      <c r="A1073" s="1">
        <v>0.33506988425925927</v>
      </c>
      <c r="B1073" t="s">
        <v>52</v>
      </c>
    </row>
    <row r="1074" spans="1:2" x14ac:dyDescent="0.25">
      <c r="A1074" s="1">
        <v>0.33506815972222226</v>
      </c>
      <c r="B1074" t="s">
        <v>52</v>
      </c>
    </row>
    <row r="1075" spans="1:2" x14ac:dyDescent="0.25">
      <c r="A1075" s="1">
        <v>0.33506813657407403</v>
      </c>
      <c r="B1075" t="s">
        <v>51</v>
      </c>
    </row>
    <row r="1076" spans="1:2" x14ac:dyDescent="0.25">
      <c r="A1076" s="1">
        <v>0.33506612268518521</v>
      </c>
      <c r="B1076" t="s">
        <v>52</v>
      </c>
    </row>
    <row r="1077" spans="1:2" x14ac:dyDescent="0.25">
      <c r="A1077" s="1">
        <v>0.33506505787037039</v>
      </c>
      <c r="B1077" t="s">
        <v>53</v>
      </c>
    </row>
    <row r="1078" spans="1:2" x14ac:dyDescent="0.25">
      <c r="A1078" s="1">
        <v>0.33506462962962963</v>
      </c>
      <c r="B1078" t="s">
        <v>52</v>
      </c>
    </row>
    <row r="1079" spans="1:2" x14ac:dyDescent="0.25">
      <c r="A1079" s="1">
        <v>0.33506440972222223</v>
      </c>
      <c r="B1079" t="s">
        <v>52</v>
      </c>
    </row>
    <row r="1080" spans="1:2" x14ac:dyDescent="0.25">
      <c r="A1080" s="1">
        <v>0.33506406250000004</v>
      </c>
      <c r="B1080" t="s">
        <v>53</v>
      </c>
    </row>
    <row r="1081" spans="1:2" x14ac:dyDescent="0.25">
      <c r="A1081" s="1">
        <v>0.33506059027777774</v>
      </c>
      <c r="B1081" t="s">
        <v>52</v>
      </c>
    </row>
    <row r="1082" spans="1:2" x14ac:dyDescent="0.25">
      <c r="A1082" s="1">
        <v>0.33505975694444445</v>
      </c>
      <c r="B1082" t="s">
        <v>51</v>
      </c>
    </row>
    <row r="1083" spans="1:2" x14ac:dyDescent="0.25">
      <c r="A1083" s="1">
        <v>0.33505817129629628</v>
      </c>
      <c r="B1083" t="s">
        <v>51</v>
      </c>
    </row>
    <row r="1084" spans="1:2" x14ac:dyDescent="0.25">
      <c r="A1084" s="1">
        <v>0.33505805555555557</v>
      </c>
      <c r="B1084" t="s">
        <v>53</v>
      </c>
    </row>
    <row r="1085" spans="1:2" x14ac:dyDescent="0.25">
      <c r="A1085" s="1">
        <v>0.33505768518518519</v>
      </c>
      <c r="B1085" t="s">
        <v>51</v>
      </c>
    </row>
    <row r="1086" spans="1:2" x14ac:dyDescent="0.25">
      <c r="A1086" s="1">
        <v>0.33505597222222222</v>
      </c>
      <c r="B1086" t="s">
        <v>51</v>
      </c>
    </row>
    <row r="1087" spans="1:2" x14ac:dyDescent="0.25">
      <c r="A1087" s="1">
        <v>0.3350544328703704</v>
      </c>
      <c r="B1087" t="s">
        <v>52</v>
      </c>
    </row>
    <row r="1088" spans="1:2" x14ac:dyDescent="0.25">
      <c r="A1088" s="1">
        <v>0.33505410879629632</v>
      </c>
      <c r="B1088" t="s">
        <v>53</v>
      </c>
    </row>
    <row r="1089" spans="1:2" x14ac:dyDescent="0.25">
      <c r="A1089" s="1">
        <v>0.33505164351851852</v>
      </c>
      <c r="B1089" t="s">
        <v>52</v>
      </c>
    </row>
    <row r="1090" spans="1:2" x14ac:dyDescent="0.25">
      <c r="A1090" s="1">
        <v>0.33505099537037036</v>
      </c>
      <c r="B1090" t="s">
        <v>51</v>
      </c>
    </row>
    <row r="1091" spans="1:2" x14ac:dyDescent="0.25">
      <c r="A1091" s="1">
        <v>0.33504748842592597</v>
      </c>
      <c r="B1091" t="s">
        <v>51</v>
      </c>
    </row>
    <row r="1092" spans="1:2" x14ac:dyDescent="0.25">
      <c r="A1092" s="1">
        <v>0.33504681712962964</v>
      </c>
      <c r="B1092" t="s">
        <v>53</v>
      </c>
    </row>
    <row r="1093" spans="1:2" x14ac:dyDescent="0.25">
      <c r="A1093" s="1">
        <v>0.33504179398148143</v>
      </c>
      <c r="B1093" t="s">
        <v>53</v>
      </c>
    </row>
    <row r="1094" spans="1:2" x14ac:dyDescent="0.25">
      <c r="A1094" s="1">
        <v>0.33504005787037033</v>
      </c>
      <c r="B1094" t="s">
        <v>53</v>
      </c>
    </row>
    <row r="1095" spans="1:2" x14ac:dyDescent="0.25">
      <c r="A1095" s="1">
        <v>0.33503854166666663</v>
      </c>
      <c r="B1095" t="s">
        <v>52</v>
      </c>
    </row>
    <row r="1096" spans="1:2" x14ac:dyDescent="0.25">
      <c r="A1096" s="1">
        <v>0.33503756944444446</v>
      </c>
      <c r="B1096" t="s">
        <v>53</v>
      </c>
    </row>
    <row r="1097" spans="1:2" x14ac:dyDescent="0.25">
      <c r="A1097" s="1">
        <v>0.33503651620370367</v>
      </c>
      <c r="B1097" t="s">
        <v>52</v>
      </c>
    </row>
    <row r="1098" spans="1:2" x14ac:dyDescent="0.25">
      <c r="A1098" s="1">
        <v>0.33503597222222226</v>
      </c>
      <c r="B1098" t="s">
        <v>52</v>
      </c>
    </row>
    <row r="1099" spans="1:2" x14ac:dyDescent="0.25">
      <c r="A1099" s="1">
        <v>0.33503302083333336</v>
      </c>
      <c r="B1099" t="s">
        <v>51</v>
      </c>
    </row>
    <row r="1100" spans="1:2" x14ac:dyDescent="0.25">
      <c r="A1100" s="1">
        <v>0.33503290509259259</v>
      </c>
      <c r="B1100" t="s">
        <v>51</v>
      </c>
    </row>
    <row r="1101" spans="1:2" x14ac:dyDescent="0.25">
      <c r="A1101" s="1">
        <v>0.33503239583333339</v>
      </c>
      <c r="B1101" t="s">
        <v>52</v>
      </c>
    </row>
    <row r="1102" spans="1:2" x14ac:dyDescent="0.25">
      <c r="A1102" s="1">
        <v>0.33503180555555551</v>
      </c>
      <c r="B1102" t="s">
        <v>52</v>
      </c>
    </row>
    <row r="1103" spans="1:2" x14ac:dyDescent="0.25">
      <c r="A1103" s="1">
        <v>0.33503167824074076</v>
      </c>
      <c r="B1103" t="s">
        <v>52</v>
      </c>
    </row>
    <row r="1104" spans="1:2" x14ac:dyDescent="0.25">
      <c r="A1104" s="1">
        <v>0.33502927083333334</v>
      </c>
      <c r="B1104" t="s">
        <v>53</v>
      </c>
    </row>
    <row r="1105" spans="1:2" x14ac:dyDescent="0.25">
      <c r="A1105" s="1">
        <v>0.33502840277777773</v>
      </c>
      <c r="B1105" t="s">
        <v>51</v>
      </c>
    </row>
    <row r="1106" spans="1:2" x14ac:dyDescent="0.25">
      <c r="A1106" s="1">
        <v>0.33502804398148145</v>
      </c>
      <c r="B1106" t="s">
        <v>51</v>
      </c>
    </row>
    <row r="1107" spans="1:2" x14ac:dyDescent="0.25">
      <c r="A1107" s="1">
        <v>0.33502607638888887</v>
      </c>
      <c r="B1107" t="s">
        <v>53</v>
      </c>
    </row>
    <row r="1108" spans="1:2" x14ac:dyDescent="0.25">
      <c r="A1108" s="1">
        <v>0.33502094907407409</v>
      </c>
      <c r="B1108" t="s">
        <v>53</v>
      </c>
    </row>
    <row r="1109" spans="1:2" x14ac:dyDescent="0.25">
      <c r="A1109" s="1">
        <v>0.33501960648148149</v>
      </c>
      <c r="B1109" t="s">
        <v>52</v>
      </c>
    </row>
    <row r="1110" spans="1:2" x14ac:dyDescent="0.25">
      <c r="A1110" s="1">
        <v>0.33501829861111115</v>
      </c>
      <c r="B1110" t="s">
        <v>53</v>
      </c>
    </row>
    <row r="1111" spans="1:2" x14ac:dyDescent="0.25">
      <c r="A1111" s="1">
        <v>0.33501813657407409</v>
      </c>
      <c r="B1111" t="s">
        <v>53</v>
      </c>
    </row>
    <row r="1112" spans="1:2" x14ac:dyDescent="0.25">
      <c r="A1112" s="1">
        <v>0.33501719907407407</v>
      </c>
      <c r="B1112" t="s">
        <v>51</v>
      </c>
    </row>
    <row r="1113" spans="1:2" x14ac:dyDescent="0.25">
      <c r="A1113" s="1">
        <v>0.33501574074074075</v>
      </c>
      <c r="B1113" t="s">
        <v>53</v>
      </c>
    </row>
    <row r="1114" spans="1:2" x14ac:dyDescent="0.25">
      <c r="A1114" s="1">
        <v>0.33501373842592591</v>
      </c>
      <c r="B1114" t="s">
        <v>51</v>
      </c>
    </row>
    <row r="1115" spans="1:2" x14ac:dyDescent="0.25">
      <c r="A1115" s="1">
        <v>0.33501160879629627</v>
      </c>
      <c r="B1115" t="s">
        <v>51</v>
      </c>
    </row>
    <row r="1116" spans="1:2" x14ac:dyDescent="0.25">
      <c r="A1116" s="1">
        <v>0.33500956018518518</v>
      </c>
      <c r="B1116" t="s">
        <v>51</v>
      </c>
    </row>
    <row r="1117" spans="1:2" x14ac:dyDescent="0.25">
      <c r="A1117" s="1">
        <v>0.33500513888888889</v>
      </c>
      <c r="B1117" t="s">
        <v>52</v>
      </c>
    </row>
    <row r="1118" spans="1:2" x14ac:dyDescent="0.25">
      <c r="A1118" s="1">
        <v>0.33500359953703707</v>
      </c>
      <c r="B1118" t="s">
        <v>53</v>
      </c>
    </row>
    <row r="1119" spans="1:2" x14ac:dyDescent="0.25">
      <c r="A1119" s="1">
        <v>0.33500077546296297</v>
      </c>
      <c r="B1119" t="s">
        <v>52</v>
      </c>
    </row>
    <row r="1120" spans="1:2" x14ac:dyDescent="0.25">
      <c r="A1120" s="1">
        <v>0.33499776620370375</v>
      </c>
      <c r="B1120" t="s">
        <v>51</v>
      </c>
    </row>
    <row r="1121" spans="1:2" x14ac:dyDescent="0.25">
      <c r="A1121" s="1">
        <v>0.33499704861111113</v>
      </c>
      <c r="B1121" t="s">
        <v>52</v>
      </c>
    </row>
    <row r="1122" spans="1:2" x14ac:dyDescent="0.25">
      <c r="A1122" s="1">
        <v>0.33499582175925924</v>
      </c>
      <c r="B1122" t="s">
        <v>51</v>
      </c>
    </row>
    <row r="1123" spans="1:2" x14ac:dyDescent="0.25">
      <c r="A1123" s="1">
        <v>0.33499285879629631</v>
      </c>
      <c r="B1123" t="s">
        <v>53</v>
      </c>
    </row>
    <row r="1124" spans="1:2" x14ac:dyDescent="0.25">
      <c r="A1124" s="1">
        <v>0.33499214120370374</v>
      </c>
      <c r="B1124" t="s">
        <v>52</v>
      </c>
    </row>
    <row r="1125" spans="1:2" x14ac:dyDescent="0.25">
      <c r="A1125" s="1">
        <v>0.33499055555555551</v>
      </c>
      <c r="B1125" t="s">
        <v>51</v>
      </c>
    </row>
    <row r="1126" spans="1:2" x14ac:dyDescent="0.25">
      <c r="A1126" s="1">
        <v>0.33499049768518518</v>
      </c>
      <c r="B1126" t="s">
        <v>52</v>
      </c>
    </row>
    <row r="1127" spans="1:2" x14ac:dyDescent="0.25">
      <c r="A1127" s="1">
        <v>0.33498913194444446</v>
      </c>
      <c r="B1127" t="s">
        <v>53</v>
      </c>
    </row>
    <row r="1128" spans="1:2" x14ac:dyDescent="0.25">
      <c r="A1128" s="1">
        <v>0.33498850694444443</v>
      </c>
      <c r="B1128" t="s">
        <v>53</v>
      </c>
    </row>
    <row r="1129" spans="1:2" x14ac:dyDescent="0.25">
      <c r="A1129" s="1">
        <v>0.33498826388888886</v>
      </c>
      <c r="B1129" t="s">
        <v>51</v>
      </c>
    </row>
    <row r="1130" spans="1:2" x14ac:dyDescent="0.25">
      <c r="A1130" s="1">
        <v>0.33498645833333335</v>
      </c>
      <c r="B1130" t="s">
        <v>52</v>
      </c>
    </row>
    <row r="1131" spans="1:2" x14ac:dyDescent="0.25">
      <c r="A1131" s="1">
        <v>0.33498525462962964</v>
      </c>
      <c r="B1131" t="s">
        <v>53</v>
      </c>
    </row>
    <row r="1132" spans="1:2" x14ac:dyDescent="0.25">
      <c r="A1132" s="1">
        <v>0.33498443287037039</v>
      </c>
      <c r="B1132" t="s">
        <v>51</v>
      </c>
    </row>
    <row r="1133" spans="1:2" x14ac:dyDescent="0.25">
      <c r="A1133" s="1">
        <v>0.33498179398148148</v>
      </c>
      <c r="B1133" t="s">
        <v>51</v>
      </c>
    </row>
    <row r="1134" spans="1:2" x14ac:dyDescent="0.25">
      <c r="A1134" s="1">
        <v>0.33497825231481482</v>
      </c>
      <c r="B1134" t="s">
        <v>53</v>
      </c>
    </row>
    <row r="1135" spans="1:2" x14ac:dyDescent="0.25">
      <c r="A1135" s="1">
        <v>0.33497821759259261</v>
      </c>
      <c r="B1135" t="s">
        <v>53</v>
      </c>
    </row>
    <row r="1136" spans="1:2" x14ac:dyDescent="0.25">
      <c r="A1136" s="1">
        <v>0.33497766203703705</v>
      </c>
      <c r="B1136" t="s">
        <v>53</v>
      </c>
    </row>
    <row r="1137" spans="1:2" x14ac:dyDescent="0.25">
      <c r="A1137" s="1">
        <v>0.33497730324074076</v>
      </c>
      <c r="B1137" t="s">
        <v>53</v>
      </c>
    </row>
    <row r="1138" spans="1:2" x14ac:dyDescent="0.25">
      <c r="A1138" s="1">
        <v>0.33497619212962965</v>
      </c>
      <c r="B1138" t="s">
        <v>53</v>
      </c>
    </row>
    <row r="1139" spans="1:2" x14ac:dyDescent="0.25">
      <c r="A1139" s="1">
        <v>0.33497560185185188</v>
      </c>
      <c r="B1139" t="s">
        <v>53</v>
      </c>
    </row>
    <row r="1140" spans="1:2" x14ac:dyDescent="0.25">
      <c r="A1140" s="1">
        <v>0.33497001157407408</v>
      </c>
      <c r="B1140" t="s">
        <v>51</v>
      </c>
    </row>
    <row r="1141" spans="1:2" x14ac:dyDescent="0.25">
      <c r="A1141" s="1">
        <v>0.33496791666666664</v>
      </c>
      <c r="B1141" t="s">
        <v>52</v>
      </c>
    </row>
    <row r="1142" spans="1:2" x14ac:dyDescent="0.25">
      <c r="A1142" s="1">
        <v>0.33496760416666665</v>
      </c>
      <c r="B1142" t="s">
        <v>52</v>
      </c>
    </row>
    <row r="1143" spans="1:2" x14ac:dyDescent="0.25">
      <c r="A1143" s="1">
        <v>0.33496642361111112</v>
      </c>
      <c r="B1143" t="s">
        <v>51</v>
      </c>
    </row>
    <row r="1144" spans="1:2" x14ac:dyDescent="0.25">
      <c r="A1144" s="1">
        <v>0.33496365740740736</v>
      </c>
      <c r="B1144" t="s">
        <v>53</v>
      </c>
    </row>
    <row r="1145" spans="1:2" x14ac:dyDescent="0.25">
      <c r="A1145" s="1">
        <v>0.3349633217592593</v>
      </c>
      <c r="B1145" t="s">
        <v>51</v>
      </c>
    </row>
    <row r="1146" spans="1:2" x14ac:dyDescent="0.25">
      <c r="A1146" s="1">
        <v>0.33496149305555556</v>
      </c>
      <c r="B1146" t="s">
        <v>53</v>
      </c>
    </row>
    <row r="1147" spans="1:2" x14ac:dyDescent="0.25">
      <c r="A1147" s="1">
        <v>0.33496059027777775</v>
      </c>
      <c r="B1147" t="s">
        <v>52</v>
      </c>
    </row>
    <row r="1148" spans="1:2" x14ac:dyDescent="0.25">
      <c r="A1148" s="1">
        <v>0.33495672453703706</v>
      </c>
      <c r="B1148" t="s">
        <v>52</v>
      </c>
    </row>
    <row r="1149" spans="1:2" x14ac:dyDescent="0.25">
      <c r="A1149" s="1">
        <v>0.33495567129629628</v>
      </c>
      <c r="B1149" t="s">
        <v>51</v>
      </c>
    </row>
    <row r="1150" spans="1:2" x14ac:dyDescent="0.25">
      <c r="A1150" s="1">
        <v>0.33495379629629629</v>
      </c>
      <c r="B1150" t="s">
        <v>52</v>
      </c>
    </row>
    <row r="1151" spans="1:2" x14ac:dyDescent="0.25">
      <c r="A1151" s="1">
        <v>0.33495217592592591</v>
      </c>
      <c r="B1151" t="s">
        <v>53</v>
      </c>
    </row>
    <row r="1152" spans="1:2" x14ac:dyDescent="0.25">
      <c r="A1152" s="1">
        <v>0.33495003472222223</v>
      </c>
      <c r="B1152" t="s">
        <v>51</v>
      </c>
    </row>
    <row r="1153" spans="1:2" x14ac:dyDescent="0.25">
      <c r="A1153" s="1">
        <v>0.33494886574074073</v>
      </c>
      <c r="B1153" t="s">
        <v>53</v>
      </c>
    </row>
    <row r="1154" spans="1:2" x14ac:dyDescent="0.25">
      <c r="A1154" s="1">
        <v>0.33494873842592593</v>
      </c>
      <c r="B1154" t="s">
        <v>52</v>
      </c>
    </row>
    <row r="1155" spans="1:2" x14ac:dyDescent="0.25">
      <c r="A1155" s="1">
        <v>0.3349481944444444</v>
      </c>
      <c r="B1155" t="s">
        <v>51</v>
      </c>
    </row>
    <row r="1156" spans="1:2" x14ac:dyDescent="0.25">
      <c r="A1156" s="1">
        <v>0.33494758101851851</v>
      </c>
      <c r="B1156" t="s">
        <v>53</v>
      </c>
    </row>
    <row r="1157" spans="1:2" x14ac:dyDescent="0.25">
      <c r="A1157" s="1">
        <v>0.33494692129629633</v>
      </c>
      <c r="B1157" t="s">
        <v>53</v>
      </c>
    </row>
    <row r="1158" spans="1:2" x14ac:dyDescent="0.25">
      <c r="A1158" s="1">
        <v>0.33494614583333332</v>
      </c>
      <c r="B1158" t="s">
        <v>52</v>
      </c>
    </row>
    <row r="1159" spans="1:2" x14ac:dyDescent="0.25">
      <c r="A1159" s="1">
        <v>0.33494299768518521</v>
      </c>
      <c r="B1159" t="s">
        <v>51</v>
      </c>
    </row>
    <row r="1160" spans="1:2" x14ac:dyDescent="0.25">
      <c r="A1160" s="1">
        <v>0.33494295138888885</v>
      </c>
      <c r="B1160" t="s">
        <v>53</v>
      </c>
    </row>
    <row r="1161" spans="1:2" x14ac:dyDescent="0.25">
      <c r="A1161" s="1">
        <v>0.33494199074074071</v>
      </c>
      <c r="B1161" t="s">
        <v>53</v>
      </c>
    </row>
    <row r="1162" spans="1:2" x14ac:dyDescent="0.25">
      <c r="A1162" s="1">
        <v>0.33493972222222218</v>
      </c>
      <c r="B1162" t="s">
        <v>52</v>
      </c>
    </row>
    <row r="1163" spans="1:2" x14ac:dyDescent="0.25">
      <c r="A1163" s="1">
        <v>0.33493842592592588</v>
      </c>
      <c r="B1163" t="s">
        <v>52</v>
      </c>
    </row>
    <row r="1164" spans="1:2" x14ac:dyDescent="0.25">
      <c r="A1164" s="1">
        <v>0.33493840277777776</v>
      </c>
      <c r="B1164" t="s">
        <v>51</v>
      </c>
    </row>
    <row r="1165" spans="1:2" x14ac:dyDescent="0.25">
      <c r="A1165" s="1">
        <v>0.33493809027777782</v>
      </c>
      <c r="B1165" t="s">
        <v>51</v>
      </c>
    </row>
    <row r="1166" spans="1:2" x14ac:dyDescent="0.25">
      <c r="A1166" s="1">
        <v>0.33493400462962963</v>
      </c>
      <c r="B1166" t="s">
        <v>51</v>
      </c>
    </row>
    <row r="1167" spans="1:2" x14ac:dyDescent="0.25">
      <c r="A1167" s="1">
        <v>0.33493377314814815</v>
      </c>
      <c r="B1167" t="s">
        <v>51</v>
      </c>
    </row>
    <row r="1168" spans="1:2" x14ac:dyDescent="0.25">
      <c r="A1168" s="1">
        <v>0.33493206018518523</v>
      </c>
      <c r="B1168" t="s">
        <v>53</v>
      </c>
    </row>
    <row r="1169" spans="1:2" x14ac:dyDescent="0.25">
      <c r="A1169" s="1">
        <v>0.33493086805555555</v>
      </c>
      <c r="B1169" t="s">
        <v>52</v>
      </c>
    </row>
    <row r="1170" spans="1:2" x14ac:dyDescent="0.25">
      <c r="A1170" s="1">
        <v>0.33493019675925928</v>
      </c>
      <c r="B1170" t="s">
        <v>51</v>
      </c>
    </row>
    <row r="1171" spans="1:2" x14ac:dyDescent="0.25">
      <c r="A1171" s="1">
        <v>0.33492697916666669</v>
      </c>
      <c r="B1171" t="s">
        <v>52</v>
      </c>
    </row>
    <row r="1172" spans="1:2" x14ac:dyDescent="0.25">
      <c r="A1172" s="1">
        <v>0.33492342592592594</v>
      </c>
      <c r="B1172" t="s">
        <v>52</v>
      </c>
    </row>
    <row r="1173" spans="1:2" x14ac:dyDescent="0.25">
      <c r="A1173" s="1">
        <v>0.33492267361111111</v>
      </c>
      <c r="B1173" t="s">
        <v>53</v>
      </c>
    </row>
    <row r="1174" spans="1:2" x14ac:dyDescent="0.25">
      <c r="A1174" s="1">
        <v>0.33492247685185189</v>
      </c>
      <c r="B1174" t="s">
        <v>51</v>
      </c>
    </row>
    <row r="1175" spans="1:2" x14ac:dyDescent="0.25">
      <c r="A1175" s="1">
        <v>0.33492148148148143</v>
      </c>
      <c r="B1175" t="s">
        <v>53</v>
      </c>
    </row>
    <row r="1176" spans="1:2" x14ac:dyDescent="0.25">
      <c r="A1176" s="1">
        <v>0.33492136574074077</v>
      </c>
      <c r="B1176" t="s">
        <v>51</v>
      </c>
    </row>
    <row r="1177" spans="1:2" x14ac:dyDescent="0.25">
      <c r="A1177" s="1">
        <v>0.3349203009259259</v>
      </c>
      <c r="B1177" t="s">
        <v>52</v>
      </c>
    </row>
    <row r="1178" spans="1:2" x14ac:dyDescent="0.25">
      <c r="A1178" s="1">
        <v>0.33491811342592598</v>
      </c>
      <c r="B1178" t="s">
        <v>52</v>
      </c>
    </row>
    <row r="1179" spans="1:2" x14ac:dyDescent="0.25">
      <c r="A1179" s="1">
        <v>0.33491667824074073</v>
      </c>
      <c r="B1179" t="s">
        <v>51</v>
      </c>
    </row>
    <row r="1180" spans="1:2" x14ac:dyDescent="0.25">
      <c r="A1180" s="1">
        <v>0.33491512731481482</v>
      </c>
      <c r="B1180" t="s">
        <v>51</v>
      </c>
    </row>
    <row r="1181" spans="1:2" x14ac:dyDescent="0.25">
      <c r="A1181" s="1">
        <v>0.33491464120370368</v>
      </c>
      <c r="B1181" t="s">
        <v>52</v>
      </c>
    </row>
    <row r="1182" spans="1:2" x14ac:dyDescent="0.25">
      <c r="A1182" s="1">
        <v>0.33491451388888888</v>
      </c>
      <c r="B1182" t="s">
        <v>53</v>
      </c>
    </row>
    <row r="1183" spans="1:2" x14ac:dyDescent="0.25">
      <c r="A1183" s="1">
        <v>0.33491391203703702</v>
      </c>
      <c r="B1183" t="s">
        <v>51</v>
      </c>
    </row>
    <row r="1184" spans="1:2" x14ac:dyDescent="0.25">
      <c r="A1184" s="1">
        <v>0.33491306712962965</v>
      </c>
      <c r="B1184" t="s">
        <v>51</v>
      </c>
    </row>
    <row r="1185" spans="1:2" x14ac:dyDescent="0.25">
      <c r="A1185" s="1">
        <v>0.33491244212962962</v>
      </c>
      <c r="B1185" t="s">
        <v>52</v>
      </c>
    </row>
    <row r="1186" spans="1:2" x14ac:dyDescent="0.25">
      <c r="A1186" s="1">
        <v>0.33491201388888886</v>
      </c>
      <c r="B1186" t="s">
        <v>51</v>
      </c>
    </row>
    <row r="1187" spans="1:2" x14ac:dyDescent="0.25">
      <c r="A1187" s="1">
        <v>0.33491200231481483</v>
      </c>
      <c r="B1187" t="s">
        <v>51</v>
      </c>
    </row>
    <row r="1188" spans="1:2" x14ac:dyDescent="0.25">
      <c r="A1188" s="1">
        <v>0.33491079861111112</v>
      </c>
      <c r="B1188" t="s">
        <v>52</v>
      </c>
    </row>
    <row r="1189" spans="1:2" x14ac:dyDescent="0.25">
      <c r="A1189" s="1">
        <v>0.33490980324074071</v>
      </c>
      <c r="B1189" t="s">
        <v>53</v>
      </c>
    </row>
    <row r="1190" spans="1:2" x14ac:dyDescent="0.25">
      <c r="A1190" s="1">
        <v>0.33490850694444446</v>
      </c>
      <c r="B1190" t="s">
        <v>51</v>
      </c>
    </row>
    <row r="1191" spans="1:2" x14ac:dyDescent="0.25">
      <c r="A1191" s="1">
        <v>0.33490780092592592</v>
      </c>
      <c r="B1191" t="s">
        <v>53</v>
      </c>
    </row>
    <row r="1192" spans="1:2" x14ac:dyDescent="0.25">
      <c r="A1192" s="1">
        <v>0.33490328703703703</v>
      </c>
      <c r="B1192" t="s">
        <v>51</v>
      </c>
    </row>
    <row r="1193" spans="1:2" x14ac:dyDescent="0.25">
      <c r="A1193" s="1">
        <v>0.33489820601851855</v>
      </c>
      <c r="B1193" t="s">
        <v>53</v>
      </c>
    </row>
    <row r="1194" spans="1:2" x14ac:dyDescent="0.25">
      <c r="A1194" s="1">
        <v>0.33489440972222223</v>
      </c>
      <c r="B1194" t="s">
        <v>52</v>
      </c>
    </row>
    <row r="1195" spans="1:2" x14ac:dyDescent="0.25">
      <c r="A1195" s="1">
        <v>0.33489417824074069</v>
      </c>
      <c r="B1195" t="s">
        <v>52</v>
      </c>
    </row>
    <row r="1196" spans="1:2" x14ac:dyDescent="0.25">
      <c r="A1196" s="1">
        <v>0.33488952546296297</v>
      </c>
      <c r="B1196" t="s">
        <v>52</v>
      </c>
    </row>
    <row r="1197" spans="1:2" x14ac:dyDescent="0.25">
      <c r="A1197" s="1">
        <v>0.33488818287037042</v>
      </c>
      <c r="B1197" t="s">
        <v>53</v>
      </c>
    </row>
    <row r="1198" spans="1:2" x14ac:dyDescent="0.25">
      <c r="A1198" s="1">
        <v>0.33488331018518519</v>
      </c>
      <c r="B1198" t="s">
        <v>53</v>
      </c>
    </row>
    <row r="1199" spans="1:2" x14ac:dyDescent="0.25">
      <c r="A1199" s="1">
        <v>0.33487872685185183</v>
      </c>
      <c r="B1199" t="s">
        <v>51</v>
      </c>
    </row>
    <row r="1200" spans="1:2" x14ac:dyDescent="0.25">
      <c r="A1200" s="1">
        <v>0.33487767361111115</v>
      </c>
      <c r="B1200" t="s">
        <v>51</v>
      </c>
    </row>
    <row r="1201" spans="1:2" x14ac:dyDescent="0.25">
      <c r="A1201" s="1">
        <v>0.33487762731481485</v>
      </c>
      <c r="B1201" t="s">
        <v>53</v>
      </c>
    </row>
    <row r="1202" spans="1:2" x14ac:dyDescent="0.25">
      <c r="A1202" s="1">
        <v>0.33487759259259259</v>
      </c>
      <c r="B1202" t="s">
        <v>52</v>
      </c>
    </row>
    <row r="1203" spans="1:2" x14ac:dyDescent="0.25">
      <c r="A1203" s="1">
        <v>0.3348775347222222</v>
      </c>
      <c r="B1203" t="s">
        <v>52</v>
      </c>
    </row>
    <row r="1204" spans="1:2" x14ac:dyDescent="0.25">
      <c r="A1204" s="1">
        <v>0.33487741898148143</v>
      </c>
      <c r="B1204" t="s">
        <v>51</v>
      </c>
    </row>
    <row r="1205" spans="1:2" x14ac:dyDescent="0.25">
      <c r="A1205" s="1">
        <v>0.3348773611111111</v>
      </c>
      <c r="B1205" t="s">
        <v>51</v>
      </c>
    </row>
    <row r="1206" spans="1:2" x14ac:dyDescent="0.25">
      <c r="A1206" s="1">
        <v>0.33487614583333336</v>
      </c>
      <c r="B1206" t="s">
        <v>52</v>
      </c>
    </row>
    <row r="1207" spans="1:2" x14ac:dyDescent="0.25">
      <c r="A1207" s="1">
        <v>0.3348758101851852</v>
      </c>
      <c r="B1207" t="s">
        <v>52</v>
      </c>
    </row>
    <row r="1208" spans="1:2" x14ac:dyDescent="0.25">
      <c r="A1208" s="1">
        <v>0.3348757638888889</v>
      </c>
      <c r="B1208" t="s">
        <v>53</v>
      </c>
    </row>
    <row r="1209" spans="1:2" x14ac:dyDescent="0.25">
      <c r="A1209" s="1">
        <v>0.33487503472222224</v>
      </c>
      <c r="B1209" t="s">
        <v>51</v>
      </c>
    </row>
    <row r="1210" spans="1:2" x14ac:dyDescent="0.25">
      <c r="A1210" s="1">
        <v>0.3348712615740741</v>
      </c>
      <c r="B1210" t="s">
        <v>51</v>
      </c>
    </row>
    <row r="1211" spans="1:2" x14ac:dyDescent="0.25">
      <c r="A1211" s="1">
        <v>0.33487089120370372</v>
      </c>
      <c r="B1211" t="s">
        <v>53</v>
      </c>
    </row>
    <row r="1212" spans="1:2" x14ac:dyDescent="0.25">
      <c r="A1212" s="1">
        <v>0.33487067129629633</v>
      </c>
      <c r="B1212" t="s">
        <v>52</v>
      </c>
    </row>
    <row r="1213" spans="1:2" x14ac:dyDescent="0.25">
      <c r="A1213" s="1">
        <v>0.33486902777777777</v>
      </c>
      <c r="B1213" t="s">
        <v>51</v>
      </c>
    </row>
    <row r="1214" spans="1:2" x14ac:dyDescent="0.25">
      <c r="A1214" s="1">
        <v>0.33486743055555551</v>
      </c>
      <c r="B1214" t="s">
        <v>53</v>
      </c>
    </row>
    <row r="1215" spans="1:2" x14ac:dyDescent="0.25">
      <c r="A1215" s="1">
        <v>0.33486686342592592</v>
      </c>
      <c r="B1215" t="s">
        <v>52</v>
      </c>
    </row>
    <row r="1216" spans="1:2" x14ac:dyDescent="0.25">
      <c r="A1216" s="1">
        <v>0.33486658564814814</v>
      </c>
      <c r="B1216" t="s">
        <v>52</v>
      </c>
    </row>
    <row r="1217" spans="1:2" x14ac:dyDescent="0.25">
      <c r="A1217" s="1">
        <v>0.33486655092592593</v>
      </c>
      <c r="B1217" t="s">
        <v>51</v>
      </c>
    </row>
    <row r="1218" spans="1:2" x14ac:dyDescent="0.25">
      <c r="A1218" s="1">
        <v>0.33486475694444445</v>
      </c>
      <c r="B1218" t="s">
        <v>53</v>
      </c>
    </row>
    <row r="1219" spans="1:2" x14ac:dyDescent="0.25">
      <c r="A1219" s="1">
        <v>0.33486401620370371</v>
      </c>
      <c r="B1219" t="s">
        <v>53</v>
      </c>
    </row>
    <row r="1220" spans="1:2" x14ac:dyDescent="0.25">
      <c r="A1220" s="1">
        <v>0.33486136574074071</v>
      </c>
      <c r="B1220" t="s">
        <v>52</v>
      </c>
    </row>
    <row r="1221" spans="1:2" x14ac:dyDescent="0.25">
      <c r="A1221" s="1">
        <v>0.3348580902777778</v>
      </c>
      <c r="B1221" t="s">
        <v>51</v>
      </c>
    </row>
    <row r="1222" spans="1:2" x14ac:dyDescent="0.25">
      <c r="A1222" s="1">
        <v>0.33485784722222217</v>
      </c>
      <c r="B1222" t="s">
        <v>52</v>
      </c>
    </row>
    <row r="1223" spans="1:2" x14ac:dyDescent="0.25">
      <c r="A1223" s="1">
        <v>0.33485754629629633</v>
      </c>
      <c r="B1223" t="s">
        <v>53</v>
      </c>
    </row>
    <row r="1224" spans="1:2" x14ac:dyDescent="0.25">
      <c r="A1224" s="1">
        <v>0.33485754629629633</v>
      </c>
      <c r="B1224" t="s">
        <v>51</v>
      </c>
    </row>
    <row r="1225" spans="1:2" x14ac:dyDescent="0.25">
      <c r="A1225" s="1">
        <v>0.33485746527777777</v>
      </c>
      <c r="B1225" t="s">
        <v>52</v>
      </c>
    </row>
    <row r="1226" spans="1:2" x14ac:dyDescent="0.25">
      <c r="A1226" s="1">
        <v>0.33485644675925924</v>
      </c>
      <c r="B1226" t="s">
        <v>53</v>
      </c>
    </row>
    <row r="1227" spans="1:2" x14ac:dyDescent="0.25">
      <c r="A1227" s="1">
        <v>0.33484978009259264</v>
      </c>
      <c r="B1227" t="s">
        <v>51</v>
      </c>
    </row>
    <row r="1228" spans="1:2" x14ac:dyDescent="0.25">
      <c r="A1228" s="1">
        <v>0.33484880787037036</v>
      </c>
      <c r="B1228" t="s">
        <v>53</v>
      </c>
    </row>
    <row r="1229" spans="1:2" x14ac:dyDescent="0.25">
      <c r="A1229" s="1">
        <v>0.33484857638888887</v>
      </c>
      <c r="B1229" t="s">
        <v>52</v>
      </c>
    </row>
    <row r="1230" spans="1:2" x14ac:dyDescent="0.25">
      <c r="A1230" s="1">
        <v>0.33484761574074073</v>
      </c>
      <c r="B1230" t="s">
        <v>53</v>
      </c>
    </row>
    <row r="1231" spans="1:2" x14ac:dyDescent="0.25">
      <c r="A1231" s="1">
        <v>0.33484737268518522</v>
      </c>
      <c r="B1231" t="s">
        <v>52</v>
      </c>
    </row>
    <row r="1232" spans="1:2" x14ac:dyDescent="0.25">
      <c r="A1232" s="1">
        <v>0.33484652777777774</v>
      </c>
      <c r="B1232" t="s">
        <v>52</v>
      </c>
    </row>
    <row r="1233" spans="1:2" x14ac:dyDescent="0.25">
      <c r="A1233" s="1">
        <v>0.33484616898148145</v>
      </c>
      <c r="B1233" t="s">
        <v>51</v>
      </c>
    </row>
    <row r="1234" spans="1:2" x14ac:dyDescent="0.25">
      <c r="A1234" s="1">
        <v>0.33484488425925929</v>
      </c>
      <c r="B1234" t="s">
        <v>52</v>
      </c>
    </row>
    <row r="1235" spans="1:2" x14ac:dyDescent="0.25">
      <c r="A1235" s="1">
        <v>0.33484450231481483</v>
      </c>
      <c r="B1235" t="s">
        <v>52</v>
      </c>
    </row>
    <row r="1236" spans="1:2" x14ac:dyDescent="0.25">
      <c r="A1236" s="1">
        <v>0.3348434837962963</v>
      </c>
      <c r="B1236" t="s">
        <v>53</v>
      </c>
    </row>
    <row r="1237" spans="1:2" x14ac:dyDescent="0.25">
      <c r="A1237" s="1">
        <v>0.33484201388888885</v>
      </c>
      <c r="B1237" t="s">
        <v>51</v>
      </c>
    </row>
    <row r="1238" spans="1:2" x14ac:dyDescent="0.25">
      <c r="A1238" s="1">
        <v>0.33484164351851847</v>
      </c>
      <c r="B1238" t="s">
        <v>53</v>
      </c>
    </row>
    <row r="1239" spans="1:2" x14ac:dyDescent="0.25">
      <c r="A1239" s="1">
        <v>0.3348401967592593</v>
      </c>
      <c r="B1239" t="s">
        <v>52</v>
      </c>
    </row>
    <row r="1240" spans="1:2" x14ac:dyDescent="0.25">
      <c r="A1240" s="1">
        <v>0.33483962962962965</v>
      </c>
      <c r="B1240" t="s">
        <v>52</v>
      </c>
    </row>
    <row r="1241" spans="1:2" x14ac:dyDescent="0.25">
      <c r="A1241" s="1">
        <v>0.33483771990740746</v>
      </c>
      <c r="B1241" t="s">
        <v>52</v>
      </c>
    </row>
    <row r="1242" spans="1:2" x14ac:dyDescent="0.25">
      <c r="A1242" s="1">
        <v>0.33483664351851855</v>
      </c>
      <c r="B1242" t="s">
        <v>53</v>
      </c>
    </row>
    <row r="1243" spans="1:2" x14ac:dyDescent="0.25">
      <c r="A1243" s="1">
        <v>0.33483429398148146</v>
      </c>
      <c r="B1243" t="s">
        <v>53</v>
      </c>
    </row>
    <row r="1244" spans="1:2" x14ac:dyDescent="0.25">
      <c r="A1244" s="1">
        <v>0.3348302314814815</v>
      </c>
      <c r="B1244" t="s">
        <v>51</v>
      </c>
    </row>
    <row r="1245" spans="1:2" x14ac:dyDescent="0.25">
      <c r="A1245" s="1">
        <v>0.33482909722222226</v>
      </c>
      <c r="B1245" t="s">
        <v>51</v>
      </c>
    </row>
    <row r="1246" spans="1:2" x14ac:dyDescent="0.25">
      <c r="A1246" s="1">
        <v>0.33482637731481479</v>
      </c>
      <c r="B1246" t="s">
        <v>51</v>
      </c>
    </row>
    <row r="1247" spans="1:2" x14ac:dyDescent="0.25">
      <c r="A1247" s="1">
        <v>0.33482296296296293</v>
      </c>
      <c r="B1247" t="s">
        <v>53</v>
      </c>
    </row>
    <row r="1248" spans="1:2" x14ac:dyDescent="0.25">
      <c r="A1248" s="1">
        <v>0.33482119212962963</v>
      </c>
      <c r="B1248" t="s">
        <v>52</v>
      </c>
    </row>
    <row r="1249" spans="1:2" x14ac:dyDescent="0.25">
      <c r="A1249" s="1">
        <v>0.33482010416666669</v>
      </c>
      <c r="B1249" t="s">
        <v>53</v>
      </c>
    </row>
    <row r="1250" spans="1:2" x14ac:dyDescent="0.25">
      <c r="A1250" s="1">
        <v>0.33481984953703708</v>
      </c>
      <c r="B1250" t="s">
        <v>51</v>
      </c>
    </row>
    <row r="1251" spans="1:2" x14ac:dyDescent="0.25">
      <c r="A1251" s="1">
        <v>0.33481261574074073</v>
      </c>
      <c r="B1251" t="s">
        <v>52</v>
      </c>
    </row>
    <row r="1252" spans="1:2" x14ac:dyDescent="0.25">
      <c r="A1252" s="1">
        <v>0.33481241898148145</v>
      </c>
      <c r="B1252" t="s">
        <v>53</v>
      </c>
    </row>
    <row r="1253" spans="1:2" x14ac:dyDescent="0.25">
      <c r="A1253" s="1">
        <v>0.33481202546296296</v>
      </c>
      <c r="B1253" t="s">
        <v>52</v>
      </c>
    </row>
    <row r="1254" spans="1:2" x14ac:dyDescent="0.25">
      <c r="A1254" s="1">
        <v>0.33480851851851851</v>
      </c>
      <c r="B1254" t="s">
        <v>53</v>
      </c>
    </row>
    <row r="1255" spans="1:2" x14ac:dyDescent="0.25">
      <c r="A1255" s="1">
        <v>0.33480417824074071</v>
      </c>
      <c r="B1255" t="s">
        <v>53</v>
      </c>
    </row>
    <row r="1256" spans="1:2" x14ac:dyDescent="0.25">
      <c r="A1256" s="1">
        <v>0.33480417824074071</v>
      </c>
      <c r="B1256" t="s">
        <v>53</v>
      </c>
    </row>
    <row r="1257" spans="1:2" x14ac:dyDescent="0.25">
      <c r="A1257" s="1">
        <v>0.33479975694444447</v>
      </c>
      <c r="B1257" t="s">
        <v>53</v>
      </c>
    </row>
    <row r="1258" spans="1:2" x14ac:dyDescent="0.25">
      <c r="A1258" s="1">
        <v>0.33479856481481485</v>
      </c>
      <c r="B1258" t="s">
        <v>51</v>
      </c>
    </row>
    <row r="1259" spans="1:2" x14ac:dyDescent="0.25">
      <c r="A1259" s="1">
        <v>0.334797037037037</v>
      </c>
      <c r="B1259" t="s">
        <v>51</v>
      </c>
    </row>
    <row r="1260" spans="1:2" x14ac:dyDescent="0.25">
      <c r="A1260" s="1">
        <v>0.33479438657407407</v>
      </c>
      <c r="B1260" t="s">
        <v>52</v>
      </c>
    </row>
    <row r="1261" spans="1:2" x14ac:dyDescent="0.25">
      <c r="A1261" s="1">
        <v>0.33479314814814815</v>
      </c>
      <c r="B1261" t="s">
        <v>53</v>
      </c>
    </row>
    <row r="1262" spans="1:2" x14ac:dyDescent="0.25">
      <c r="A1262" s="1">
        <v>0.33479236111111116</v>
      </c>
      <c r="B1262" t="s">
        <v>52</v>
      </c>
    </row>
    <row r="1263" spans="1:2" x14ac:dyDescent="0.25">
      <c r="A1263" s="1">
        <v>0.33479177083333328</v>
      </c>
      <c r="B1263" t="s">
        <v>51</v>
      </c>
    </row>
    <row r="1264" spans="1:2" x14ac:dyDescent="0.25">
      <c r="A1264" s="1">
        <v>0.33479173611111107</v>
      </c>
      <c r="B1264" t="s">
        <v>51</v>
      </c>
    </row>
    <row r="1265" spans="1:2" x14ac:dyDescent="0.25">
      <c r="A1265" s="1">
        <v>0.33478978009259258</v>
      </c>
      <c r="B1265" t="s">
        <v>53</v>
      </c>
    </row>
    <row r="1266" spans="1:2" x14ac:dyDescent="0.25">
      <c r="A1266" s="1">
        <v>0.3347879050925926</v>
      </c>
      <c r="B1266" t="s">
        <v>51</v>
      </c>
    </row>
    <row r="1267" spans="1:2" x14ac:dyDescent="0.25">
      <c r="A1267" s="1">
        <v>0.33478475694444443</v>
      </c>
      <c r="B1267" t="s">
        <v>51</v>
      </c>
    </row>
    <row r="1268" spans="1:2" x14ac:dyDescent="0.25">
      <c r="A1268" s="1">
        <v>0.33478460648148145</v>
      </c>
      <c r="B1268" t="s">
        <v>52</v>
      </c>
    </row>
    <row r="1269" spans="1:2" x14ac:dyDescent="0.25">
      <c r="A1269" s="1">
        <v>0.33478289351851848</v>
      </c>
      <c r="B1269" t="s">
        <v>51</v>
      </c>
    </row>
    <row r="1270" spans="1:2" x14ac:dyDescent="0.25">
      <c r="A1270" s="1">
        <v>0.33478254629629628</v>
      </c>
      <c r="B1270" t="s">
        <v>53</v>
      </c>
    </row>
    <row r="1271" spans="1:2" x14ac:dyDescent="0.25">
      <c r="A1271" s="1">
        <v>0.33478133101851854</v>
      </c>
      <c r="B1271" t="s">
        <v>51</v>
      </c>
    </row>
    <row r="1272" spans="1:2" x14ac:dyDescent="0.25">
      <c r="A1272" s="1">
        <v>0.33478113425925926</v>
      </c>
      <c r="B1272" t="s">
        <v>52</v>
      </c>
    </row>
    <row r="1273" spans="1:2" x14ac:dyDescent="0.25">
      <c r="A1273" s="1">
        <v>0.3347805787037037</v>
      </c>
      <c r="B1273" t="s">
        <v>53</v>
      </c>
    </row>
    <row r="1274" spans="1:2" x14ac:dyDescent="0.25">
      <c r="A1274" s="1">
        <v>0.33478047453703702</v>
      </c>
      <c r="B1274" t="s">
        <v>53</v>
      </c>
    </row>
    <row r="1275" spans="1:2" x14ac:dyDescent="0.25">
      <c r="A1275" s="1">
        <v>0.3347788888888889</v>
      </c>
      <c r="B1275" t="s">
        <v>52</v>
      </c>
    </row>
    <row r="1276" spans="1:2" x14ac:dyDescent="0.25">
      <c r="A1276" s="1">
        <v>0.33477681712962964</v>
      </c>
      <c r="B1276" t="s">
        <v>52</v>
      </c>
    </row>
    <row r="1277" spans="1:2" x14ac:dyDescent="0.25">
      <c r="A1277" s="1">
        <v>0.33477403935185185</v>
      </c>
      <c r="B1277" t="s">
        <v>53</v>
      </c>
    </row>
    <row r="1278" spans="1:2" x14ac:dyDescent="0.25">
      <c r="A1278" s="1">
        <v>0.33477273148148146</v>
      </c>
      <c r="B1278" t="s">
        <v>51</v>
      </c>
    </row>
    <row r="1279" spans="1:2" x14ac:dyDescent="0.25">
      <c r="A1279" s="1">
        <v>0.33477216435185181</v>
      </c>
      <c r="B1279" t="s">
        <v>51</v>
      </c>
    </row>
    <row r="1280" spans="1:2" x14ac:dyDescent="0.25">
      <c r="A1280" s="1">
        <v>0.33477203703703706</v>
      </c>
      <c r="B1280" t="s">
        <v>53</v>
      </c>
    </row>
    <row r="1281" spans="1:2" x14ac:dyDescent="0.25">
      <c r="A1281" s="1">
        <v>0.33477049768518513</v>
      </c>
      <c r="B1281" t="s">
        <v>53</v>
      </c>
    </row>
    <row r="1282" spans="1:2" x14ac:dyDescent="0.25">
      <c r="A1282" s="1">
        <v>0.33476846064814819</v>
      </c>
      <c r="B1282" t="s">
        <v>51</v>
      </c>
    </row>
    <row r="1283" spans="1:2" x14ac:dyDescent="0.25">
      <c r="A1283" s="1">
        <v>0.33476811342592594</v>
      </c>
      <c r="B1283" t="s">
        <v>53</v>
      </c>
    </row>
    <row r="1284" spans="1:2" x14ac:dyDescent="0.25">
      <c r="A1284" s="1">
        <v>0.3347650231481481</v>
      </c>
      <c r="B1284" t="s">
        <v>53</v>
      </c>
    </row>
    <row r="1285" spans="1:2" x14ac:dyDescent="0.25">
      <c r="A1285" s="1">
        <v>0.33476311342592591</v>
      </c>
      <c r="B1285" t="s">
        <v>51</v>
      </c>
    </row>
    <row r="1286" spans="1:2" x14ac:dyDescent="0.25">
      <c r="A1286" s="1">
        <v>0.33476256944444444</v>
      </c>
      <c r="B1286" t="s">
        <v>51</v>
      </c>
    </row>
    <row r="1287" spans="1:2" x14ac:dyDescent="0.25">
      <c r="A1287" s="1">
        <v>0.33476008101851851</v>
      </c>
      <c r="B1287" t="s">
        <v>53</v>
      </c>
    </row>
    <row r="1288" spans="1:2" x14ac:dyDescent="0.25">
      <c r="A1288" s="1">
        <v>0.33475921296296302</v>
      </c>
      <c r="B1288" t="s">
        <v>52</v>
      </c>
    </row>
    <row r="1289" spans="1:2" x14ac:dyDescent="0.25">
      <c r="A1289" s="1">
        <v>0.33475806712962958</v>
      </c>
      <c r="B1289" t="s">
        <v>52</v>
      </c>
    </row>
    <row r="1290" spans="1:2" x14ac:dyDescent="0.25">
      <c r="A1290" s="1">
        <v>0.33475788194444439</v>
      </c>
      <c r="B1290" t="s">
        <v>52</v>
      </c>
    </row>
    <row r="1291" spans="1:2" x14ac:dyDescent="0.25">
      <c r="A1291" s="1">
        <v>0.33475670138888886</v>
      </c>
      <c r="B1291" t="s">
        <v>53</v>
      </c>
    </row>
    <row r="1292" spans="1:2" x14ac:dyDescent="0.25">
      <c r="A1292" s="1">
        <v>0.33475479166666666</v>
      </c>
      <c r="B1292" t="s">
        <v>51</v>
      </c>
    </row>
    <row r="1293" spans="1:2" x14ac:dyDescent="0.25">
      <c r="A1293" s="1">
        <v>0.33475474537037037</v>
      </c>
      <c r="B1293" t="s">
        <v>53</v>
      </c>
    </row>
    <row r="1294" spans="1:2" x14ac:dyDescent="0.25">
      <c r="A1294" s="1">
        <v>0.33475439814814817</v>
      </c>
      <c r="B1294" t="s">
        <v>51</v>
      </c>
    </row>
    <row r="1295" spans="1:2" x14ac:dyDescent="0.25">
      <c r="A1295" s="1">
        <v>0.3347513773148148</v>
      </c>
      <c r="B1295" t="s">
        <v>51</v>
      </c>
    </row>
    <row r="1296" spans="1:2" x14ac:dyDescent="0.25">
      <c r="A1296" s="1">
        <v>0.33475086805555554</v>
      </c>
      <c r="B1296" t="s">
        <v>51</v>
      </c>
    </row>
    <row r="1297" spans="1:2" x14ac:dyDescent="0.25">
      <c r="A1297" s="1">
        <v>0.33475049768518517</v>
      </c>
      <c r="B1297" t="s">
        <v>51</v>
      </c>
    </row>
    <row r="1298" spans="1:2" x14ac:dyDescent="0.25">
      <c r="A1298" s="1">
        <v>0.33474631944444444</v>
      </c>
      <c r="B1298" t="s">
        <v>52</v>
      </c>
    </row>
    <row r="1299" spans="1:2" x14ac:dyDescent="0.25">
      <c r="A1299" s="1">
        <v>0.3347455324074074</v>
      </c>
      <c r="B1299" t="s">
        <v>52</v>
      </c>
    </row>
    <row r="1300" spans="1:2" x14ac:dyDescent="0.25">
      <c r="A1300" s="1">
        <v>0.33474336805555555</v>
      </c>
      <c r="B1300" t="s">
        <v>51</v>
      </c>
    </row>
    <row r="1301" spans="1:2" x14ac:dyDescent="0.25">
      <c r="A1301" s="1">
        <v>0.33474079861111111</v>
      </c>
      <c r="B1301" t="s">
        <v>52</v>
      </c>
    </row>
    <row r="1302" spans="1:2" x14ac:dyDescent="0.25">
      <c r="A1302" s="1">
        <v>0.33474046296296295</v>
      </c>
      <c r="B1302" t="s">
        <v>51</v>
      </c>
    </row>
    <row r="1303" spans="1:2" x14ac:dyDescent="0.25">
      <c r="A1303" s="1">
        <v>0.33473973379629629</v>
      </c>
      <c r="B1303" t="s">
        <v>53</v>
      </c>
    </row>
    <row r="1304" spans="1:2" x14ac:dyDescent="0.25">
      <c r="A1304" s="1">
        <v>0.33473901620370367</v>
      </c>
      <c r="B1304" t="s">
        <v>52</v>
      </c>
    </row>
    <row r="1305" spans="1:2" x14ac:dyDescent="0.25">
      <c r="A1305" s="1">
        <v>0.33473877314814815</v>
      </c>
      <c r="B1305" t="s">
        <v>51</v>
      </c>
    </row>
    <row r="1306" spans="1:2" x14ac:dyDescent="0.25">
      <c r="A1306" s="1">
        <v>0.33473866898148147</v>
      </c>
      <c r="B1306" t="s">
        <v>51</v>
      </c>
    </row>
    <row r="1307" spans="1:2" x14ac:dyDescent="0.25">
      <c r="A1307" s="1">
        <v>0.33473837962962966</v>
      </c>
      <c r="B1307" t="s">
        <v>53</v>
      </c>
    </row>
    <row r="1308" spans="1:2" x14ac:dyDescent="0.25">
      <c r="A1308" s="1">
        <v>0.33473836805555557</v>
      </c>
      <c r="B1308" t="s">
        <v>53</v>
      </c>
    </row>
    <row r="1309" spans="1:2" x14ac:dyDescent="0.25">
      <c r="A1309" s="1">
        <v>0.33473755787037041</v>
      </c>
      <c r="B1309" t="s">
        <v>53</v>
      </c>
    </row>
    <row r="1310" spans="1:2" x14ac:dyDescent="0.25">
      <c r="A1310" s="1">
        <v>0.33473711805555556</v>
      </c>
      <c r="B1310" t="s">
        <v>52</v>
      </c>
    </row>
    <row r="1311" spans="1:2" x14ac:dyDescent="0.25">
      <c r="A1311" s="1">
        <v>0.33473638888888885</v>
      </c>
      <c r="B1311" t="s">
        <v>51</v>
      </c>
    </row>
    <row r="1312" spans="1:2" x14ac:dyDescent="0.25">
      <c r="A1312" s="1">
        <v>0.33473436342592594</v>
      </c>
      <c r="B1312" t="s">
        <v>51</v>
      </c>
    </row>
    <row r="1313" spans="1:2" x14ac:dyDescent="0.25">
      <c r="A1313" s="1">
        <v>0.33473145833333334</v>
      </c>
      <c r="B1313" t="s">
        <v>53</v>
      </c>
    </row>
    <row r="1314" spans="1:2" x14ac:dyDescent="0.25">
      <c r="A1314" s="1">
        <v>0.33472994212962964</v>
      </c>
      <c r="B1314" t="s">
        <v>51</v>
      </c>
    </row>
    <row r="1315" spans="1:2" x14ac:dyDescent="0.25">
      <c r="A1315" s="1">
        <v>0.33472902777777774</v>
      </c>
      <c r="B1315" t="s">
        <v>53</v>
      </c>
    </row>
    <row r="1316" spans="1:2" x14ac:dyDescent="0.25">
      <c r="A1316" s="1">
        <v>0.33472760416666669</v>
      </c>
      <c r="B1316" t="s">
        <v>52</v>
      </c>
    </row>
    <row r="1317" spans="1:2" x14ac:dyDescent="0.25">
      <c r="A1317" s="1">
        <v>0.33472649305555557</v>
      </c>
      <c r="B1317" t="s">
        <v>52</v>
      </c>
    </row>
    <row r="1318" spans="1:2" x14ac:dyDescent="0.25">
      <c r="A1318" s="1">
        <v>0.33472384259259264</v>
      </c>
      <c r="B1318" t="s">
        <v>52</v>
      </c>
    </row>
    <row r="1319" spans="1:2" x14ac:dyDescent="0.25">
      <c r="A1319" s="1">
        <v>0.33472129629629627</v>
      </c>
      <c r="B1319" t="s">
        <v>51</v>
      </c>
    </row>
    <row r="1320" spans="1:2" x14ac:dyDescent="0.25">
      <c r="A1320" s="1">
        <v>0.33471826388888887</v>
      </c>
      <c r="B1320" t="s">
        <v>52</v>
      </c>
    </row>
    <row r="1321" spans="1:2" x14ac:dyDescent="0.25">
      <c r="A1321" s="1">
        <v>0.33471648148148153</v>
      </c>
      <c r="B1321" t="s">
        <v>52</v>
      </c>
    </row>
    <row r="1322" spans="1:2" x14ac:dyDescent="0.25">
      <c r="A1322" s="1">
        <v>0.33471604166666663</v>
      </c>
      <c r="B1322" t="s">
        <v>53</v>
      </c>
    </row>
    <row r="1323" spans="1:2" x14ac:dyDescent="0.25">
      <c r="A1323" s="1">
        <v>0.33471387731481483</v>
      </c>
      <c r="B1323" t="s">
        <v>52</v>
      </c>
    </row>
    <row r="1324" spans="1:2" x14ac:dyDescent="0.25">
      <c r="A1324" s="1">
        <v>0.33471249999999997</v>
      </c>
      <c r="B1324" t="s">
        <v>53</v>
      </c>
    </row>
    <row r="1325" spans="1:2" x14ac:dyDescent="0.25">
      <c r="A1325" s="1">
        <v>0.33471133101851852</v>
      </c>
      <c r="B1325" t="s">
        <v>52</v>
      </c>
    </row>
    <row r="1326" spans="1:2" x14ac:dyDescent="0.25">
      <c r="A1326" s="1">
        <v>0.33471047453703706</v>
      </c>
      <c r="B1326" t="s">
        <v>51</v>
      </c>
    </row>
    <row r="1327" spans="1:2" x14ac:dyDescent="0.25">
      <c r="A1327" s="1">
        <v>0.33470981481481482</v>
      </c>
      <c r="B1327" t="s">
        <v>51</v>
      </c>
    </row>
    <row r="1328" spans="1:2" x14ac:dyDescent="0.25">
      <c r="A1328" s="1">
        <v>0.33470949074074069</v>
      </c>
      <c r="B1328" t="s">
        <v>53</v>
      </c>
    </row>
    <row r="1329" spans="1:2" x14ac:dyDescent="0.25">
      <c r="A1329" s="1">
        <v>0.33470865740740741</v>
      </c>
      <c r="B1329" t="s">
        <v>53</v>
      </c>
    </row>
    <row r="1330" spans="1:2" x14ac:dyDescent="0.25">
      <c r="A1330" s="1">
        <v>0.33470721064814812</v>
      </c>
      <c r="B1330" t="s">
        <v>51</v>
      </c>
    </row>
    <row r="1331" spans="1:2" x14ac:dyDescent="0.25">
      <c r="A1331" s="1">
        <v>0.33470657407407406</v>
      </c>
      <c r="B1331" t="s">
        <v>52</v>
      </c>
    </row>
    <row r="1332" spans="1:2" x14ac:dyDescent="0.25">
      <c r="A1332" s="1">
        <v>0.33470483796296296</v>
      </c>
      <c r="B1332" t="s">
        <v>53</v>
      </c>
    </row>
    <row r="1333" spans="1:2" x14ac:dyDescent="0.25">
      <c r="A1333" s="1">
        <v>0.33470202546296296</v>
      </c>
      <c r="B1333" t="s">
        <v>52</v>
      </c>
    </row>
    <row r="1334" spans="1:2" x14ac:dyDescent="0.25">
      <c r="A1334" s="1">
        <v>0.33470032407407407</v>
      </c>
      <c r="B1334" t="s">
        <v>52</v>
      </c>
    </row>
    <row r="1335" spans="1:2" x14ac:dyDescent="0.25">
      <c r="A1335" s="1">
        <v>0.33469745370370374</v>
      </c>
      <c r="B1335" t="s">
        <v>52</v>
      </c>
    </row>
    <row r="1336" spans="1:2" x14ac:dyDescent="0.25">
      <c r="A1336" s="1">
        <v>0.33469340277777776</v>
      </c>
      <c r="B1336" t="s">
        <v>53</v>
      </c>
    </row>
    <row r="1337" spans="1:2" x14ac:dyDescent="0.25">
      <c r="A1337" s="1">
        <v>0.33469208333333333</v>
      </c>
      <c r="B1337" t="s">
        <v>52</v>
      </c>
    </row>
    <row r="1338" spans="1:2" x14ac:dyDescent="0.25">
      <c r="A1338" s="1">
        <v>0.33469061342592593</v>
      </c>
      <c r="B1338" t="s">
        <v>53</v>
      </c>
    </row>
    <row r="1339" spans="1:2" x14ac:dyDescent="0.25">
      <c r="A1339" s="1">
        <v>0.33468988425925922</v>
      </c>
      <c r="B1339" t="s">
        <v>52</v>
      </c>
    </row>
    <row r="1340" spans="1:2" x14ac:dyDescent="0.25">
      <c r="A1340" s="1">
        <v>0.33468771990740742</v>
      </c>
      <c r="B1340" t="s">
        <v>52</v>
      </c>
    </row>
    <row r="1341" spans="1:2" x14ac:dyDescent="0.25">
      <c r="A1341" s="1">
        <v>0.3346839699074074</v>
      </c>
      <c r="B1341" t="s">
        <v>51</v>
      </c>
    </row>
    <row r="1342" spans="1:2" x14ac:dyDescent="0.25">
      <c r="A1342" s="1">
        <v>0.33468179398148146</v>
      </c>
      <c r="B1342" t="s">
        <v>52</v>
      </c>
    </row>
    <row r="1343" spans="1:2" x14ac:dyDescent="0.25">
      <c r="A1343" s="1">
        <v>0.33468179398148146</v>
      </c>
      <c r="B1343" t="s">
        <v>52</v>
      </c>
    </row>
    <row r="1344" spans="1:2" x14ac:dyDescent="0.25">
      <c r="A1344" s="1">
        <v>0.33468134259259258</v>
      </c>
      <c r="B1344" t="s">
        <v>52</v>
      </c>
    </row>
    <row r="1345" spans="1:2" x14ac:dyDescent="0.25">
      <c r="A1345" s="1">
        <v>0.33468131944444446</v>
      </c>
      <c r="B1345" t="s">
        <v>53</v>
      </c>
    </row>
    <row r="1346" spans="1:2" x14ac:dyDescent="0.25">
      <c r="A1346" s="1">
        <v>0.33468120370370369</v>
      </c>
      <c r="B1346" t="s">
        <v>51</v>
      </c>
    </row>
    <row r="1347" spans="1:2" x14ac:dyDescent="0.25">
      <c r="A1347" s="1">
        <v>0.33467964120370369</v>
      </c>
      <c r="B1347" t="s">
        <v>53</v>
      </c>
    </row>
    <row r="1348" spans="1:2" x14ac:dyDescent="0.25">
      <c r="A1348" s="1">
        <v>0.33467317129629631</v>
      </c>
      <c r="B1348" t="s">
        <v>52</v>
      </c>
    </row>
    <row r="1349" spans="1:2" x14ac:dyDescent="0.25">
      <c r="A1349" s="1">
        <v>0.33467292824074074</v>
      </c>
      <c r="B1349" t="s">
        <v>51</v>
      </c>
    </row>
    <row r="1350" spans="1:2" x14ac:dyDescent="0.25">
      <c r="A1350" s="1">
        <v>0.33467281250000003</v>
      </c>
      <c r="B1350" t="s">
        <v>51</v>
      </c>
    </row>
    <row r="1351" spans="1:2" x14ac:dyDescent="0.25">
      <c r="A1351" s="1">
        <v>0.33467155092592593</v>
      </c>
      <c r="B1351" t="s">
        <v>52</v>
      </c>
    </row>
    <row r="1352" spans="1:2" x14ac:dyDescent="0.25">
      <c r="A1352" s="1">
        <v>0.33466934027777778</v>
      </c>
      <c r="B1352" t="s">
        <v>52</v>
      </c>
    </row>
    <row r="1353" spans="1:2" x14ac:dyDescent="0.25">
      <c r="A1353" s="1">
        <v>0.33466800925925927</v>
      </c>
      <c r="B1353" t="s">
        <v>53</v>
      </c>
    </row>
    <row r="1354" spans="1:2" x14ac:dyDescent="0.25">
      <c r="A1354" s="1">
        <v>0.33466795138888888</v>
      </c>
      <c r="B1354" t="s">
        <v>51</v>
      </c>
    </row>
    <row r="1355" spans="1:2" x14ac:dyDescent="0.25">
      <c r="A1355" s="1">
        <v>0.33466745370370371</v>
      </c>
      <c r="B1355" t="s">
        <v>53</v>
      </c>
    </row>
    <row r="1356" spans="1:2" x14ac:dyDescent="0.25">
      <c r="A1356" s="1">
        <v>0.33466420138888892</v>
      </c>
      <c r="B1356" t="s">
        <v>51</v>
      </c>
    </row>
    <row r="1357" spans="1:2" x14ac:dyDescent="0.25">
      <c r="A1357" s="1">
        <v>0.33466247685185185</v>
      </c>
      <c r="B1357" t="s">
        <v>53</v>
      </c>
    </row>
    <row r="1358" spans="1:2" x14ac:dyDescent="0.25">
      <c r="A1358" s="1">
        <v>0.33465954861111108</v>
      </c>
      <c r="B1358" t="s">
        <v>51</v>
      </c>
    </row>
    <row r="1359" spans="1:2" x14ac:dyDescent="0.25">
      <c r="A1359" s="1">
        <v>0.33465945601851854</v>
      </c>
      <c r="B1359" t="s">
        <v>51</v>
      </c>
    </row>
    <row r="1360" spans="1:2" x14ac:dyDescent="0.25">
      <c r="A1360" s="1">
        <v>0.33465673611111107</v>
      </c>
      <c r="B1360" t="s">
        <v>53</v>
      </c>
    </row>
    <row r="1361" spans="1:2" x14ac:dyDescent="0.25">
      <c r="A1361" s="1">
        <v>0.33465671296296295</v>
      </c>
      <c r="B1361" t="s">
        <v>52</v>
      </c>
    </row>
    <row r="1362" spans="1:2" x14ac:dyDescent="0.25">
      <c r="A1362" s="1">
        <v>0.33465340277777783</v>
      </c>
      <c r="B1362" t="s">
        <v>52</v>
      </c>
    </row>
    <row r="1363" spans="1:2" x14ac:dyDescent="0.25">
      <c r="A1363" s="1">
        <v>0.3346529513888889</v>
      </c>
      <c r="B1363" t="s">
        <v>53</v>
      </c>
    </row>
    <row r="1364" spans="1:2" x14ac:dyDescent="0.25">
      <c r="A1364" s="1">
        <v>0.33465123842592592</v>
      </c>
      <c r="B1364" t="s">
        <v>53</v>
      </c>
    </row>
    <row r="1365" spans="1:2" x14ac:dyDescent="0.25">
      <c r="A1365" s="1">
        <v>0.33464998842592591</v>
      </c>
      <c r="B1365" t="s">
        <v>53</v>
      </c>
    </row>
    <row r="1366" spans="1:2" x14ac:dyDescent="0.25">
      <c r="A1366" s="1">
        <v>0.33464922453703699</v>
      </c>
      <c r="B1366" t="s">
        <v>52</v>
      </c>
    </row>
    <row r="1367" spans="1:2" x14ac:dyDescent="0.25">
      <c r="A1367" s="1">
        <v>0.33464869212962967</v>
      </c>
      <c r="B1367" t="s">
        <v>53</v>
      </c>
    </row>
    <row r="1368" spans="1:2" x14ac:dyDescent="0.25">
      <c r="A1368" s="1">
        <v>0.33464778935185185</v>
      </c>
      <c r="B1368" t="s">
        <v>53</v>
      </c>
    </row>
    <row r="1369" spans="1:2" x14ac:dyDescent="0.25">
      <c r="A1369" s="1">
        <v>0.33464222222222223</v>
      </c>
      <c r="B1369" t="s">
        <v>51</v>
      </c>
    </row>
    <row r="1370" spans="1:2" x14ac:dyDescent="0.25">
      <c r="A1370" s="1">
        <v>0.33464204861111108</v>
      </c>
      <c r="B1370" t="s">
        <v>52</v>
      </c>
    </row>
    <row r="1371" spans="1:2" x14ac:dyDescent="0.25">
      <c r="A1371" s="1">
        <v>0.33464118055555558</v>
      </c>
      <c r="B1371" t="s">
        <v>52</v>
      </c>
    </row>
    <row r="1372" spans="1:2" x14ac:dyDescent="0.25">
      <c r="A1372" s="1">
        <v>0.33463929398148151</v>
      </c>
      <c r="B1372" t="s">
        <v>53</v>
      </c>
    </row>
    <row r="1373" spans="1:2" x14ac:dyDescent="0.25">
      <c r="A1373" s="1">
        <v>0.33463743055555556</v>
      </c>
      <c r="B1373" t="s">
        <v>51</v>
      </c>
    </row>
    <row r="1374" spans="1:2" x14ac:dyDescent="0.25">
      <c r="A1374" s="1">
        <v>0.33463723379629634</v>
      </c>
      <c r="B1374" t="s">
        <v>53</v>
      </c>
    </row>
    <row r="1375" spans="1:2" x14ac:dyDescent="0.25">
      <c r="A1375" s="1">
        <v>0.33463503472222222</v>
      </c>
      <c r="B1375" t="s">
        <v>51</v>
      </c>
    </row>
    <row r="1376" spans="1:2" x14ac:dyDescent="0.25">
      <c r="A1376" s="1">
        <v>0.33463363425925929</v>
      </c>
      <c r="B1376" t="s">
        <v>52</v>
      </c>
    </row>
    <row r="1377" spans="1:2" x14ac:dyDescent="0.25">
      <c r="A1377" s="1">
        <v>0.33463300925925926</v>
      </c>
      <c r="B1377" t="s">
        <v>51</v>
      </c>
    </row>
    <row r="1378" spans="1:2" x14ac:dyDescent="0.25">
      <c r="A1378" s="1">
        <v>0.33463298611111109</v>
      </c>
      <c r="B1378" t="s">
        <v>52</v>
      </c>
    </row>
    <row r="1379" spans="1:2" x14ac:dyDescent="0.25">
      <c r="A1379" s="1">
        <v>0.33463223379629631</v>
      </c>
      <c r="B1379" t="s">
        <v>51</v>
      </c>
    </row>
    <row r="1380" spans="1:2" x14ac:dyDescent="0.25">
      <c r="A1380" s="1">
        <v>0.33463143518518518</v>
      </c>
      <c r="B1380" t="s">
        <v>51</v>
      </c>
    </row>
    <row r="1381" spans="1:2" x14ac:dyDescent="0.25">
      <c r="A1381" s="1">
        <v>0.33463038194444444</v>
      </c>
      <c r="B1381" t="s">
        <v>53</v>
      </c>
    </row>
    <row r="1382" spans="1:2" x14ac:dyDescent="0.25">
      <c r="A1382" s="1">
        <v>0.33462188657407405</v>
      </c>
      <c r="B1382" t="s">
        <v>51</v>
      </c>
    </row>
    <row r="1383" spans="1:2" x14ac:dyDescent="0.25">
      <c r="A1383" s="1">
        <v>0.33462133101851849</v>
      </c>
      <c r="B1383" t="s">
        <v>53</v>
      </c>
    </row>
    <row r="1384" spans="1:2" x14ac:dyDescent="0.25">
      <c r="A1384" s="1">
        <v>0.33462121527777783</v>
      </c>
      <c r="B1384" t="s">
        <v>51</v>
      </c>
    </row>
    <row r="1385" spans="1:2" x14ac:dyDescent="0.25">
      <c r="A1385" s="1">
        <v>0.33462084490740746</v>
      </c>
      <c r="B1385" t="s">
        <v>52</v>
      </c>
    </row>
    <row r="1386" spans="1:2" x14ac:dyDescent="0.25">
      <c r="A1386" s="1">
        <v>0.33461738425925924</v>
      </c>
      <c r="B1386" t="s">
        <v>53</v>
      </c>
    </row>
    <row r="1387" spans="1:2" x14ac:dyDescent="0.25">
      <c r="A1387" s="1">
        <v>0.33461687500000004</v>
      </c>
      <c r="B1387" t="s">
        <v>53</v>
      </c>
    </row>
    <row r="1388" spans="1:2" x14ac:dyDescent="0.25">
      <c r="A1388" s="1">
        <v>0.33461597222222222</v>
      </c>
      <c r="B1388" t="s">
        <v>53</v>
      </c>
    </row>
    <row r="1389" spans="1:2" x14ac:dyDescent="0.25">
      <c r="A1389" s="1">
        <v>0.33461425925925931</v>
      </c>
      <c r="B1389" t="s">
        <v>53</v>
      </c>
    </row>
    <row r="1390" spans="1:2" x14ac:dyDescent="0.25">
      <c r="A1390" s="1">
        <v>0.33461390046296297</v>
      </c>
      <c r="B1390" t="s">
        <v>52</v>
      </c>
    </row>
    <row r="1391" spans="1:2" x14ac:dyDescent="0.25">
      <c r="A1391" s="1">
        <v>0.3346104050925926</v>
      </c>
      <c r="B1391" t="s">
        <v>51</v>
      </c>
    </row>
    <row r="1392" spans="1:2" x14ac:dyDescent="0.25">
      <c r="A1392" s="1">
        <v>0.33460960648148147</v>
      </c>
      <c r="B1392" t="s">
        <v>52</v>
      </c>
    </row>
    <row r="1393" spans="1:2" x14ac:dyDescent="0.25">
      <c r="A1393" s="1">
        <v>0.33460609953703702</v>
      </c>
      <c r="B1393" t="s">
        <v>53</v>
      </c>
    </row>
    <row r="1394" spans="1:2" x14ac:dyDescent="0.25">
      <c r="A1394" s="1">
        <v>0.33460530092592594</v>
      </c>
      <c r="B1394" t="s">
        <v>53</v>
      </c>
    </row>
    <row r="1395" spans="1:2" x14ac:dyDescent="0.25">
      <c r="A1395" s="1">
        <v>0.33460354166666667</v>
      </c>
      <c r="B1395" t="s">
        <v>53</v>
      </c>
    </row>
    <row r="1396" spans="1:2" x14ac:dyDescent="0.25">
      <c r="A1396" s="1">
        <v>0.33460339120370369</v>
      </c>
      <c r="B1396" t="s">
        <v>53</v>
      </c>
    </row>
    <row r="1397" spans="1:2" x14ac:dyDescent="0.25">
      <c r="A1397" s="1">
        <v>0.33460034722222226</v>
      </c>
      <c r="B1397" t="s">
        <v>51</v>
      </c>
    </row>
    <row r="1398" spans="1:2" x14ac:dyDescent="0.25">
      <c r="A1398" s="1">
        <v>0.3345993518518518</v>
      </c>
      <c r="B1398" t="s">
        <v>51</v>
      </c>
    </row>
    <row r="1399" spans="1:2" x14ac:dyDescent="0.25">
      <c r="A1399" s="1">
        <v>0.33459871527777779</v>
      </c>
      <c r="B1399" t="s">
        <v>52</v>
      </c>
    </row>
    <row r="1400" spans="1:2" x14ac:dyDescent="0.25">
      <c r="A1400" s="1">
        <v>0.33459554398148145</v>
      </c>
      <c r="B1400" t="s">
        <v>52</v>
      </c>
    </row>
    <row r="1401" spans="1:2" x14ac:dyDescent="0.25">
      <c r="A1401" s="1">
        <v>0.33459553240740741</v>
      </c>
      <c r="B1401" t="s">
        <v>51</v>
      </c>
    </row>
    <row r="1402" spans="1:2" x14ac:dyDescent="0.25">
      <c r="A1402" s="1">
        <v>0.33459491898148147</v>
      </c>
      <c r="B1402" t="s">
        <v>53</v>
      </c>
    </row>
    <row r="1403" spans="1:2" x14ac:dyDescent="0.25">
      <c r="A1403" s="1">
        <v>0.33459483796296291</v>
      </c>
      <c r="B1403" t="s">
        <v>51</v>
      </c>
    </row>
    <row r="1404" spans="1:2" x14ac:dyDescent="0.25">
      <c r="A1404" s="1">
        <v>0.3345937268518519</v>
      </c>
      <c r="B1404" t="s">
        <v>51</v>
      </c>
    </row>
    <row r="1405" spans="1:2" x14ac:dyDescent="0.25">
      <c r="A1405" s="1">
        <v>0.33459346064814816</v>
      </c>
      <c r="B1405" t="s">
        <v>52</v>
      </c>
    </row>
    <row r="1406" spans="1:2" x14ac:dyDescent="0.25">
      <c r="A1406" s="1">
        <v>0.33459028935185181</v>
      </c>
      <c r="B1406" t="s">
        <v>52</v>
      </c>
    </row>
    <row r="1407" spans="1:2" x14ac:dyDescent="0.25">
      <c r="A1407" s="1">
        <v>0.33458956018518515</v>
      </c>
      <c r="B1407" t="s">
        <v>52</v>
      </c>
    </row>
    <row r="1408" spans="1:2" x14ac:dyDescent="0.25">
      <c r="A1408" s="1">
        <v>0.33458781249999997</v>
      </c>
      <c r="B1408" t="s">
        <v>52</v>
      </c>
    </row>
    <row r="1409" spans="1:2" x14ac:dyDescent="0.25">
      <c r="A1409" s="1">
        <v>0.33458721064814817</v>
      </c>
      <c r="B1409" t="s">
        <v>53</v>
      </c>
    </row>
    <row r="1410" spans="1:2" x14ac:dyDescent="0.25">
      <c r="A1410" s="1">
        <v>0.33458643518518522</v>
      </c>
      <c r="B1410" t="s">
        <v>52</v>
      </c>
    </row>
    <row r="1411" spans="1:2" x14ac:dyDescent="0.25">
      <c r="A1411" s="1">
        <v>0.33458563657407409</v>
      </c>
      <c r="B1411" t="s">
        <v>52</v>
      </c>
    </row>
    <row r="1412" spans="1:2" x14ac:dyDescent="0.25">
      <c r="A1412" s="1">
        <v>0.33458506944444449</v>
      </c>
      <c r="B1412" t="s">
        <v>53</v>
      </c>
    </row>
    <row r="1413" spans="1:2" x14ac:dyDescent="0.25">
      <c r="A1413" s="1">
        <v>0.33458413194444447</v>
      </c>
      <c r="B1413" t="s">
        <v>53</v>
      </c>
    </row>
    <row r="1414" spans="1:2" x14ac:dyDescent="0.25">
      <c r="A1414" s="1">
        <v>0.33458371527777775</v>
      </c>
      <c r="B1414" t="s">
        <v>52</v>
      </c>
    </row>
    <row r="1415" spans="1:2" x14ac:dyDescent="0.25">
      <c r="A1415" s="1">
        <v>0.33458300925925927</v>
      </c>
      <c r="B1415" t="s">
        <v>52</v>
      </c>
    </row>
    <row r="1416" spans="1:2" x14ac:dyDescent="0.25">
      <c r="A1416" s="1">
        <v>0.33458003472222225</v>
      </c>
      <c r="B1416" t="s">
        <v>53</v>
      </c>
    </row>
    <row r="1417" spans="1:2" x14ac:dyDescent="0.25">
      <c r="A1417" s="1">
        <v>0.33457790509259261</v>
      </c>
      <c r="B1417" t="s">
        <v>51</v>
      </c>
    </row>
    <row r="1418" spans="1:2" x14ac:dyDescent="0.25">
      <c r="A1418" s="1">
        <v>0.33457626157407411</v>
      </c>
      <c r="B1418" t="s">
        <v>51</v>
      </c>
    </row>
    <row r="1419" spans="1:2" x14ac:dyDescent="0.25">
      <c r="A1419" s="1">
        <v>0.33457292824074075</v>
      </c>
      <c r="B1419" t="s">
        <v>51</v>
      </c>
    </row>
    <row r="1420" spans="1:2" x14ac:dyDescent="0.25">
      <c r="A1420" s="1">
        <v>0.33456932870370371</v>
      </c>
      <c r="B1420" t="s">
        <v>53</v>
      </c>
    </row>
    <row r="1421" spans="1:2" x14ac:dyDescent="0.25">
      <c r="A1421" s="1">
        <v>0.33456640046296293</v>
      </c>
      <c r="B1421" t="s">
        <v>53</v>
      </c>
    </row>
    <row r="1422" spans="1:2" x14ac:dyDescent="0.25">
      <c r="A1422" s="1">
        <v>0.33456530092592596</v>
      </c>
      <c r="B1422" t="s">
        <v>52</v>
      </c>
    </row>
    <row r="1423" spans="1:2" x14ac:dyDescent="0.25">
      <c r="A1423" s="1">
        <v>0.33456430555555555</v>
      </c>
      <c r="B1423" t="s">
        <v>51</v>
      </c>
    </row>
    <row r="1424" spans="1:2" x14ac:dyDescent="0.25">
      <c r="A1424" s="1">
        <v>0.33456362268518519</v>
      </c>
      <c r="B1424" t="s">
        <v>53</v>
      </c>
    </row>
    <row r="1425" spans="1:2" x14ac:dyDescent="0.25">
      <c r="A1425" s="1">
        <v>0.33456297453703704</v>
      </c>
      <c r="B1425" t="s">
        <v>52</v>
      </c>
    </row>
    <row r="1426" spans="1:2" x14ac:dyDescent="0.25">
      <c r="A1426" s="1">
        <v>0.33456268518518523</v>
      </c>
      <c r="B1426" t="s">
        <v>51</v>
      </c>
    </row>
    <row r="1427" spans="1:2" x14ac:dyDescent="0.25">
      <c r="A1427" s="1">
        <v>0.33456104166666667</v>
      </c>
      <c r="B1427" t="s">
        <v>52</v>
      </c>
    </row>
    <row r="1428" spans="1:2" x14ac:dyDescent="0.25">
      <c r="A1428" s="1">
        <v>0.33456100694444446</v>
      </c>
      <c r="B1428" t="s">
        <v>53</v>
      </c>
    </row>
    <row r="1429" spans="1:2" x14ac:dyDescent="0.25">
      <c r="A1429" s="1">
        <v>0.33455987268518522</v>
      </c>
      <c r="B1429" t="s">
        <v>53</v>
      </c>
    </row>
    <row r="1430" spans="1:2" x14ac:dyDescent="0.25">
      <c r="A1430" s="1">
        <v>0.33455892361111111</v>
      </c>
      <c r="B1430" t="s">
        <v>51</v>
      </c>
    </row>
    <row r="1431" spans="1:2" x14ac:dyDescent="0.25">
      <c r="A1431" s="1">
        <v>0.33455873842592593</v>
      </c>
      <c r="B1431" t="s">
        <v>53</v>
      </c>
    </row>
    <row r="1432" spans="1:2" x14ac:dyDescent="0.25">
      <c r="A1432" s="1">
        <v>0.33455750000000001</v>
      </c>
      <c r="B1432" t="s">
        <v>52</v>
      </c>
    </row>
    <row r="1433" spans="1:2" x14ac:dyDescent="0.25">
      <c r="A1433" s="1">
        <v>0.33455619212962961</v>
      </c>
      <c r="B1433" t="s">
        <v>52</v>
      </c>
    </row>
    <row r="1434" spans="1:2" x14ac:dyDescent="0.25">
      <c r="A1434" s="1">
        <v>0.33455565972222218</v>
      </c>
      <c r="B1434" t="s">
        <v>53</v>
      </c>
    </row>
    <row r="1435" spans="1:2" x14ac:dyDescent="0.25">
      <c r="A1435" s="1">
        <v>0.33455563657407406</v>
      </c>
      <c r="B1435" t="s">
        <v>53</v>
      </c>
    </row>
    <row r="1436" spans="1:2" x14ac:dyDescent="0.25">
      <c r="A1436" s="1">
        <v>0.33455440972222222</v>
      </c>
      <c r="B1436" t="s">
        <v>51</v>
      </c>
    </row>
    <row r="1437" spans="1:2" x14ac:dyDescent="0.25">
      <c r="A1437" s="1">
        <v>0.33455424768518521</v>
      </c>
      <c r="B1437" t="s">
        <v>51</v>
      </c>
    </row>
    <row r="1438" spans="1:2" x14ac:dyDescent="0.25">
      <c r="A1438" s="1">
        <v>0.33455321759259254</v>
      </c>
      <c r="B1438" t="s">
        <v>53</v>
      </c>
    </row>
    <row r="1439" spans="1:2" x14ac:dyDescent="0.25">
      <c r="A1439" s="1">
        <v>0.33455216435185187</v>
      </c>
      <c r="B1439" t="s">
        <v>51</v>
      </c>
    </row>
    <row r="1440" spans="1:2" x14ac:dyDescent="0.25">
      <c r="A1440" s="1">
        <v>0.33455093749999998</v>
      </c>
      <c r="B1440" t="s">
        <v>52</v>
      </c>
    </row>
    <row r="1441" spans="1:2" x14ac:dyDescent="0.25">
      <c r="A1441" s="1">
        <v>0.33455059027777773</v>
      </c>
      <c r="B1441" t="s">
        <v>52</v>
      </c>
    </row>
    <row r="1442" spans="1:2" x14ac:dyDescent="0.25">
      <c r="A1442" s="1">
        <v>0.33455041666666668</v>
      </c>
      <c r="B1442" t="s">
        <v>51</v>
      </c>
    </row>
    <row r="1443" spans="1:2" x14ac:dyDescent="0.25">
      <c r="A1443" s="1">
        <v>0.33454912037037038</v>
      </c>
      <c r="B1443" t="s">
        <v>51</v>
      </c>
    </row>
    <row r="1444" spans="1:2" x14ac:dyDescent="0.25">
      <c r="A1444" s="1">
        <v>0.33454778935185187</v>
      </c>
      <c r="B1444" t="s">
        <v>51</v>
      </c>
    </row>
    <row r="1445" spans="1:2" x14ac:dyDescent="0.25">
      <c r="A1445" s="1">
        <v>0.33454776620370369</v>
      </c>
      <c r="B1445" t="s">
        <v>52</v>
      </c>
    </row>
    <row r="1446" spans="1:2" x14ac:dyDescent="0.25">
      <c r="A1446" s="1">
        <v>0.33454762731481485</v>
      </c>
      <c r="B1446" t="s">
        <v>52</v>
      </c>
    </row>
    <row r="1447" spans="1:2" x14ac:dyDescent="0.25">
      <c r="A1447" s="1">
        <v>0.33454696759259256</v>
      </c>
      <c r="B1447" t="s">
        <v>51</v>
      </c>
    </row>
    <row r="1448" spans="1:2" x14ac:dyDescent="0.25">
      <c r="A1448" s="1">
        <v>0.33454520833333334</v>
      </c>
      <c r="B1448" t="s">
        <v>53</v>
      </c>
    </row>
    <row r="1449" spans="1:2" x14ac:dyDescent="0.25">
      <c r="A1449" s="1">
        <v>0.33454500000000004</v>
      </c>
      <c r="B1449" t="s">
        <v>53</v>
      </c>
    </row>
    <row r="1450" spans="1:2" x14ac:dyDescent="0.25">
      <c r="A1450" s="1">
        <v>0.33454440972222227</v>
      </c>
      <c r="B1450" t="s">
        <v>52</v>
      </c>
    </row>
    <row r="1451" spans="1:2" x14ac:dyDescent="0.25">
      <c r="A1451" s="1">
        <v>0.33454319444444441</v>
      </c>
      <c r="B1451" t="s">
        <v>53</v>
      </c>
    </row>
    <row r="1452" spans="1:2" x14ac:dyDescent="0.25">
      <c r="A1452" s="1">
        <v>0.33454115740740736</v>
      </c>
      <c r="B1452" t="s">
        <v>52</v>
      </c>
    </row>
    <row r="1453" spans="1:2" x14ac:dyDescent="0.25">
      <c r="A1453" s="1">
        <v>0.33453723379629635</v>
      </c>
      <c r="B1453" t="s">
        <v>52</v>
      </c>
    </row>
    <row r="1454" spans="1:2" x14ac:dyDescent="0.25">
      <c r="A1454" s="1">
        <v>0.33453694444444443</v>
      </c>
      <c r="B1454" t="s">
        <v>53</v>
      </c>
    </row>
    <row r="1455" spans="1:2" x14ac:dyDescent="0.25">
      <c r="A1455" s="1">
        <v>0.33453583333333331</v>
      </c>
      <c r="B1455" t="s">
        <v>53</v>
      </c>
    </row>
    <row r="1456" spans="1:2" x14ac:dyDescent="0.25">
      <c r="A1456" s="1">
        <v>0.33453357638888886</v>
      </c>
      <c r="B1456" t="s">
        <v>51</v>
      </c>
    </row>
    <row r="1457" spans="1:2" x14ac:dyDescent="0.25">
      <c r="A1457" s="1">
        <v>0.3345327662037037</v>
      </c>
      <c r="B1457" t="s">
        <v>53</v>
      </c>
    </row>
    <row r="1458" spans="1:2" x14ac:dyDescent="0.25">
      <c r="A1458" s="1">
        <v>0.33453275462962967</v>
      </c>
      <c r="B1458" t="s">
        <v>52</v>
      </c>
    </row>
    <row r="1459" spans="1:2" x14ac:dyDescent="0.25">
      <c r="A1459" s="1">
        <v>0.33453122685185188</v>
      </c>
      <c r="B1459" t="s">
        <v>52</v>
      </c>
    </row>
    <row r="1460" spans="1:2" x14ac:dyDescent="0.25">
      <c r="A1460" s="1">
        <v>0.33452969907407404</v>
      </c>
      <c r="B1460" t="s">
        <v>51</v>
      </c>
    </row>
    <row r="1461" spans="1:2" x14ac:dyDescent="0.25">
      <c r="A1461" s="1">
        <v>0.33452966435185183</v>
      </c>
      <c r="B1461" t="s">
        <v>53</v>
      </c>
    </row>
    <row r="1462" spans="1:2" x14ac:dyDescent="0.25">
      <c r="A1462" s="1">
        <v>0.33452881944444446</v>
      </c>
      <c r="B1462" t="s">
        <v>51</v>
      </c>
    </row>
    <row r="1463" spans="1:2" x14ac:dyDescent="0.25">
      <c r="A1463" s="1">
        <v>0.33452881944444446</v>
      </c>
      <c r="B1463" t="s">
        <v>52</v>
      </c>
    </row>
    <row r="1464" spans="1:2" x14ac:dyDescent="0.25">
      <c r="A1464" s="1">
        <v>0.33452690972222227</v>
      </c>
      <c r="B1464" t="s">
        <v>53</v>
      </c>
    </row>
    <row r="1465" spans="1:2" x14ac:dyDescent="0.25">
      <c r="A1465" s="1">
        <v>0.33452615740740743</v>
      </c>
      <c r="B1465" t="s">
        <v>51</v>
      </c>
    </row>
    <row r="1466" spans="1:2" x14ac:dyDescent="0.25">
      <c r="A1466" s="1">
        <v>0.33452577546296297</v>
      </c>
      <c r="B1466" t="s">
        <v>51</v>
      </c>
    </row>
    <row r="1467" spans="1:2" x14ac:dyDescent="0.25">
      <c r="A1467" s="1">
        <v>0.33452532407407404</v>
      </c>
      <c r="B1467" t="s">
        <v>52</v>
      </c>
    </row>
    <row r="1468" spans="1:2" x14ac:dyDescent="0.25">
      <c r="A1468" s="1">
        <v>0.33452347222222217</v>
      </c>
      <c r="B1468" t="s">
        <v>52</v>
      </c>
    </row>
    <row r="1469" spans="1:2" x14ac:dyDescent="0.25">
      <c r="A1469" s="1">
        <v>0.33452327546296295</v>
      </c>
      <c r="B1469" t="s">
        <v>51</v>
      </c>
    </row>
    <row r="1470" spans="1:2" x14ac:dyDescent="0.25">
      <c r="A1470" s="1">
        <v>0.33452270833333331</v>
      </c>
      <c r="B1470" t="s">
        <v>51</v>
      </c>
    </row>
    <row r="1471" spans="1:2" x14ac:dyDescent="0.25">
      <c r="A1471" s="1">
        <v>0.3345226736111111</v>
      </c>
      <c r="B1471" t="s">
        <v>52</v>
      </c>
    </row>
    <row r="1472" spans="1:2" x14ac:dyDescent="0.25">
      <c r="A1472" s="1">
        <v>0.3345215856481481</v>
      </c>
      <c r="B1472" t="s">
        <v>53</v>
      </c>
    </row>
    <row r="1473" spans="1:2" x14ac:dyDescent="0.25">
      <c r="A1473" s="1">
        <v>0.33452062499999996</v>
      </c>
      <c r="B1473" t="s">
        <v>51</v>
      </c>
    </row>
    <row r="1474" spans="1:2" x14ac:dyDescent="0.25">
      <c r="A1474" s="1">
        <v>0.33451976851851856</v>
      </c>
      <c r="B1474" t="s">
        <v>52</v>
      </c>
    </row>
    <row r="1475" spans="1:2" x14ac:dyDescent="0.25">
      <c r="A1475" s="1">
        <v>0.33451791666666669</v>
      </c>
      <c r="B1475" t="s">
        <v>52</v>
      </c>
    </row>
    <row r="1476" spans="1:2" x14ac:dyDescent="0.25">
      <c r="A1476" s="1">
        <v>0.33451700231481479</v>
      </c>
      <c r="B1476" t="s">
        <v>53</v>
      </c>
    </row>
    <row r="1477" spans="1:2" x14ac:dyDescent="0.25">
      <c r="A1477" s="1">
        <v>0.33451619212962963</v>
      </c>
      <c r="B1477" t="s">
        <v>51</v>
      </c>
    </row>
    <row r="1478" spans="1:2" x14ac:dyDescent="0.25">
      <c r="A1478" s="1">
        <v>0.3345157407407407</v>
      </c>
      <c r="B1478" t="s">
        <v>52</v>
      </c>
    </row>
    <row r="1479" spans="1:2" x14ac:dyDescent="0.25">
      <c r="A1479" s="1">
        <v>0.33451437499999997</v>
      </c>
      <c r="B1479" t="s">
        <v>53</v>
      </c>
    </row>
    <row r="1480" spans="1:2" x14ac:dyDescent="0.25">
      <c r="A1480" s="1">
        <v>0.33451359953703702</v>
      </c>
      <c r="B1480" t="s">
        <v>52</v>
      </c>
    </row>
    <row r="1481" spans="1:2" x14ac:dyDescent="0.25">
      <c r="A1481" s="1">
        <v>0.33451168981481483</v>
      </c>
      <c r="B1481" t="s">
        <v>51</v>
      </c>
    </row>
    <row r="1482" spans="1:2" x14ac:dyDescent="0.25">
      <c r="A1482" s="1">
        <v>0.33451094907407408</v>
      </c>
      <c r="B1482" t="s">
        <v>51</v>
      </c>
    </row>
    <row r="1483" spans="1:2" x14ac:dyDescent="0.25">
      <c r="A1483" s="1">
        <v>0.33451077546296298</v>
      </c>
      <c r="B1483" t="s">
        <v>53</v>
      </c>
    </row>
    <row r="1484" spans="1:2" x14ac:dyDescent="0.25">
      <c r="A1484" s="1">
        <v>0.33450833333333335</v>
      </c>
      <c r="B1484" t="s">
        <v>52</v>
      </c>
    </row>
    <row r="1485" spans="1:2" x14ac:dyDescent="0.25">
      <c r="A1485" s="1">
        <v>0.33450649305555552</v>
      </c>
      <c r="B1485" t="s">
        <v>53</v>
      </c>
    </row>
    <row r="1486" spans="1:2" x14ac:dyDescent="0.25">
      <c r="A1486" s="1">
        <v>0.33450644675925928</v>
      </c>
      <c r="B1486" t="s">
        <v>53</v>
      </c>
    </row>
    <row r="1487" spans="1:2" x14ac:dyDescent="0.25">
      <c r="A1487" s="1">
        <v>0.33450417824074075</v>
      </c>
      <c r="B1487" t="s">
        <v>52</v>
      </c>
    </row>
    <row r="1488" spans="1:2" x14ac:dyDescent="0.25">
      <c r="A1488" s="1">
        <v>0.33450353009259254</v>
      </c>
      <c r="B1488" t="s">
        <v>53</v>
      </c>
    </row>
    <row r="1489" spans="1:2" x14ac:dyDescent="0.25">
      <c r="A1489" s="1">
        <v>0.33450287037037035</v>
      </c>
      <c r="B1489" t="s">
        <v>53</v>
      </c>
    </row>
    <row r="1490" spans="1:2" x14ac:dyDescent="0.25">
      <c r="A1490" s="1">
        <v>0.33450269675925925</v>
      </c>
      <c r="B1490" t="s">
        <v>51</v>
      </c>
    </row>
    <row r="1491" spans="1:2" x14ac:dyDescent="0.25">
      <c r="A1491" s="1">
        <v>0.33450230324074076</v>
      </c>
      <c r="B1491" t="s">
        <v>51</v>
      </c>
    </row>
    <row r="1492" spans="1:2" x14ac:dyDescent="0.25">
      <c r="A1492" s="1">
        <v>0.33450090277777783</v>
      </c>
      <c r="B1492" t="s">
        <v>53</v>
      </c>
    </row>
    <row r="1493" spans="1:2" x14ac:dyDescent="0.25">
      <c r="A1493" s="1">
        <v>0.33449873842592592</v>
      </c>
      <c r="B1493" t="s">
        <v>53</v>
      </c>
    </row>
    <row r="1494" spans="1:2" x14ac:dyDescent="0.25">
      <c r="A1494" s="1">
        <v>0.33449586805555559</v>
      </c>
      <c r="B1494" t="s">
        <v>51</v>
      </c>
    </row>
    <row r="1495" spans="1:2" x14ac:dyDescent="0.25">
      <c r="A1495" s="1">
        <v>0.33449496527777778</v>
      </c>
      <c r="B1495" t="s">
        <v>53</v>
      </c>
    </row>
    <row r="1496" spans="1:2" x14ac:dyDescent="0.25">
      <c r="A1496" s="1">
        <v>0.3344932986111111</v>
      </c>
      <c r="B1496" t="s">
        <v>52</v>
      </c>
    </row>
    <row r="1497" spans="1:2" x14ac:dyDescent="0.25">
      <c r="A1497" s="1">
        <v>0.33449184027777773</v>
      </c>
      <c r="B1497" t="s">
        <v>51</v>
      </c>
    </row>
    <row r="1498" spans="1:2" x14ac:dyDescent="0.25">
      <c r="A1498" s="1">
        <v>0.33449167824074078</v>
      </c>
      <c r="B1498" t="s">
        <v>53</v>
      </c>
    </row>
    <row r="1499" spans="1:2" x14ac:dyDescent="0.25">
      <c r="A1499" s="1">
        <v>0.33448954861111108</v>
      </c>
      <c r="B1499" t="s">
        <v>53</v>
      </c>
    </row>
    <row r="1500" spans="1:2" x14ac:dyDescent="0.25">
      <c r="A1500" s="1">
        <v>0.33448920138888888</v>
      </c>
      <c r="B1500" t="s">
        <v>51</v>
      </c>
    </row>
    <row r="1501" spans="1:2" x14ac:dyDescent="0.25">
      <c r="A1501" s="1">
        <v>0.33448906250000005</v>
      </c>
      <c r="B1501" t="s">
        <v>51</v>
      </c>
    </row>
    <row r="1502" spans="1:2" x14ac:dyDescent="0.25">
      <c r="A1502" s="1">
        <v>0.33448863425925923</v>
      </c>
      <c r="B1502" t="s">
        <v>52</v>
      </c>
    </row>
    <row r="1503" spans="1:2" x14ac:dyDescent="0.25">
      <c r="A1503" s="1">
        <v>0.33448862268518514</v>
      </c>
      <c r="B1503" t="s">
        <v>51</v>
      </c>
    </row>
    <row r="1504" spans="1:2" x14ac:dyDescent="0.25">
      <c r="A1504" s="1">
        <v>0.33448811342592594</v>
      </c>
      <c r="B1504" t="s">
        <v>52</v>
      </c>
    </row>
    <row r="1505" spans="1:2" x14ac:dyDescent="0.25">
      <c r="A1505" s="1">
        <v>0.3344825115740741</v>
      </c>
      <c r="B1505" t="s">
        <v>51</v>
      </c>
    </row>
    <row r="1506" spans="1:2" x14ac:dyDescent="0.25">
      <c r="A1506" s="1">
        <v>0.33448211805555556</v>
      </c>
      <c r="B1506" t="s">
        <v>52</v>
      </c>
    </row>
    <row r="1507" spans="1:2" x14ac:dyDescent="0.25">
      <c r="A1507" s="1">
        <v>0.33448141203703702</v>
      </c>
      <c r="B1507" t="s">
        <v>53</v>
      </c>
    </row>
    <row r="1508" spans="1:2" x14ac:dyDescent="0.25">
      <c r="A1508" s="1">
        <v>0.3344801273148148</v>
      </c>
      <c r="B1508" t="s">
        <v>52</v>
      </c>
    </row>
    <row r="1509" spans="1:2" x14ac:dyDescent="0.25">
      <c r="A1509" s="1">
        <v>0.33447711805555552</v>
      </c>
      <c r="B1509" t="s">
        <v>53</v>
      </c>
    </row>
    <row r="1510" spans="1:2" x14ac:dyDescent="0.25">
      <c r="A1510" s="1">
        <v>0.33447517361111112</v>
      </c>
      <c r="B1510" t="s">
        <v>53</v>
      </c>
    </row>
    <row r="1511" spans="1:2" x14ac:dyDescent="0.25">
      <c r="A1511" s="1">
        <v>0.3344739814814815</v>
      </c>
      <c r="B1511" t="s">
        <v>52</v>
      </c>
    </row>
    <row r="1512" spans="1:2" x14ac:dyDescent="0.25">
      <c r="A1512" s="1">
        <v>0.33447353009259256</v>
      </c>
      <c r="B1512" t="s">
        <v>52</v>
      </c>
    </row>
    <row r="1513" spans="1:2" x14ac:dyDescent="0.25">
      <c r="A1513" s="1">
        <v>0.33447049768518516</v>
      </c>
      <c r="B1513" t="s">
        <v>51</v>
      </c>
    </row>
    <row r="1514" spans="1:2" x14ac:dyDescent="0.25">
      <c r="A1514" s="1">
        <v>0.33446474537037035</v>
      </c>
      <c r="B1514" t="s">
        <v>53</v>
      </c>
    </row>
    <row r="1515" spans="1:2" x14ac:dyDescent="0.25">
      <c r="A1515" s="1">
        <v>0.33446263888888889</v>
      </c>
      <c r="B1515" t="s">
        <v>53</v>
      </c>
    </row>
    <row r="1516" spans="1:2" x14ac:dyDescent="0.25">
      <c r="A1516" s="1">
        <v>0.33446085648148149</v>
      </c>
      <c r="B1516" t="s">
        <v>52</v>
      </c>
    </row>
    <row r="1517" spans="1:2" x14ac:dyDescent="0.25">
      <c r="A1517" s="1">
        <v>0.33445755787037035</v>
      </c>
      <c r="B1517" t="s">
        <v>52</v>
      </c>
    </row>
    <row r="1518" spans="1:2" x14ac:dyDescent="0.25">
      <c r="A1518" s="1">
        <v>0.33445576388888892</v>
      </c>
      <c r="B1518" t="s">
        <v>51</v>
      </c>
    </row>
    <row r="1519" spans="1:2" x14ac:dyDescent="0.25">
      <c r="A1519" s="1">
        <v>0.33445562499999998</v>
      </c>
      <c r="B1519" t="s">
        <v>52</v>
      </c>
    </row>
    <row r="1520" spans="1:2" x14ac:dyDescent="0.25">
      <c r="A1520" s="1">
        <v>0.33445337962962962</v>
      </c>
      <c r="B1520" t="s">
        <v>51</v>
      </c>
    </row>
    <row r="1521" spans="1:2" x14ac:dyDescent="0.25">
      <c r="A1521" s="1">
        <v>0.33445012731481483</v>
      </c>
      <c r="B1521" t="s">
        <v>51</v>
      </c>
    </row>
    <row r="1522" spans="1:2" x14ac:dyDescent="0.25">
      <c r="A1522" s="1">
        <v>0.33444884259259261</v>
      </c>
      <c r="B1522" t="s">
        <v>52</v>
      </c>
    </row>
    <row r="1523" spans="1:2" x14ac:dyDescent="0.25">
      <c r="A1523" s="1">
        <v>0.33444863425925925</v>
      </c>
      <c r="B1523" t="s">
        <v>51</v>
      </c>
    </row>
    <row r="1524" spans="1:2" x14ac:dyDescent="0.25">
      <c r="A1524" s="1">
        <v>0.33444715277777776</v>
      </c>
      <c r="B1524" t="s">
        <v>52</v>
      </c>
    </row>
    <row r="1525" spans="1:2" x14ac:dyDescent="0.25">
      <c r="A1525" s="1">
        <v>0.33444681712962959</v>
      </c>
      <c r="B1525" t="s">
        <v>51</v>
      </c>
    </row>
    <row r="1526" spans="1:2" x14ac:dyDescent="0.25">
      <c r="A1526" s="1">
        <v>0.33444450231481482</v>
      </c>
      <c r="B1526" t="s">
        <v>52</v>
      </c>
    </row>
    <row r="1527" spans="1:2" x14ac:dyDescent="0.25">
      <c r="A1527" s="1">
        <v>0.33444396990740738</v>
      </c>
      <c r="B1527" t="s">
        <v>51</v>
      </c>
    </row>
    <row r="1528" spans="1:2" x14ac:dyDescent="0.25">
      <c r="A1528" s="1">
        <v>0.33444380787037037</v>
      </c>
      <c r="B1528" t="s">
        <v>52</v>
      </c>
    </row>
    <row r="1529" spans="1:2" x14ac:dyDescent="0.25">
      <c r="A1529" s="1">
        <v>0.33444260416666666</v>
      </c>
      <c r="B1529" t="s">
        <v>53</v>
      </c>
    </row>
    <row r="1530" spans="1:2" x14ac:dyDescent="0.25">
      <c r="A1530" s="1">
        <v>0.33444216435185187</v>
      </c>
      <c r="B1530" t="s">
        <v>53</v>
      </c>
    </row>
    <row r="1531" spans="1:2" x14ac:dyDescent="0.25">
      <c r="A1531" s="1">
        <v>0.33443899305555558</v>
      </c>
      <c r="B1531" t="s">
        <v>53</v>
      </c>
    </row>
    <row r="1532" spans="1:2" x14ac:dyDescent="0.25">
      <c r="A1532" s="1">
        <v>0.33443766203703706</v>
      </c>
      <c r="B1532" t="s">
        <v>53</v>
      </c>
    </row>
    <row r="1533" spans="1:2" x14ac:dyDescent="0.25">
      <c r="A1533" s="1">
        <v>0.33443643518518518</v>
      </c>
      <c r="B1533" t="s">
        <v>52</v>
      </c>
    </row>
    <row r="1534" spans="1:2" x14ac:dyDescent="0.25">
      <c r="A1534" s="1">
        <v>0.33442521990740742</v>
      </c>
      <c r="B1534" t="s">
        <v>51</v>
      </c>
    </row>
    <row r="1535" spans="1:2" x14ac:dyDescent="0.25">
      <c r="A1535" s="1">
        <v>0.33442513888888886</v>
      </c>
      <c r="B1535" t="s">
        <v>52</v>
      </c>
    </row>
    <row r="1536" spans="1:2" x14ac:dyDescent="0.25">
      <c r="A1536" s="1">
        <v>0.33442488425925926</v>
      </c>
      <c r="B1536" t="s">
        <v>51</v>
      </c>
    </row>
    <row r="1537" spans="1:2" x14ac:dyDescent="0.25">
      <c r="A1537" s="1">
        <v>0.3344243287037037</v>
      </c>
      <c r="B1537" t="s">
        <v>53</v>
      </c>
    </row>
    <row r="1538" spans="1:2" x14ac:dyDescent="0.25">
      <c r="A1538" s="1">
        <v>0.33442396990740741</v>
      </c>
      <c r="B1538" t="s">
        <v>51</v>
      </c>
    </row>
    <row r="1539" spans="1:2" x14ac:dyDescent="0.25">
      <c r="A1539" s="1">
        <v>0.33442229166666665</v>
      </c>
      <c r="B1539" t="s">
        <v>51</v>
      </c>
    </row>
    <row r="1540" spans="1:2" x14ac:dyDescent="0.25">
      <c r="A1540" s="1">
        <v>0.33442206018518522</v>
      </c>
      <c r="B1540" t="s">
        <v>53</v>
      </c>
    </row>
    <row r="1541" spans="1:2" x14ac:dyDescent="0.25">
      <c r="A1541" s="1">
        <v>0.33442160879629629</v>
      </c>
      <c r="B1541" t="s">
        <v>51</v>
      </c>
    </row>
    <row r="1542" spans="1:2" x14ac:dyDescent="0.25">
      <c r="A1542" s="1">
        <v>0.3344213425925926</v>
      </c>
      <c r="B1542" t="s">
        <v>53</v>
      </c>
    </row>
    <row r="1543" spans="1:2" x14ac:dyDescent="0.25">
      <c r="A1543" s="1">
        <v>0.33441915509259257</v>
      </c>
      <c r="B1543" t="s">
        <v>52</v>
      </c>
    </row>
    <row r="1544" spans="1:2" x14ac:dyDescent="0.25">
      <c r="A1544" s="1">
        <v>0.33441560185185182</v>
      </c>
      <c r="B1544" t="s">
        <v>53</v>
      </c>
    </row>
    <row r="1545" spans="1:2" x14ac:dyDescent="0.25">
      <c r="A1545" s="1">
        <v>0.33441468750000003</v>
      </c>
      <c r="B1545" t="s">
        <v>52</v>
      </c>
    </row>
    <row r="1546" spans="1:2" x14ac:dyDescent="0.25">
      <c r="A1546" s="1">
        <v>0.3344140625</v>
      </c>
      <c r="B1546" t="s">
        <v>51</v>
      </c>
    </row>
    <row r="1547" spans="1:2" x14ac:dyDescent="0.25">
      <c r="A1547" s="1">
        <v>0.33441274305555552</v>
      </c>
      <c r="B1547" t="s">
        <v>51</v>
      </c>
    </row>
    <row r="1548" spans="1:2" x14ac:dyDescent="0.25">
      <c r="A1548" s="1">
        <v>0.33441219907407405</v>
      </c>
      <c r="B1548" t="s">
        <v>52</v>
      </c>
    </row>
    <row r="1549" spans="1:2" x14ac:dyDescent="0.25">
      <c r="A1549" s="1">
        <v>0.33441210648148151</v>
      </c>
      <c r="B1549" t="s">
        <v>53</v>
      </c>
    </row>
    <row r="1550" spans="1:2" x14ac:dyDescent="0.25">
      <c r="A1550" s="1">
        <v>0.33441074074074079</v>
      </c>
      <c r="B1550" t="s">
        <v>52</v>
      </c>
    </row>
    <row r="1551" spans="1:2" x14ac:dyDescent="0.25">
      <c r="A1551" s="1">
        <v>0.33440997685185186</v>
      </c>
      <c r="B1551" t="s">
        <v>53</v>
      </c>
    </row>
    <row r="1552" spans="1:2" x14ac:dyDescent="0.25">
      <c r="A1552" s="1">
        <v>0.33440973379629629</v>
      </c>
      <c r="B1552" t="s">
        <v>51</v>
      </c>
    </row>
    <row r="1553" spans="1:2" x14ac:dyDescent="0.25">
      <c r="A1553" s="1">
        <v>0.33440785879629625</v>
      </c>
      <c r="B1553" t="s">
        <v>52</v>
      </c>
    </row>
    <row r="1554" spans="1:2" x14ac:dyDescent="0.25">
      <c r="A1554" s="1">
        <v>0.33440703703703706</v>
      </c>
      <c r="B1554" t="s">
        <v>52</v>
      </c>
    </row>
    <row r="1555" spans="1:2" x14ac:dyDescent="0.25">
      <c r="A1555" s="1">
        <v>0.33440640046296299</v>
      </c>
      <c r="B1555" t="s">
        <v>53</v>
      </c>
    </row>
    <row r="1556" spans="1:2" x14ac:dyDescent="0.25">
      <c r="A1556" s="1">
        <v>0.33440346064814813</v>
      </c>
      <c r="B1556" t="s">
        <v>53</v>
      </c>
    </row>
    <row r="1557" spans="1:2" x14ac:dyDescent="0.25">
      <c r="A1557" s="1">
        <v>0.33440261574074071</v>
      </c>
      <c r="B1557" t="s">
        <v>51</v>
      </c>
    </row>
    <row r="1558" spans="1:2" x14ac:dyDescent="0.25">
      <c r="A1558" s="1">
        <v>0.33440185185185184</v>
      </c>
      <c r="B1558" t="s">
        <v>53</v>
      </c>
    </row>
    <row r="1559" spans="1:2" x14ac:dyDescent="0.25">
      <c r="A1559" s="1">
        <v>0.33439960648148143</v>
      </c>
      <c r="B1559" t="s">
        <v>51</v>
      </c>
    </row>
    <row r="1560" spans="1:2" x14ac:dyDescent="0.25">
      <c r="A1560" s="1">
        <v>0.33439851851851854</v>
      </c>
      <c r="B1560" t="s">
        <v>52</v>
      </c>
    </row>
    <row r="1561" spans="1:2" x14ac:dyDescent="0.25">
      <c r="A1561" s="1">
        <v>0.33439791666666668</v>
      </c>
      <c r="B1561" t="s">
        <v>52</v>
      </c>
    </row>
    <row r="1562" spans="1:2" x14ac:dyDescent="0.25">
      <c r="A1562" s="1">
        <v>0.33439679398148153</v>
      </c>
      <c r="B1562" t="s">
        <v>51</v>
      </c>
    </row>
    <row r="1563" spans="1:2" x14ac:dyDescent="0.25">
      <c r="A1563" s="1">
        <v>0.33439656249999999</v>
      </c>
      <c r="B1563" t="s">
        <v>51</v>
      </c>
    </row>
    <row r="1564" spans="1:2" x14ac:dyDescent="0.25">
      <c r="A1564" s="1">
        <v>0.33439591435185184</v>
      </c>
      <c r="B1564" t="s">
        <v>53</v>
      </c>
    </row>
    <row r="1565" spans="1:2" x14ac:dyDescent="0.25">
      <c r="A1565" s="1">
        <v>0.33439425925925925</v>
      </c>
      <c r="B1565" t="s">
        <v>51</v>
      </c>
    </row>
    <row r="1566" spans="1:2" x14ac:dyDescent="0.25">
      <c r="A1566" s="1">
        <v>0.33439406249999998</v>
      </c>
      <c r="B1566" t="s">
        <v>52</v>
      </c>
    </row>
    <row r="1567" spans="1:2" x14ac:dyDescent="0.25">
      <c r="A1567" s="1">
        <v>0.33439197916666669</v>
      </c>
      <c r="B1567" t="s">
        <v>53</v>
      </c>
    </row>
    <row r="1568" spans="1:2" x14ac:dyDescent="0.25">
      <c r="A1568" s="1">
        <v>0.33439137731481483</v>
      </c>
      <c r="B1568" t="s">
        <v>51</v>
      </c>
    </row>
    <row r="1569" spans="1:2" x14ac:dyDescent="0.25">
      <c r="A1569" s="1">
        <v>0.3343907523148148</v>
      </c>
      <c r="B1569" t="s">
        <v>52</v>
      </c>
    </row>
    <row r="1570" spans="1:2" x14ac:dyDescent="0.25">
      <c r="A1570" s="1">
        <v>0.33438953703703705</v>
      </c>
      <c r="B1570" t="s">
        <v>52</v>
      </c>
    </row>
    <row r="1571" spans="1:2" x14ac:dyDescent="0.25">
      <c r="A1571" s="1">
        <v>0.33438740740740741</v>
      </c>
      <c r="B1571" t="s">
        <v>53</v>
      </c>
    </row>
    <row r="1572" spans="1:2" x14ac:dyDescent="0.25">
      <c r="A1572" s="1">
        <v>0.33438641203703701</v>
      </c>
      <c r="B1572" t="s">
        <v>51</v>
      </c>
    </row>
    <row r="1573" spans="1:2" x14ac:dyDescent="0.25">
      <c r="A1573" s="1">
        <v>0.33438532407407412</v>
      </c>
      <c r="B1573" t="s">
        <v>52</v>
      </c>
    </row>
    <row r="1574" spans="1:2" x14ac:dyDescent="0.25">
      <c r="A1574" s="1">
        <v>0.33438221064814816</v>
      </c>
      <c r="B1574" t="s">
        <v>53</v>
      </c>
    </row>
    <row r="1575" spans="1:2" x14ac:dyDescent="0.25">
      <c r="A1575" s="1">
        <v>0.33437993055555554</v>
      </c>
      <c r="B1575" t="s">
        <v>53</v>
      </c>
    </row>
    <row r="1576" spans="1:2" x14ac:dyDescent="0.25">
      <c r="A1576" s="1">
        <v>0.33437902777777778</v>
      </c>
      <c r="B1576" t="s">
        <v>51</v>
      </c>
    </row>
    <row r="1577" spans="1:2" x14ac:dyDescent="0.25">
      <c r="A1577" s="1">
        <v>0.3343786226851852</v>
      </c>
      <c r="B1577" t="s">
        <v>52</v>
      </c>
    </row>
    <row r="1578" spans="1:2" x14ac:dyDescent="0.25">
      <c r="A1578" s="1">
        <v>0.33437840277777781</v>
      </c>
      <c r="B1578" t="s">
        <v>51</v>
      </c>
    </row>
    <row r="1579" spans="1:2" x14ac:dyDescent="0.25">
      <c r="A1579" s="1">
        <v>0.33437715277777774</v>
      </c>
      <c r="B1579" t="s">
        <v>53</v>
      </c>
    </row>
    <row r="1580" spans="1:2" x14ac:dyDescent="0.25">
      <c r="A1580" s="1">
        <v>0.33437664351851853</v>
      </c>
      <c r="B1580" t="s">
        <v>53</v>
      </c>
    </row>
    <row r="1581" spans="1:2" x14ac:dyDescent="0.25">
      <c r="A1581" s="1">
        <v>0.33437437499999995</v>
      </c>
      <c r="B1581" t="s">
        <v>52</v>
      </c>
    </row>
    <row r="1582" spans="1:2" x14ac:dyDescent="0.25">
      <c r="A1582" s="1">
        <v>0.33437181712962966</v>
      </c>
      <c r="B1582" t="s">
        <v>51</v>
      </c>
    </row>
    <row r="1583" spans="1:2" x14ac:dyDescent="0.25">
      <c r="A1583" s="1">
        <v>0.33437027777777778</v>
      </c>
      <c r="B1583" t="s">
        <v>51</v>
      </c>
    </row>
    <row r="1584" spans="1:2" x14ac:dyDescent="0.25">
      <c r="A1584" s="1">
        <v>0.33436962962962963</v>
      </c>
      <c r="B1584" t="s">
        <v>53</v>
      </c>
    </row>
    <row r="1585" spans="1:2" x14ac:dyDescent="0.25">
      <c r="A1585" s="1">
        <v>0.33436930555555561</v>
      </c>
      <c r="B1585" t="s">
        <v>53</v>
      </c>
    </row>
    <row r="1586" spans="1:2" x14ac:dyDescent="0.25">
      <c r="A1586" s="1">
        <v>0.33436892361111115</v>
      </c>
      <c r="B1586" t="s">
        <v>51</v>
      </c>
    </row>
    <row r="1587" spans="1:2" x14ac:dyDescent="0.25">
      <c r="A1587" s="1">
        <v>0.33436697916666663</v>
      </c>
      <c r="B1587" t="s">
        <v>51</v>
      </c>
    </row>
    <row r="1588" spans="1:2" x14ac:dyDescent="0.25">
      <c r="A1588" s="1">
        <v>0.33436400462962962</v>
      </c>
      <c r="B1588" t="s">
        <v>52</v>
      </c>
    </row>
    <row r="1589" spans="1:2" x14ac:dyDescent="0.25">
      <c r="A1589" s="1">
        <v>0.33436312500000004</v>
      </c>
      <c r="B1589" t="s">
        <v>53</v>
      </c>
    </row>
    <row r="1590" spans="1:2" x14ac:dyDescent="0.25">
      <c r="A1590" s="1">
        <v>0.33436134259259259</v>
      </c>
      <c r="B1590" t="s">
        <v>52</v>
      </c>
    </row>
    <row r="1591" spans="1:2" x14ac:dyDescent="0.25">
      <c r="A1591" s="1">
        <v>0.33436011574074076</v>
      </c>
      <c r="B1591" t="s">
        <v>51</v>
      </c>
    </row>
    <row r="1592" spans="1:2" x14ac:dyDescent="0.25">
      <c r="A1592" s="1">
        <v>0.33435907407407406</v>
      </c>
      <c r="B1592" t="s">
        <v>52</v>
      </c>
    </row>
    <row r="1593" spans="1:2" x14ac:dyDescent="0.25">
      <c r="A1593" s="1">
        <v>0.33435863425925927</v>
      </c>
      <c r="B1593" t="s">
        <v>52</v>
      </c>
    </row>
    <row r="1594" spans="1:2" x14ac:dyDescent="0.25">
      <c r="A1594" s="1">
        <v>0.33435784722222223</v>
      </c>
      <c r="B1594" t="s">
        <v>53</v>
      </c>
    </row>
    <row r="1595" spans="1:2" x14ac:dyDescent="0.25">
      <c r="A1595" s="1">
        <v>0.33435782407407411</v>
      </c>
      <c r="B1595" t="s">
        <v>51</v>
      </c>
    </row>
    <row r="1596" spans="1:2" x14ac:dyDescent="0.25">
      <c r="A1596" s="1">
        <v>0.33435740740740738</v>
      </c>
      <c r="B1596" t="s">
        <v>53</v>
      </c>
    </row>
    <row r="1597" spans="1:2" x14ac:dyDescent="0.25">
      <c r="A1597" s="1">
        <v>0.33435471064814815</v>
      </c>
      <c r="B1597" t="s">
        <v>53</v>
      </c>
    </row>
    <row r="1598" spans="1:2" x14ac:dyDescent="0.25">
      <c r="A1598" s="1">
        <v>0.33435277777777778</v>
      </c>
      <c r="B1598" t="s">
        <v>52</v>
      </c>
    </row>
    <row r="1599" spans="1:2" x14ac:dyDescent="0.25">
      <c r="A1599" s="1">
        <v>0.33434787037037039</v>
      </c>
      <c r="B1599" t="s">
        <v>51</v>
      </c>
    </row>
    <row r="1600" spans="1:2" x14ac:dyDescent="0.25">
      <c r="A1600" s="1">
        <v>0.33434537037037032</v>
      </c>
      <c r="B1600" t="s">
        <v>52</v>
      </c>
    </row>
    <row r="1601" spans="1:2" x14ac:dyDescent="0.25">
      <c r="A1601" s="1">
        <v>0.33434516203703701</v>
      </c>
      <c r="B1601" t="s">
        <v>52</v>
      </c>
    </row>
    <row r="1602" spans="1:2" x14ac:dyDescent="0.25">
      <c r="A1602" s="1">
        <v>0.33434429398148152</v>
      </c>
      <c r="B1602" t="s">
        <v>52</v>
      </c>
    </row>
    <row r="1603" spans="1:2" x14ac:dyDescent="0.25">
      <c r="A1603" s="1">
        <v>0.33434402777777777</v>
      </c>
      <c r="B1603" t="s">
        <v>51</v>
      </c>
    </row>
    <row r="1604" spans="1:2" x14ac:dyDescent="0.25">
      <c r="A1604" s="1">
        <v>0.33434359953703702</v>
      </c>
      <c r="B1604" t="s">
        <v>51</v>
      </c>
    </row>
    <row r="1605" spans="1:2" x14ac:dyDescent="0.25">
      <c r="A1605" s="1">
        <v>0.33434009259259256</v>
      </c>
      <c r="B1605" t="s">
        <v>53</v>
      </c>
    </row>
    <row r="1606" spans="1:2" x14ac:dyDescent="0.25">
      <c r="A1606" s="1">
        <v>0.33433942129629629</v>
      </c>
      <c r="B1606" t="s">
        <v>53</v>
      </c>
    </row>
    <row r="1607" spans="1:2" x14ac:dyDescent="0.25">
      <c r="A1607" s="1">
        <v>0.33433731481481482</v>
      </c>
      <c r="B1607" t="s">
        <v>52</v>
      </c>
    </row>
    <row r="1608" spans="1:2" x14ac:dyDescent="0.25">
      <c r="A1608" s="1">
        <v>0.3343362037037037</v>
      </c>
      <c r="B1608" t="s">
        <v>51</v>
      </c>
    </row>
    <row r="1609" spans="1:2" x14ac:dyDescent="0.25">
      <c r="A1609" s="1">
        <v>0.3343330092592593</v>
      </c>
      <c r="B1609" t="s">
        <v>53</v>
      </c>
    </row>
    <row r="1610" spans="1:2" x14ac:dyDescent="0.25">
      <c r="A1610" s="1">
        <v>0.33433252314814815</v>
      </c>
      <c r="B1610" t="s">
        <v>52</v>
      </c>
    </row>
    <row r="1611" spans="1:2" x14ac:dyDescent="0.25">
      <c r="A1611" s="1">
        <v>0.33433215277777778</v>
      </c>
      <c r="B1611" t="s">
        <v>51</v>
      </c>
    </row>
    <row r="1612" spans="1:2" x14ac:dyDescent="0.25">
      <c r="A1612" s="1">
        <v>0.33433042824074072</v>
      </c>
      <c r="B1612" t="s">
        <v>52</v>
      </c>
    </row>
    <row r="1613" spans="1:2" x14ac:dyDescent="0.25">
      <c r="A1613" s="1">
        <v>0.3343293171296296</v>
      </c>
      <c r="B1613" t="s">
        <v>53</v>
      </c>
    </row>
    <row r="1614" spans="1:2" x14ac:dyDescent="0.25">
      <c r="A1614" s="1">
        <v>0.33432785879629628</v>
      </c>
      <c r="B1614" t="s">
        <v>53</v>
      </c>
    </row>
    <row r="1615" spans="1:2" x14ac:dyDescent="0.25">
      <c r="A1615" s="1">
        <v>0.3343250231481481</v>
      </c>
      <c r="B1615" t="s">
        <v>53</v>
      </c>
    </row>
    <row r="1616" spans="1:2" x14ac:dyDescent="0.25">
      <c r="A1616" s="1">
        <v>0.33432388888888886</v>
      </c>
      <c r="B1616" t="s">
        <v>52</v>
      </c>
    </row>
    <row r="1617" spans="1:2" x14ac:dyDescent="0.25">
      <c r="A1617" s="1">
        <v>0.33432112268518521</v>
      </c>
      <c r="B1617" t="s">
        <v>52</v>
      </c>
    </row>
    <row r="1618" spans="1:2" x14ac:dyDescent="0.25">
      <c r="A1618" s="1">
        <v>0.33432109953703709</v>
      </c>
      <c r="B1618" t="s">
        <v>51</v>
      </c>
    </row>
    <row r="1619" spans="1:2" x14ac:dyDescent="0.25">
      <c r="A1619" s="1">
        <v>0.33431976851851847</v>
      </c>
      <c r="B1619" t="s">
        <v>51</v>
      </c>
    </row>
    <row r="1620" spans="1:2" x14ac:dyDescent="0.25">
      <c r="A1620" s="1">
        <v>0.33431891203703706</v>
      </c>
      <c r="B1620" t="s">
        <v>51</v>
      </c>
    </row>
    <row r="1621" spans="1:2" x14ac:dyDescent="0.25">
      <c r="A1621" s="1">
        <v>0.33431858796296293</v>
      </c>
      <c r="B1621" t="s">
        <v>51</v>
      </c>
    </row>
    <row r="1622" spans="1:2" x14ac:dyDescent="0.25">
      <c r="A1622" s="1">
        <v>0.33431677083333339</v>
      </c>
      <c r="B1622" t="s">
        <v>52</v>
      </c>
    </row>
    <row r="1623" spans="1:2" x14ac:dyDescent="0.25">
      <c r="A1623" s="1">
        <v>0.33431421296296299</v>
      </c>
      <c r="B1623" t="s">
        <v>51</v>
      </c>
    </row>
    <row r="1624" spans="1:2" x14ac:dyDescent="0.25">
      <c r="A1624" s="1">
        <v>0.33431307870370369</v>
      </c>
      <c r="B1624" t="s">
        <v>52</v>
      </c>
    </row>
    <row r="1625" spans="1:2" x14ac:dyDescent="0.25">
      <c r="A1625" s="1">
        <v>0.3343129861111111</v>
      </c>
      <c r="B1625" t="s">
        <v>52</v>
      </c>
    </row>
    <row r="1626" spans="1:2" x14ac:dyDescent="0.25">
      <c r="A1626" s="1">
        <v>0.33431120370370371</v>
      </c>
      <c r="B1626" t="s">
        <v>51</v>
      </c>
    </row>
    <row r="1627" spans="1:2" x14ac:dyDescent="0.25">
      <c r="A1627" s="1">
        <v>0.33430987268518519</v>
      </c>
      <c r="B1627" t="s">
        <v>51</v>
      </c>
    </row>
    <row r="1628" spans="1:2" x14ac:dyDescent="0.25">
      <c r="A1628" s="1">
        <v>0.33430910879629633</v>
      </c>
      <c r="B1628" t="s">
        <v>51</v>
      </c>
    </row>
    <row r="1629" spans="1:2" x14ac:dyDescent="0.25">
      <c r="A1629" s="1">
        <v>0.33430533564814818</v>
      </c>
      <c r="B1629" t="s">
        <v>51</v>
      </c>
    </row>
    <row r="1630" spans="1:2" x14ac:dyDescent="0.25">
      <c r="A1630" s="1">
        <v>0.33430468749999998</v>
      </c>
      <c r="B1630" t="s">
        <v>52</v>
      </c>
    </row>
    <row r="1631" spans="1:2" x14ac:dyDescent="0.25">
      <c r="A1631" s="1">
        <v>0.33430402777777779</v>
      </c>
      <c r="B1631" t="s">
        <v>53</v>
      </c>
    </row>
    <row r="1632" spans="1:2" x14ac:dyDescent="0.25">
      <c r="A1632" s="1">
        <v>0.33430057870370372</v>
      </c>
      <c r="B1632" t="s">
        <v>52</v>
      </c>
    </row>
    <row r="1633" spans="1:2" x14ac:dyDescent="0.25">
      <c r="A1633" s="1">
        <v>0.33430011574074076</v>
      </c>
      <c r="B1633" t="s">
        <v>52</v>
      </c>
    </row>
    <row r="1634" spans="1:2" x14ac:dyDescent="0.25">
      <c r="A1634" s="1">
        <v>0.33429833333333336</v>
      </c>
      <c r="B1634" t="s">
        <v>52</v>
      </c>
    </row>
    <row r="1635" spans="1:2" x14ac:dyDescent="0.25">
      <c r="A1635" s="1">
        <v>0.33429112268518518</v>
      </c>
      <c r="B1635" t="s">
        <v>53</v>
      </c>
    </row>
    <row r="1636" spans="1:2" x14ac:dyDescent="0.25">
      <c r="A1636" s="1">
        <v>0.33429042824074079</v>
      </c>
      <c r="B1636" t="s">
        <v>51</v>
      </c>
    </row>
    <row r="1637" spans="1:2" x14ac:dyDescent="0.25">
      <c r="A1637" s="1">
        <v>0.33428619212962962</v>
      </c>
      <c r="B1637" t="s">
        <v>51</v>
      </c>
    </row>
    <row r="1638" spans="1:2" x14ac:dyDescent="0.25">
      <c r="A1638" s="1">
        <v>0.33428590277777781</v>
      </c>
      <c r="B1638" t="s">
        <v>53</v>
      </c>
    </row>
    <row r="1639" spans="1:2" x14ac:dyDescent="0.25">
      <c r="A1639" s="1">
        <v>0.33428555555555556</v>
      </c>
      <c r="B1639" t="s">
        <v>51</v>
      </c>
    </row>
    <row r="1640" spans="1:2" x14ac:dyDescent="0.25">
      <c r="A1640" s="1">
        <v>0.33428359953703701</v>
      </c>
      <c r="B1640" t="s">
        <v>53</v>
      </c>
    </row>
    <row r="1641" spans="1:2" x14ac:dyDescent="0.25">
      <c r="A1641" s="1">
        <v>0.3342833564814815</v>
      </c>
      <c r="B1641" t="s">
        <v>52</v>
      </c>
    </row>
    <row r="1642" spans="1:2" x14ac:dyDescent="0.25">
      <c r="A1642" s="1">
        <v>0.33428197916666669</v>
      </c>
      <c r="B1642" t="s">
        <v>53</v>
      </c>
    </row>
    <row r="1643" spans="1:2" x14ac:dyDescent="0.25">
      <c r="A1643" s="1">
        <v>0.33427167824074072</v>
      </c>
      <c r="B1643" t="s">
        <v>52</v>
      </c>
    </row>
    <row r="1644" spans="1:2" x14ac:dyDescent="0.25">
      <c r="A1644" s="1">
        <v>0.33426914351851855</v>
      </c>
      <c r="B1644" t="s">
        <v>52</v>
      </c>
    </row>
    <row r="1645" spans="1:2" x14ac:dyDescent="0.25">
      <c r="A1645" s="1">
        <v>0.33426435185185183</v>
      </c>
      <c r="B1645" t="s">
        <v>52</v>
      </c>
    </row>
    <row r="1646" spans="1:2" x14ac:dyDescent="0.25">
      <c r="A1646" s="1">
        <v>0.33426267361111112</v>
      </c>
      <c r="B1646" t="s">
        <v>53</v>
      </c>
    </row>
    <row r="1647" spans="1:2" x14ac:dyDescent="0.25">
      <c r="A1647" s="1">
        <v>0.33426196759259258</v>
      </c>
      <c r="B1647" t="s">
        <v>52</v>
      </c>
    </row>
    <row r="1648" spans="1:2" x14ac:dyDescent="0.25">
      <c r="A1648" s="1">
        <v>0.33425966435185184</v>
      </c>
      <c r="B1648" t="s">
        <v>53</v>
      </c>
    </row>
    <row r="1649" spans="1:2" x14ac:dyDescent="0.25">
      <c r="A1649" s="1">
        <v>0.33425833333333332</v>
      </c>
      <c r="B1649" t="s">
        <v>53</v>
      </c>
    </row>
    <row r="1650" spans="1:2" x14ac:dyDescent="0.25">
      <c r="A1650" s="1">
        <v>0.33425517361111107</v>
      </c>
      <c r="B1650" t="s">
        <v>51</v>
      </c>
    </row>
    <row r="1651" spans="1:2" x14ac:dyDescent="0.25">
      <c r="A1651" s="1">
        <v>0.33424424768518518</v>
      </c>
      <c r="B1651" t="s">
        <v>52</v>
      </c>
    </row>
    <row r="1652" spans="1:2" x14ac:dyDescent="0.25">
      <c r="A1652" s="1">
        <v>0.33424327546296295</v>
      </c>
      <c r="B1652" t="s">
        <v>53</v>
      </c>
    </row>
    <row r="1653" spans="1:2" x14ac:dyDescent="0.25">
      <c r="A1653" s="1">
        <v>0.33424201388888886</v>
      </c>
      <c r="B1653" t="s">
        <v>52</v>
      </c>
    </row>
    <row r="1654" spans="1:2" x14ac:dyDescent="0.25">
      <c r="A1654" s="1">
        <v>0.33423846064814816</v>
      </c>
      <c r="B1654" t="s">
        <v>53</v>
      </c>
    </row>
    <row r="1655" spans="1:2" x14ac:dyDescent="0.25">
      <c r="A1655" s="1">
        <v>0.33423733796296301</v>
      </c>
      <c r="B1655" t="s">
        <v>52</v>
      </c>
    </row>
    <row r="1656" spans="1:2" x14ac:dyDescent="0.25">
      <c r="A1656" s="1">
        <v>0.33423555555555556</v>
      </c>
      <c r="B1656" t="s">
        <v>53</v>
      </c>
    </row>
    <row r="1657" spans="1:2" x14ac:dyDescent="0.25">
      <c r="A1657" s="1">
        <v>0.33423471064814819</v>
      </c>
      <c r="B1657" t="s">
        <v>53</v>
      </c>
    </row>
    <row r="1658" spans="1:2" x14ac:dyDescent="0.25">
      <c r="A1658" s="1">
        <v>0.3342318865740741</v>
      </c>
      <c r="B1658" t="s">
        <v>51</v>
      </c>
    </row>
    <row r="1659" spans="1:2" x14ac:dyDescent="0.25">
      <c r="A1659" s="1">
        <v>0.33423076388888889</v>
      </c>
      <c r="B1659" t="s">
        <v>53</v>
      </c>
    </row>
    <row r="1660" spans="1:2" x14ac:dyDescent="0.25">
      <c r="A1660" s="1">
        <v>0.33422621527777779</v>
      </c>
      <c r="B1660" t="s">
        <v>51</v>
      </c>
    </row>
    <row r="1661" spans="1:2" x14ac:dyDescent="0.25">
      <c r="A1661" s="1">
        <v>0.33422402777777777</v>
      </c>
      <c r="B1661" t="s">
        <v>52</v>
      </c>
    </row>
    <row r="1662" spans="1:2" x14ac:dyDescent="0.25">
      <c r="A1662" s="1">
        <v>0.33422341435185188</v>
      </c>
      <c r="B1662" t="s">
        <v>51</v>
      </c>
    </row>
    <row r="1663" spans="1:2" x14ac:dyDescent="0.25">
      <c r="A1663" s="1">
        <v>0.33422229166666667</v>
      </c>
      <c r="B1663" t="s">
        <v>53</v>
      </c>
    </row>
    <row r="1664" spans="1:2" x14ac:dyDescent="0.25">
      <c r="A1664" s="1">
        <v>0.33422076388888894</v>
      </c>
      <c r="B1664" t="s">
        <v>53</v>
      </c>
    </row>
    <row r="1665" spans="1:2" x14ac:dyDescent="0.25">
      <c r="A1665" s="1">
        <v>0.33422046296296298</v>
      </c>
      <c r="B1665" t="s">
        <v>53</v>
      </c>
    </row>
    <row r="1666" spans="1:2" x14ac:dyDescent="0.25">
      <c r="A1666" s="1">
        <v>0.33421848379629626</v>
      </c>
      <c r="B1666" t="s">
        <v>52</v>
      </c>
    </row>
    <row r="1667" spans="1:2" x14ac:dyDescent="0.25">
      <c r="A1667" s="1">
        <v>0.33421835648148152</v>
      </c>
      <c r="B1667" t="s">
        <v>53</v>
      </c>
    </row>
    <row r="1668" spans="1:2" x14ac:dyDescent="0.25">
      <c r="A1668" s="1">
        <v>0.33421565972222217</v>
      </c>
      <c r="B1668" t="s">
        <v>53</v>
      </c>
    </row>
    <row r="1669" spans="1:2" x14ac:dyDescent="0.25">
      <c r="A1669" s="1">
        <v>0.33421339120370369</v>
      </c>
      <c r="B1669" t="s">
        <v>51</v>
      </c>
    </row>
    <row r="1670" spans="1:2" x14ac:dyDescent="0.25">
      <c r="A1670" s="1">
        <v>0.33420667824074074</v>
      </c>
      <c r="B1670" t="s">
        <v>51</v>
      </c>
    </row>
    <row r="1671" spans="1:2" x14ac:dyDescent="0.25">
      <c r="A1671" s="1">
        <v>0.33420392361111112</v>
      </c>
      <c r="B1671" t="s">
        <v>51</v>
      </c>
    </row>
    <row r="1672" spans="1:2" x14ac:dyDescent="0.25">
      <c r="A1672" s="1">
        <v>0.33420325231481485</v>
      </c>
      <c r="B1672" t="s">
        <v>51</v>
      </c>
    </row>
    <row r="1673" spans="1:2" x14ac:dyDescent="0.25">
      <c r="A1673" s="1">
        <v>0.3342025115740741</v>
      </c>
      <c r="B1673" t="s">
        <v>53</v>
      </c>
    </row>
    <row r="1674" spans="1:2" x14ac:dyDescent="0.25">
      <c r="A1674" s="1">
        <v>0.3342012152777778</v>
      </c>
      <c r="B1674" t="s">
        <v>52</v>
      </c>
    </row>
    <row r="1675" spans="1:2" x14ac:dyDescent="0.25">
      <c r="A1675" s="1">
        <v>0.33419937500000002</v>
      </c>
      <c r="B1675" t="s">
        <v>53</v>
      </c>
    </row>
    <row r="1676" spans="1:2" x14ac:dyDescent="0.25">
      <c r="A1676" s="1">
        <v>0.33419862268518519</v>
      </c>
      <c r="B1676" t="s">
        <v>52</v>
      </c>
    </row>
    <row r="1677" spans="1:2" x14ac:dyDescent="0.25">
      <c r="A1677" s="1">
        <v>0.33419856481481486</v>
      </c>
      <c r="B1677" t="s">
        <v>53</v>
      </c>
    </row>
    <row r="1678" spans="1:2" x14ac:dyDescent="0.25">
      <c r="A1678" s="1">
        <v>0.33419738425925921</v>
      </c>
      <c r="B1678" t="s">
        <v>51</v>
      </c>
    </row>
    <row r="1679" spans="1:2" x14ac:dyDescent="0.25">
      <c r="A1679" s="1">
        <v>0.33419627314814809</v>
      </c>
      <c r="B1679" t="s">
        <v>52</v>
      </c>
    </row>
    <row r="1680" spans="1:2" x14ac:dyDescent="0.25">
      <c r="A1680" s="1">
        <v>0.33419538194444448</v>
      </c>
      <c r="B1680" t="s">
        <v>52</v>
      </c>
    </row>
    <row r="1681" spans="1:2" x14ac:dyDescent="0.25">
      <c r="A1681" s="1">
        <v>0.33419413194444442</v>
      </c>
      <c r="B1681" t="s">
        <v>51</v>
      </c>
    </row>
    <row r="1682" spans="1:2" x14ac:dyDescent="0.25">
      <c r="A1682" s="1">
        <v>0.33419165509259258</v>
      </c>
      <c r="B1682" t="s">
        <v>51</v>
      </c>
    </row>
    <row r="1683" spans="1:2" x14ac:dyDescent="0.25">
      <c r="A1683" s="1">
        <v>0.33418797453703702</v>
      </c>
      <c r="B1683" t="s">
        <v>52</v>
      </c>
    </row>
    <row r="1684" spans="1:2" x14ac:dyDescent="0.25">
      <c r="A1684" s="1">
        <v>0.33418650462962968</v>
      </c>
      <c r="B1684" t="s">
        <v>51</v>
      </c>
    </row>
    <row r="1685" spans="1:2" x14ac:dyDescent="0.25">
      <c r="A1685" s="1">
        <v>0.33418519675925928</v>
      </c>
      <c r="B1685" t="s">
        <v>53</v>
      </c>
    </row>
    <row r="1686" spans="1:2" x14ac:dyDescent="0.25">
      <c r="A1686" s="1">
        <v>0.33418159722222224</v>
      </c>
      <c r="B1686" t="s">
        <v>53</v>
      </c>
    </row>
    <row r="1687" spans="1:2" x14ac:dyDescent="0.25">
      <c r="A1687" s="1">
        <v>0.33418151620370368</v>
      </c>
      <c r="B1687" t="s">
        <v>51</v>
      </c>
    </row>
    <row r="1688" spans="1:2" x14ac:dyDescent="0.25">
      <c r="A1688" s="1">
        <v>0.33418047453703709</v>
      </c>
      <c r="B1688" t="s">
        <v>51</v>
      </c>
    </row>
    <row r="1689" spans="1:2" x14ac:dyDescent="0.25">
      <c r="A1689" s="1">
        <v>0.33417905092592592</v>
      </c>
      <c r="B1689" t="s">
        <v>52</v>
      </c>
    </row>
    <row r="1690" spans="1:2" x14ac:dyDescent="0.25">
      <c r="A1690" s="1">
        <v>0.33417752314814814</v>
      </c>
      <c r="B1690" t="s">
        <v>52</v>
      </c>
    </row>
    <row r="1691" spans="1:2" x14ac:dyDescent="0.25">
      <c r="A1691" s="1">
        <v>0.33417734953703704</v>
      </c>
      <c r="B1691" t="s">
        <v>51</v>
      </c>
    </row>
    <row r="1692" spans="1:2" x14ac:dyDescent="0.25">
      <c r="A1692" s="1">
        <v>0.33417725694444439</v>
      </c>
      <c r="B1692" t="s">
        <v>52</v>
      </c>
    </row>
    <row r="1693" spans="1:2" x14ac:dyDescent="0.25">
      <c r="A1693" s="1">
        <v>0.33417660879629629</v>
      </c>
      <c r="B1693" t="s">
        <v>51</v>
      </c>
    </row>
    <row r="1694" spans="1:2" x14ac:dyDescent="0.25">
      <c r="A1694" s="1">
        <v>0.33417519675925927</v>
      </c>
      <c r="B1694" t="s">
        <v>53</v>
      </c>
    </row>
    <row r="1695" spans="1:2" x14ac:dyDescent="0.25">
      <c r="A1695" s="1">
        <v>0.33417472222222222</v>
      </c>
      <c r="B1695" t="s">
        <v>51</v>
      </c>
    </row>
    <row r="1696" spans="1:2" x14ac:dyDescent="0.25">
      <c r="A1696" s="1">
        <v>0.33417452546296295</v>
      </c>
      <c r="B1696" t="s">
        <v>53</v>
      </c>
    </row>
    <row r="1697" spans="1:2" x14ac:dyDescent="0.25">
      <c r="A1697" s="1">
        <v>0.33417182870370371</v>
      </c>
      <c r="B1697" t="s">
        <v>52</v>
      </c>
    </row>
    <row r="1698" spans="1:2" x14ac:dyDescent="0.25">
      <c r="A1698" s="1">
        <v>0.33416844907407411</v>
      </c>
      <c r="B1698" t="s">
        <v>53</v>
      </c>
    </row>
    <row r="1699" spans="1:2" x14ac:dyDescent="0.25">
      <c r="A1699" s="1">
        <v>0.33416825231481484</v>
      </c>
      <c r="B1699" t="s">
        <v>52</v>
      </c>
    </row>
    <row r="1700" spans="1:2" x14ac:dyDescent="0.25">
      <c r="A1700" s="1">
        <v>0.33416503472222225</v>
      </c>
      <c r="B1700" t="s">
        <v>52</v>
      </c>
    </row>
    <row r="1701" spans="1:2" x14ac:dyDescent="0.25">
      <c r="A1701" s="1">
        <v>0.3341606134259259</v>
      </c>
      <c r="B1701" t="s">
        <v>52</v>
      </c>
    </row>
    <row r="1702" spans="1:2" x14ac:dyDescent="0.25">
      <c r="A1702" s="1">
        <v>0.3341606134259259</v>
      </c>
      <c r="B1702" t="s">
        <v>51</v>
      </c>
    </row>
    <row r="1703" spans="1:2" x14ac:dyDescent="0.25">
      <c r="A1703" s="1">
        <v>0.33415976851851853</v>
      </c>
      <c r="B1703" t="s">
        <v>52</v>
      </c>
    </row>
    <row r="1704" spans="1:2" x14ac:dyDescent="0.25">
      <c r="A1704" s="1">
        <v>0.33415755787037038</v>
      </c>
      <c r="B1704" t="s">
        <v>52</v>
      </c>
    </row>
    <row r="1705" spans="1:2" x14ac:dyDescent="0.25">
      <c r="A1705" s="1">
        <v>0.33415603009259259</v>
      </c>
      <c r="B1705" t="s">
        <v>53</v>
      </c>
    </row>
    <row r="1706" spans="1:2" x14ac:dyDescent="0.25">
      <c r="A1706" s="1">
        <v>0.33415545138888891</v>
      </c>
      <c r="B1706" t="s">
        <v>51</v>
      </c>
    </row>
    <row r="1707" spans="1:2" x14ac:dyDescent="0.25">
      <c r="A1707" s="1">
        <v>0.33415363425925926</v>
      </c>
      <c r="B1707" t="s">
        <v>51</v>
      </c>
    </row>
    <row r="1708" spans="1:2" x14ac:dyDescent="0.25">
      <c r="A1708" s="1">
        <v>0.33415037037037038</v>
      </c>
      <c r="B1708" t="s">
        <v>52</v>
      </c>
    </row>
    <row r="1709" spans="1:2" x14ac:dyDescent="0.25">
      <c r="A1709" s="1">
        <v>0.33414778935185185</v>
      </c>
      <c r="B1709" t="s">
        <v>52</v>
      </c>
    </row>
    <row r="1710" spans="1:2" x14ac:dyDescent="0.25">
      <c r="A1710" s="1">
        <v>0.33414434027777778</v>
      </c>
      <c r="B1710" t="s">
        <v>51</v>
      </c>
    </row>
    <row r="1711" spans="1:2" x14ac:dyDescent="0.25">
      <c r="A1711" s="1">
        <v>0.33414307870370369</v>
      </c>
      <c r="B1711" t="s">
        <v>51</v>
      </c>
    </row>
    <row r="1712" spans="1:2" x14ac:dyDescent="0.25">
      <c r="A1712" s="1">
        <v>0.33414236111111112</v>
      </c>
      <c r="B1712" t="s">
        <v>51</v>
      </c>
    </row>
    <row r="1713" spans="1:2" x14ac:dyDescent="0.25">
      <c r="A1713" s="1">
        <v>0.33413998842592596</v>
      </c>
      <c r="B1713" t="s">
        <v>51</v>
      </c>
    </row>
    <row r="1714" spans="1:2" x14ac:dyDescent="0.25">
      <c r="A1714" s="1">
        <v>0.33413979166666663</v>
      </c>
      <c r="B1714" t="s">
        <v>51</v>
      </c>
    </row>
    <row r="1715" spans="1:2" x14ac:dyDescent="0.25">
      <c r="A1715" s="1">
        <v>0.33413874999999998</v>
      </c>
      <c r="B1715" t="s">
        <v>53</v>
      </c>
    </row>
    <row r="1716" spans="1:2" x14ac:dyDescent="0.25">
      <c r="A1716" s="1">
        <v>0.3341375231481481</v>
      </c>
      <c r="B1716" t="s">
        <v>53</v>
      </c>
    </row>
    <row r="1717" spans="1:2" x14ac:dyDescent="0.25">
      <c r="A1717" s="1">
        <v>0.33413746527777777</v>
      </c>
      <c r="B1717" t="s">
        <v>52</v>
      </c>
    </row>
    <row r="1718" spans="1:2" x14ac:dyDescent="0.25">
      <c r="A1718" s="1">
        <v>0.33413475694444444</v>
      </c>
      <c r="B1718" t="s">
        <v>53</v>
      </c>
    </row>
    <row r="1719" spans="1:2" x14ac:dyDescent="0.25">
      <c r="A1719" s="1">
        <v>0.33413458333333335</v>
      </c>
      <c r="B1719" t="s">
        <v>51</v>
      </c>
    </row>
    <row r="1720" spans="1:2" x14ac:dyDescent="0.25">
      <c r="A1720" s="1">
        <v>0.33413340277777781</v>
      </c>
      <c r="B1720" t="s">
        <v>53</v>
      </c>
    </row>
    <row r="1721" spans="1:2" x14ac:dyDescent="0.25">
      <c r="A1721" s="1">
        <v>0.33413155092592595</v>
      </c>
      <c r="B1721" t="s">
        <v>53</v>
      </c>
    </row>
    <row r="1722" spans="1:2" x14ac:dyDescent="0.25">
      <c r="A1722" s="1">
        <v>0.33412637731481482</v>
      </c>
      <c r="B1722" t="s">
        <v>52</v>
      </c>
    </row>
    <row r="1723" spans="1:2" x14ac:dyDescent="0.25">
      <c r="A1723" s="1">
        <v>0.33412533564814817</v>
      </c>
      <c r="B1723" t="s">
        <v>53</v>
      </c>
    </row>
    <row r="1724" spans="1:2" x14ac:dyDescent="0.25">
      <c r="A1724" s="1">
        <v>0.33412358796296293</v>
      </c>
      <c r="B1724" t="s">
        <v>52</v>
      </c>
    </row>
    <row r="1725" spans="1:2" x14ac:dyDescent="0.25">
      <c r="A1725" s="1">
        <v>0.33412155092592594</v>
      </c>
      <c r="B1725" t="s">
        <v>51</v>
      </c>
    </row>
    <row r="1726" spans="1:2" x14ac:dyDescent="0.25">
      <c r="A1726" s="1">
        <v>0.33411952546296297</v>
      </c>
      <c r="B1726" t="s">
        <v>53</v>
      </c>
    </row>
    <row r="1727" spans="1:2" x14ac:dyDescent="0.25">
      <c r="A1727" s="1">
        <v>0.33411614583333332</v>
      </c>
      <c r="B1727" t="s">
        <v>52</v>
      </c>
    </row>
    <row r="1728" spans="1:2" x14ac:dyDescent="0.25">
      <c r="A1728" s="1">
        <v>0.33411398148148147</v>
      </c>
      <c r="B1728" t="s">
        <v>52</v>
      </c>
    </row>
    <row r="1729" spans="1:2" x14ac:dyDescent="0.25">
      <c r="A1729" s="1">
        <v>0.33411237268518518</v>
      </c>
      <c r="B1729" t="s">
        <v>53</v>
      </c>
    </row>
    <row r="1730" spans="1:2" x14ac:dyDescent="0.25">
      <c r="A1730" s="1">
        <v>0.33411168981481482</v>
      </c>
      <c r="B1730" t="s">
        <v>53</v>
      </c>
    </row>
    <row r="1731" spans="1:2" x14ac:dyDescent="0.25">
      <c r="A1731" s="1">
        <v>0.33411037037037034</v>
      </c>
      <c r="B1731" t="s">
        <v>53</v>
      </c>
    </row>
    <row r="1732" spans="1:2" x14ac:dyDescent="0.25">
      <c r="A1732" s="1">
        <v>0.33411032407407409</v>
      </c>
      <c r="B1732" t="s">
        <v>51</v>
      </c>
    </row>
    <row r="1733" spans="1:2" x14ac:dyDescent="0.25">
      <c r="A1733" s="1">
        <v>0.3341102777777778</v>
      </c>
      <c r="B1733" t="s">
        <v>52</v>
      </c>
    </row>
    <row r="1734" spans="1:2" x14ac:dyDescent="0.25">
      <c r="A1734" s="1">
        <v>0.33410905092592591</v>
      </c>
      <c r="B1734" t="s">
        <v>51</v>
      </c>
    </row>
    <row r="1735" spans="1:2" x14ac:dyDescent="0.25">
      <c r="A1735" s="1">
        <v>0.33410851851851847</v>
      </c>
      <c r="B1735" t="s">
        <v>52</v>
      </c>
    </row>
    <row r="1736" spans="1:2" x14ac:dyDescent="0.25">
      <c r="A1736" s="1">
        <v>0.33410554398148151</v>
      </c>
      <c r="B1736" t="s">
        <v>53</v>
      </c>
    </row>
    <row r="1737" spans="1:2" x14ac:dyDescent="0.25">
      <c r="A1737" s="1">
        <v>0.33410373842592594</v>
      </c>
      <c r="B1737" t="s">
        <v>51</v>
      </c>
    </row>
    <row r="1738" spans="1:2" x14ac:dyDescent="0.25">
      <c r="A1738" s="1">
        <v>0.33410150462962962</v>
      </c>
      <c r="B1738" t="s">
        <v>53</v>
      </c>
    </row>
    <row r="1739" spans="1:2" x14ac:dyDescent="0.25">
      <c r="A1739" s="1">
        <v>0.33410046296296297</v>
      </c>
      <c r="B1739" t="s">
        <v>51</v>
      </c>
    </row>
    <row r="1740" spans="1:2" x14ac:dyDescent="0.25">
      <c r="A1740" s="1">
        <v>0.33409893518518513</v>
      </c>
      <c r="B1740" t="s">
        <v>52</v>
      </c>
    </row>
    <row r="1741" spans="1:2" x14ac:dyDescent="0.25">
      <c r="A1741" s="1">
        <v>0.33409581018518519</v>
      </c>
      <c r="B1741" t="s">
        <v>53</v>
      </c>
    </row>
    <row r="1742" spans="1:2" x14ac:dyDescent="0.25">
      <c r="A1742" s="1">
        <v>0.33409436342592591</v>
      </c>
      <c r="B1742" t="s">
        <v>51</v>
      </c>
    </row>
    <row r="1743" spans="1:2" x14ac:dyDescent="0.25">
      <c r="A1743" s="1">
        <v>0.33409435185185182</v>
      </c>
      <c r="B1743" t="s">
        <v>51</v>
      </c>
    </row>
    <row r="1744" spans="1:2" x14ac:dyDescent="0.25">
      <c r="A1744" s="1">
        <v>0.33409388888888891</v>
      </c>
      <c r="B1744" t="s">
        <v>51</v>
      </c>
    </row>
    <row r="1745" spans="1:2" x14ac:dyDescent="0.25">
      <c r="A1745" s="1">
        <v>0.33409236111111112</v>
      </c>
      <c r="B1745" t="s">
        <v>53</v>
      </c>
    </row>
    <row r="1746" spans="1:2" x14ac:dyDescent="0.25">
      <c r="A1746" s="1">
        <v>0.33409152777777779</v>
      </c>
      <c r="B1746" t="s">
        <v>53</v>
      </c>
    </row>
    <row r="1747" spans="1:2" x14ac:dyDescent="0.25">
      <c r="A1747" s="1">
        <v>0.33408849537037039</v>
      </c>
      <c r="B1747" t="s">
        <v>53</v>
      </c>
    </row>
    <row r="1748" spans="1:2" x14ac:dyDescent="0.25">
      <c r="A1748" s="1">
        <v>0.33408721064814811</v>
      </c>
      <c r="B1748" t="s">
        <v>51</v>
      </c>
    </row>
    <row r="1749" spans="1:2" x14ac:dyDescent="0.25">
      <c r="A1749" s="1">
        <v>0.3340869675925926</v>
      </c>
      <c r="B1749" t="s">
        <v>51</v>
      </c>
    </row>
    <row r="1750" spans="1:2" x14ac:dyDescent="0.25">
      <c r="A1750" s="1">
        <v>0.33408596064814816</v>
      </c>
      <c r="B1750" t="s">
        <v>52</v>
      </c>
    </row>
    <row r="1751" spans="1:2" x14ac:dyDescent="0.25">
      <c r="A1751" s="1">
        <v>0.33408569444444441</v>
      </c>
      <c r="B1751" t="s">
        <v>53</v>
      </c>
    </row>
    <row r="1752" spans="1:2" x14ac:dyDescent="0.25">
      <c r="A1752" s="1">
        <v>0.33408547453703702</v>
      </c>
      <c r="B1752" t="s">
        <v>53</v>
      </c>
    </row>
    <row r="1753" spans="1:2" x14ac:dyDescent="0.25">
      <c r="A1753" s="1">
        <v>0.33408333333333334</v>
      </c>
      <c r="B1753" t="s">
        <v>51</v>
      </c>
    </row>
    <row r="1754" spans="1:2" x14ac:dyDescent="0.25">
      <c r="A1754" s="1">
        <v>0.33408123842592591</v>
      </c>
      <c r="B1754" t="s">
        <v>52</v>
      </c>
    </row>
    <row r="1755" spans="1:2" x14ac:dyDescent="0.25">
      <c r="A1755" s="1">
        <v>0.33408049768518522</v>
      </c>
      <c r="B1755" t="s">
        <v>51</v>
      </c>
    </row>
    <row r="1756" spans="1:2" x14ac:dyDescent="0.25">
      <c r="A1756" s="1">
        <v>0.33408021990740738</v>
      </c>
      <c r="B1756" t="s">
        <v>52</v>
      </c>
    </row>
    <row r="1757" spans="1:2" x14ac:dyDescent="0.25">
      <c r="A1757" s="1">
        <v>0.33407957175925929</v>
      </c>
      <c r="B1757" t="s">
        <v>52</v>
      </c>
    </row>
    <row r="1758" spans="1:2" x14ac:dyDescent="0.25">
      <c r="A1758" s="1">
        <v>0.33407899305555561</v>
      </c>
      <c r="B1758" t="s">
        <v>52</v>
      </c>
    </row>
    <row r="1759" spans="1:2" x14ac:dyDescent="0.25">
      <c r="A1759" s="1">
        <v>0.33407820601851851</v>
      </c>
      <c r="B1759" t="s">
        <v>52</v>
      </c>
    </row>
    <row r="1760" spans="1:2" x14ac:dyDescent="0.25">
      <c r="A1760" s="1">
        <v>0.33407771990740742</v>
      </c>
      <c r="B1760" t="s">
        <v>53</v>
      </c>
    </row>
    <row r="1761" spans="1:2" x14ac:dyDescent="0.25">
      <c r="A1761" s="1">
        <v>0.33407486111111112</v>
      </c>
      <c r="B1761" t="s">
        <v>51</v>
      </c>
    </row>
    <row r="1762" spans="1:2" x14ac:dyDescent="0.25">
      <c r="A1762" s="1">
        <v>0.33407233796296293</v>
      </c>
      <c r="B1762" t="s">
        <v>51</v>
      </c>
    </row>
    <row r="1763" spans="1:2" x14ac:dyDescent="0.25">
      <c r="A1763" s="1">
        <v>0.33407163194444439</v>
      </c>
      <c r="B1763" t="s">
        <v>53</v>
      </c>
    </row>
    <row r="1764" spans="1:2" x14ac:dyDescent="0.25">
      <c r="A1764" s="1">
        <v>0.33407153935185185</v>
      </c>
      <c r="B1764" t="s">
        <v>51</v>
      </c>
    </row>
    <row r="1765" spans="1:2" x14ac:dyDescent="0.25">
      <c r="A1765" s="1">
        <v>0.33407140046296296</v>
      </c>
      <c r="B1765" t="s">
        <v>51</v>
      </c>
    </row>
    <row r="1766" spans="1:2" x14ac:dyDescent="0.25">
      <c r="A1766" s="1">
        <v>0.33406990740740738</v>
      </c>
      <c r="B1766" t="s">
        <v>51</v>
      </c>
    </row>
    <row r="1767" spans="1:2" x14ac:dyDescent="0.25">
      <c r="A1767" s="1">
        <v>0.33406971064814811</v>
      </c>
      <c r="B1767" t="s">
        <v>53</v>
      </c>
    </row>
    <row r="1768" spans="1:2" x14ac:dyDescent="0.25">
      <c r="A1768" s="1">
        <v>0.33406629629629631</v>
      </c>
      <c r="B1768" t="s">
        <v>51</v>
      </c>
    </row>
    <row r="1769" spans="1:2" x14ac:dyDescent="0.25">
      <c r="A1769" s="1">
        <v>0.3340619675925926</v>
      </c>
      <c r="B1769" t="s">
        <v>51</v>
      </c>
    </row>
    <row r="1770" spans="1:2" x14ac:dyDescent="0.25">
      <c r="A1770" s="1">
        <v>0.33405945601851855</v>
      </c>
      <c r="B1770" t="s">
        <v>52</v>
      </c>
    </row>
    <row r="1771" spans="1:2" x14ac:dyDescent="0.25">
      <c r="A1771" s="1">
        <v>0.33405945601851855</v>
      </c>
      <c r="B1771" t="s">
        <v>52</v>
      </c>
    </row>
    <row r="1772" spans="1:2" x14ac:dyDescent="0.25">
      <c r="A1772" s="1">
        <v>0.33405783564814812</v>
      </c>
      <c r="B1772" t="s">
        <v>52</v>
      </c>
    </row>
    <row r="1773" spans="1:2" x14ac:dyDescent="0.25">
      <c r="A1773" s="1">
        <v>0.33405548611111113</v>
      </c>
      <c r="B1773" t="s">
        <v>52</v>
      </c>
    </row>
    <row r="1774" spans="1:2" x14ac:dyDescent="0.25">
      <c r="A1774" s="1">
        <v>0.33405410879629627</v>
      </c>
      <c r="B1774" t="s">
        <v>51</v>
      </c>
    </row>
    <row r="1775" spans="1:2" x14ac:dyDescent="0.25">
      <c r="A1775" s="1">
        <v>0.33405303240740741</v>
      </c>
      <c r="B1775" t="s">
        <v>51</v>
      </c>
    </row>
    <row r="1776" spans="1:2" x14ac:dyDescent="0.25">
      <c r="A1776" s="1">
        <v>0.33405251157407406</v>
      </c>
      <c r="B1776" t="s">
        <v>53</v>
      </c>
    </row>
    <row r="1777" spans="1:2" x14ac:dyDescent="0.25">
      <c r="A1777" s="1">
        <v>0.33405131944444449</v>
      </c>
      <c r="B1777" t="s">
        <v>53</v>
      </c>
    </row>
    <row r="1778" spans="1:2" x14ac:dyDescent="0.25">
      <c r="A1778" s="1">
        <v>0.33404796296296296</v>
      </c>
      <c r="B1778" t="s">
        <v>52</v>
      </c>
    </row>
    <row r="1779" spans="1:2" x14ac:dyDescent="0.25">
      <c r="A1779" s="1">
        <v>0.33404792824074075</v>
      </c>
      <c r="B1779" t="s">
        <v>52</v>
      </c>
    </row>
    <row r="1780" spans="1:2" x14ac:dyDescent="0.25">
      <c r="A1780" s="1">
        <v>0.3340472800925926</v>
      </c>
      <c r="B1780" t="s">
        <v>52</v>
      </c>
    </row>
    <row r="1781" spans="1:2" x14ac:dyDescent="0.25">
      <c r="A1781" s="1">
        <v>0.33404692129629626</v>
      </c>
      <c r="B1781" t="s">
        <v>51</v>
      </c>
    </row>
    <row r="1782" spans="1:2" x14ac:dyDescent="0.25">
      <c r="A1782" s="1">
        <v>0.33404152777777779</v>
      </c>
      <c r="B1782" t="s">
        <v>53</v>
      </c>
    </row>
    <row r="1783" spans="1:2" x14ac:dyDescent="0.25">
      <c r="A1783" s="1">
        <v>0.33404053240740739</v>
      </c>
      <c r="B1783" t="s">
        <v>53</v>
      </c>
    </row>
    <row r="1784" spans="1:2" x14ac:dyDescent="0.25">
      <c r="A1784" s="1">
        <v>0.33403916666666666</v>
      </c>
      <c r="B1784" t="s">
        <v>52</v>
      </c>
    </row>
    <row r="1785" spans="1:2" x14ac:dyDescent="0.25">
      <c r="A1785" s="1">
        <v>0.33403901620370369</v>
      </c>
      <c r="B1785" t="s">
        <v>51</v>
      </c>
    </row>
    <row r="1786" spans="1:2" x14ac:dyDescent="0.25">
      <c r="A1786" s="1">
        <v>0.33403740740740745</v>
      </c>
      <c r="B1786" t="s">
        <v>52</v>
      </c>
    </row>
    <row r="1787" spans="1:2" x14ac:dyDescent="0.25">
      <c r="A1787" s="1">
        <v>0.33403502314814815</v>
      </c>
      <c r="B1787" t="s">
        <v>51</v>
      </c>
    </row>
    <row r="1788" spans="1:2" x14ac:dyDescent="0.25">
      <c r="A1788" s="1">
        <v>0.33403487268518517</v>
      </c>
      <c r="B1788" t="s">
        <v>51</v>
      </c>
    </row>
    <row r="1789" spans="1:2" x14ac:dyDescent="0.25">
      <c r="A1789" s="1">
        <v>0.33403266203703702</v>
      </c>
      <c r="B1789" t="s">
        <v>52</v>
      </c>
    </row>
    <row r="1790" spans="1:2" x14ac:dyDescent="0.25">
      <c r="A1790" s="1">
        <v>0.33403010416666667</v>
      </c>
      <c r="B1790" t="s">
        <v>53</v>
      </c>
    </row>
    <row r="1791" spans="1:2" x14ac:dyDescent="0.25">
      <c r="A1791" s="1">
        <v>0.33402829861111111</v>
      </c>
      <c r="B1791" t="s">
        <v>53</v>
      </c>
    </row>
    <row r="1792" spans="1:2" x14ac:dyDescent="0.25">
      <c r="A1792" s="1">
        <v>0.33402788194444444</v>
      </c>
      <c r="B1792" t="s">
        <v>52</v>
      </c>
    </row>
    <row r="1793" spans="1:2" x14ac:dyDescent="0.25">
      <c r="A1793" s="1">
        <v>0.33402737268518518</v>
      </c>
      <c r="B1793" t="s">
        <v>52</v>
      </c>
    </row>
    <row r="1794" spans="1:2" x14ac:dyDescent="0.25">
      <c r="A1794" s="1">
        <v>0.3340267476851852</v>
      </c>
      <c r="B1794" t="s">
        <v>52</v>
      </c>
    </row>
    <row r="1795" spans="1:2" x14ac:dyDescent="0.25">
      <c r="A1795" s="1">
        <v>0.3340264930555556</v>
      </c>
      <c r="B1795" t="s">
        <v>52</v>
      </c>
    </row>
    <row r="1796" spans="1:2" x14ac:dyDescent="0.25">
      <c r="A1796" s="1">
        <v>0.33402392361111111</v>
      </c>
      <c r="B1796" t="s">
        <v>53</v>
      </c>
    </row>
    <row r="1797" spans="1:2" x14ac:dyDescent="0.25">
      <c r="A1797" s="1">
        <v>0.33402307870370374</v>
      </c>
      <c r="B1797" t="s">
        <v>51</v>
      </c>
    </row>
    <row r="1798" spans="1:2" x14ac:dyDescent="0.25">
      <c r="A1798" s="1">
        <v>0.33402247685185182</v>
      </c>
      <c r="B1798" t="s">
        <v>53</v>
      </c>
    </row>
    <row r="1799" spans="1:2" x14ac:dyDescent="0.25">
      <c r="A1799" s="1">
        <v>0.33402173611111108</v>
      </c>
      <c r="B1799" t="s">
        <v>52</v>
      </c>
    </row>
    <row r="1800" spans="1:2" x14ac:dyDescent="0.25">
      <c r="A1800" s="1">
        <v>0.33402121527777778</v>
      </c>
      <c r="B1800" t="s">
        <v>53</v>
      </c>
    </row>
    <row r="1801" spans="1:2" x14ac:dyDescent="0.25">
      <c r="A1801" s="1">
        <v>0.33402034722222224</v>
      </c>
      <c r="B1801" t="s">
        <v>53</v>
      </c>
    </row>
    <row r="1802" spans="1:2" x14ac:dyDescent="0.25">
      <c r="A1802" s="1">
        <v>0.33401759259259256</v>
      </c>
      <c r="B1802" t="s">
        <v>53</v>
      </c>
    </row>
    <row r="1803" spans="1:2" x14ac:dyDescent="0.25">
      <c r="A1803" s="1">
        <v>0.33401629629629631</v>
      </c>
      <c r="B1803" t="s">
        <v>51</v>
      </c>
    </row>
    <row r="1804" spans="1:2" x14ac:dyDescent="0.25">
      <c r="A1804" s="1">
        <v>0.33401524305555558</v>
      </c>
      <c r="B1804" t="s">
        <v>53</v>
      </c>
    </row>
    <row r="1805" spans="1:2" x14ac:dyDescent="0.25">
      <c r="A1805" s="1">
        <v>0.3340109722222222</v>
      </c>
      <c r="B1805" t="s">
        <v>52</v>
      </c>
    </row>
    <row r="1806" spans="1:2" x14ac:dyDescent="0.25">
      <c r="A1806" s="1">
        <v>0.33401091435185187</v>
      </c>
      <c r="B1806" t="s">
        <v>52</v>
      </c>
    </row>
    <row r="1807" spans="1:2" x14ac:dyDescent="0.25">
      <c r="A1807" s="1">
        <v>0.33401024305555554</v>
      </c>
      <c r="B1807" t="s">
        <v>51</v>
      </c>
    </row>
    <row r="1808" spans="1:2" x14ac:dyDescent="0.25">
      <c r="A1808" s="1">
        <v>0.33400960648148148</v>
      </c>
      <c r="B1808" t="s">
        <v>51</v>
      </c>
    </row>
    <row r="1809" spans="1:2" x14ac:dyDescent="0.25">
      <c r="A1809" s="1">
        <v>0.33400579861111113</v>
      </c>
      <c r="B1809" t="s">
        <v>51</v>
      </c>
    </row>
    <row r="1810" spans="1:2" x14ac:dyDescent="0.25">
      <c r="A1810" s="1">
        <v>0.33400417824074075</v>
      </c>
      <c r="B1810" t="s">
        <v>53</v>
      </c>
    </row>
    <row r="1811" spans="1:2" x14ac:dyDescent="0.25">
      <c r="A1811" s="1">
        <v>0.33400398148148147</v>
      </c>
      <c r="B1811" t="s">
        <v>53</v>
      </c>
    </row>
    <row r="1812" spans="1:2" x14ac:dyDescent="0.25">
      <c r="A1812" s="1">
        <v>0.33400385416666661</v>
      </c>
      <c r="B1812" t="s">
        <v>52</v>
      </c>
    </row>
    <row r="1813" spans="1:2" x14ac:dyDescent="0.25">
      <c r="A1813" s="1">
        <v>0.33400119212962959</v>
      </c>
      <c r="B1813" t="s">
        <v>51</v>
      </c>
    </row>
    <row r="1814" spans="1:2" x14ac:dyDescent="0.25">
      <c r="A1814" s="1">
        <v>0.33400024305555553</v>
      </c>
      <c r="B1814" t="s">
        <v>52</v>
      </c>
    </row>
    <row r="1815" spans="1:2" x14ac:dyDescent="0.25">
      <c r="A1815" s="1">
        <v>0.33399994212962963</v>
      </c>
      <c r="B1815" t="s">
        <v>52</v>
      </c>
    </row>
    <row r="1816" spans="1:2" x14ac:dyDescent="0.25">
      <c r="A1816" s="1">
        <v>0.33399893518518514</v>
      </c>
      <c r="B1816" t="s">
        <v>52</v>
      </c>
    </row>
    <row r="1817" spans="1:2" x14ac:dyDescent="0.25">
      <c r="A1817" s="1">
        <v>0.33399690972222223</v>
      </c>
      <c r="B1817" t="s">
        <v>53</v>
      </c>
    </row>
    <row r="1818" spans="1:2" x14ac:dyDescent="0.25">
      <c r="A1818" s="1">
        <v>0.3339965046296296</v>
      </c>
      <c r="B1818" t="s">
        <v>52</v>
      </c>
    </row>
    <row r="1819" spans="1:2" x14ac:dyDescent="0.25">
      <c r="A1819" s="1">
        <v>0.33399649305555551</v>
      </c>
      <c r="B1819" t="s">
        <v>52</v>
      </c>
    </row>
    <row r="1820" spans="1:2" x14ac:dyDescent="0.25">
      <c r="A1820" s="1">
        <v>0.33399421296296294</v>
      </c>
      <c r="B1820" t="s">
        <v>51</v>
      </c>
    </row>
    <row r="1821" spans="1:2" x14ac:dyDescent="0.25">
      <c r="A1821" s="1">
        <v>0.33398946759259257</v>
      </c>
      <c r="B1821" t="s">
        <v>53</v>
      </c>
    </row>
    <row r="1822" spans="1:2" x14ac:dyDescent="0.25">
      <c r="A1822" s="1">
        <v>0.33398945601851854</v>
      </c>
      <c r="B1822" t="s">
        <v>51</v>
      </c>
    </row>
    <row r="1823" spans="1:2" x14ac:dyDescent="0.25">
      <c r="A1823" s="1">
        <v>0.33398512731481483</v>
      </c>
      <c r="B1823" t="s">
        <v>53</v>
      </c>
    </row>
    <row r="1824" spans="1:2" x14ac:dyDescent="0.25">
      <c r="A1824" s="1">
        <v>0.33398371527777776</v>
      </c>
      <c r="B1824" t="s">
        <v>51</v>
      </c>
    </row>
    <row r="1825" spans="1:2" x14ac:dyDescent="0.25">
      <c r="A1825" s="1">
        <v>0.33398309027777778</v>
      </c>
      <c r="B1825" t="s">
        <v>51</v>
      </c>
    </row>
    <row r="1826" spans="1:2" x14ac:dyDescent="0.25">
      <c r="A1826" s="1">
        <v>0.33398045138888888</v>
      </c>
      <c r="B1826" t="s">
        <v>51</v>
      </c>
    </row>
    <row r="1827" spans="1:2" x14ac:dyDescent="0.25">
      <c r="A1827" s="1">
        <v>0.33397840277777774</v>
      </c>
      <c r="B1827" t="s">
        <v>51</v>
      </c>
    </row>
    <row r="1828" spans="1:2" x14ac:dyDescent="0.25">
      <c r="A1828" s="1">
        <v>0.33397761574074075</v>
      </c>
      <c r="B1828" t="s">
        <v>51</v>
      </c>
    </row>
    <row r="1829" spans="1:2" x14ac:dyDescent="0.25">
      <c r="A1829" s="1">
        <v>0.33397732638888894</v>
      </c>
      <c r="B1829" t="s">
        <v>51</v>
      </c>
    </row>
    <row r="1830" spans="1:2" x14ac:dyDescent="0.25">
      <c r="A1830" s="1">
        <v>0.33397513888888891</v>
      </c>
      <c r="B1830" t="s">
        <v>52</v>
      </c>
    </row>
    <row r="1831" spans="1:2" x14ac:dyDescent="0.25">
      <c r="A1831" s="1">
        <v>0.33397195601851853</v>
      </c>
      <c r="B1831" t="s">
        <v>51</v>
      </c>
    </row>
    <row r="1832" spans="1:2" x14ac:dyDescent="0.25">
      <c r="A1832" s="1">
        <v>0.33396956018518514</v>
      </c>
      <c r="B1832" t="s">
        <v>51</v>
      </c>
    </row>
    <row r="1833" spans="1:2" x14ac:dyDescent="0.25">
      <c r="A1833" s="1">
        <v>0.33396851851851855</v>
      </c>
      <c r="B1833" t="s">
        <v>51</v>
      </c>
    </row>
    <row r="1834" spans="1:2" x14ac:dyDescent="0.25">
      <c r="A1834" s="1">
        <v>0.33396416666666667</v>
      </c>
      <c r="B1834" t="s">
        <v>52</v>
      </c>
    </row>
    <row r="1835" spans="1:2" x14ac:dyDescent="0.25">
      <c r="A1835" s="1">
        <v>0.33396402777777778</v>
      </c>
      <c r="B1835" t="s">
        <v>52</v>
      </c>
    </row>
    <row r="1836" spans="1:2" x14ac:dyDescent="0.25">
      <c r="A1836" s="1">
        <v>0.33395723379629633</v>
      </c>
      <c r="B1836" t="s">
        <v>51</v>
      </c>
    </row>
    <row r="1837" spans="1:2" x14ac:dyDescent="0.25">
      <c r="A1837" s="1">
        <v>0.33395655092592591</v>
      </c>
      <c r="B1837" t="s">
        <v>53</v>
      </c>
    </row>
    <row r="1838" spans="1:2" x14ac:dyDescent="0.25">
      <c r="A1838" s="1">
        <v>0.33395502314814812</v>
      </c>
      <c r="B1838" t="s">
        <v>51</v>
      </c>
    </row>
    <row r="1839" spans="1:2" x14ac:dyDescent="0.25">
      <c r="A1839" s="1">
        <v>0.33395436342592594</v>
      </c>
      <c r="B1839" t="s">
        <v>53</v>
      </c>
    </row>
    <row r="1840" spans="1:2" x14ac:dyDescent="0.25">
      <c r="A1840" s="1">
        <v>0.33395403935185186</v>
      </c>
      <c r="B1840" t="s">
        <v>52</v>
      </c>
    </row>
    <row r="1841" spans="1:2" x14ac:dyDescent="0.25">
      <c r="A1841" s="1">
        <v>0.33395396990740744</v>
      </c>
      <c r="B1841" t="s">
        <v>53</v>
      </c>
    </row>
    <row r="1842" spans="1:2" x14ac:dyDescent="0.25">
      <c r="A1842" s="1">
        <v>0.3339524421296296</v>
      </c>
      <c r="B1842" t="s">
        <v>51</v>
      </c>
    </row>
    <row r="1843" spans="1:2" x14ac:dyDescent="0.25">
      <c r="A1843" s="1">
        <v>0.33395231481481485</v>
      </c>
      <c r="B1843" t="s">
        <v>52</v>
      </c>
    </row>
    <row r="1844" spans="1:2" x14ac:dyDescent="0.25">
      <c r="A1844" s="1">
        <v>0.33395199074074072</v>
      </c>
      <c r="B1844" t="s">
        <v>53</v>
      </c>
    </row>
    <row r="1845" spans="1:2" x14ac:dyDescent="0.25">
      <c r="A1845" s="1">
        <v>0.33395053240740741</v>
      </c>
      <c r="B1845" t="s">
        <v>53</v>
      </c>
    </row>
    <row r="1846" spans="1:2" x14ac:dyDescent="0.25">
      <c r="A1846" s="1">
        <v>0.33395009259259262</v>
      </c>
      <c r="B1846" t="s">
        <v>51</v>
      </c>
    </row>
    <row r="1847" spans="1:2" x14ac:dyDescent="0.25">
      <c r="A1847" s="1">
        <v>0.33394883101851852</v>
      </c>
      <c r="B1847" t="s">
        <v>53</v>
      </c>
    </row>
    <row r="1848" spans="1:2" x14ac:dyDescent="0.25">
      <c r="A1848" s="1">
        <v>0.33394873842592593</v>
      </c>
      <c r="B1848" t="s">
        <v>52</v>
      </c>
    </row>
    <row r="1849" spans="1:2" x14ac:dyDescent="0.25">
      <c r="A1849" s="1">
        <v>0.33394810185185181</v>
      </c>
      <c r="B1849" t="s">
        <v>53</v>
      </c>
    </row>
    <row r="1850" spans="1:2" x14ac:dyDescent="0.25">
      <c r="A1850" s="1">
        <v>0.3339479398148148</v>
      </c>
      <c r="B1850" t="s">
        <v>53</v>
      </c>
    </row>
    <row r="1851" spans="1:2" x14ac:dyDescent="0.25">
      <c r="A1851" s="1">
        <v>0.33394570601851853</v>
      </c>
      <c r="B1851" t="s">
        <v>53</v>
      </c>
    </row>
    <row r="1852" spans="1:2" x14ac:dyDescent="0.25">
      <c r="A1852" s="1">
        <v>0.33394550925925931</v>
      </c>
      <c r="B1852" t="s">
        <v>52</v>
      </c>
    </row>
    <row r="1853" spans="1:2" x14ac:dyDescent="0.25">
      <c r="A1853" s="1">
        <v>0.33394502314814817</v>
      </c>
      <c r="B1853" t="s">
        <v>51</v>
      </c>
    </row>
    <row r="1854" spans="1:2" x14ac:dyDescent="0.25">
      <c r="A1854" s="1">
        <v>0.33394488425925922</v>
      </c>
      <c r="B1854" t="s">
        <v>51</v>
      </c>
    </row>
    <row r="1855" spans="1:2" x14ac:dyDescent="0.25">
      <c r="A1855" s="1">
        <v>0.33393585648148144</v>
      </c>
      <c r="B1855" t="s">
        <v>52</v>
      </c>
    </row>
    <row r="1856" spans="1:2" x14ac:dyDescent="0.25">
      <c r="A1856" s="1">
        <v>0.33393302083333332</v>
      </c>
      <c r="B1856" t="s">
        <v>52</v>
      </c>
    </row>
    <row r="1857" spans="1:2" x14ac:dyDescent="0.25">
      <c r="A1857" s="1">
        <v>0.33393221064814815</v>
      </c>
      <c r="B1857" t="s">
        <v>53</v>
      </c>
    </row>
    <row r="1858" spans="1:2" x14ac:dyDescent="0.25">
      <c r="A1858" s="1">
        <v>0.33393031249999999</v>
      </c>
      <c r="B1858" t="s">
        <v>51</v>
      </c>
    </row>
    <row r="1859" spans="1:2" x14ac:dyDescent="0.25">
      <c r="A1859" s="1">
        <v>0.33392668981481483</v>
      </c>
      <c r="B1859" t="s">
        <v>53</v>
      </c>
    </row>
    <row r="1860" spans="1:2" x14ac:dyDescent="0.25">
      <c r="A1860" s="1">
        <v>0.3339260185185185</v>
      </c>
      <c r="B1860" t="s">
        <v>51</v>
      </c>
    </row>
    <row r="1861" spans="1:2" x14ac:dyDescent="0.25">
      <c r="A1861" s="1">
        <v>0.33392232638888886</v>
      </c>
      <c r="B1861" t="s">
        <v>53</v>
      </c>
    </row>
    <row r="1862" spans="1:2" x14ac:dyDescent="0.25">
      <c r="A1862" s="1">
        <v>0.33392131944444442</v>
      </c>
      <c r="B1862" t="s">
        <v>53</v>
      </c>
    </row>
    <row r="1863" spans="1:2" x14ac:dyDescent="0.25">
      <c r="A1863" s="1">
        <v>0.33392050925925926</v>
      </c>
      <c r="B1863" t="s">
        <v>53</v>
      </c>
    </row>
    <row r="1864" spans="1:2" x14ac:dyDescent="0.25">
      <c r="A1864" s="1">
        <v>0.33391881944444446</v>
      </c>
      <c r="B1864" t="s">
        <v>52</v>
      </c>
    </row>
    <row r="1865" spans="1:2" x14ac:dyDescent="0.25">
      <c r="A1865" s="1">
        <v>0.33391868055555557</v>
      </c>
      <c r="B1865" t="s">
        <v>51</v>
      </c>
    </row>
    <row r="1866" spans="1:2" x14ac:dyDescent="0.25">
      <c r="A1866" s="1">
        <v>0.33391741898148147</v>
      </c>
      <c r="B1866" t="s">
        <v>52</v>
      </c>
    </row>
    <row r="1867" spans="1:2" x14ac:dyDescent="0.25">
      <c r="A1867" s="1">
        <v>0.33391591435185181</v>
      </c>
      <c r="B1867" t="s">
        <v>52</v>
      </c>
    </row>
    <row r="1868" spans="1:2" x14ac:dyDescent="0.25">
      <c r="A1868" s="1">
        <v>0.33391166666666666</v>
      </c>
      <c r="B1868" t="s">
        <v>51</v>
      </c>
    </row>
    <row r="1869" spans="1:2" x14ac:dyDescent="0.25">
      <c r="A1869" s="1">
        <v>0.33391081018518515</v>
      </c>
      <c r="B1869" t="s">
        <v>52</v>
      </c>
    </row>
    <row r="1870" spans="1:2" x14ac:dyDescent="0.25">
      <c r="A1870" s="1">
        <v>0.33391002314814816</v>
      </c>
      <c r="B1870" t="s">
        <v>52</v>
      </c>
    </row>
    <row r="1871" spans="1:2" x14ac:dyDescent="0.25">
      <c r="A1871" s="1">
        <v>0.3339089930555556</v>
      </c>
      <c r="B1871" t="s">
        <v>52</v>
      </c>
    </row>
    <row r="1872" spans="1:2" x14ac:dyDescent="0.25">
      <c r="A1872" s="1">
        <v>0.33390888888888887</v>
      </c>
      <c r="B1872" t="s">
        <v>53</v>
      </c>
    </row>
    <row r="1873" spans="1:2" x14ac:dyDescent="0.25">
      <c r="A1873" s="1">
        <v>0.33390819444444442</v>
      </c>
      <c r="B1873" t="s">
        <v>51</v>
      </c>
    </row>
    <row r="1874" spans="1:2" x14ac:dyDescent="0.25">
      <c r="A1874" s="1">
        <v>0.33390774305555554</v>
      </c>
      <c r="B1874" t="s">
        <v>52</v>
      </c>
    </row>
    <row r="1875" spans="1:2" x14ac:dyDescent="0.25">
      <c r="A1875" s="1">
        <v>0.3339068287037037</v>
      </c>
      <c r="B1875" t="s">
        <v>51</v>
      </c>
    </row>
    <row r="1876" spans="1:2" x14ac:dyDescent="0.25">
      <c r="A1876" s="1">
        <v>0.33390070601851857</v>
      </c>
      <c r="B1876" t="s">
        <v>51</v>
      </c>
    </row>
    <row r="1877" spans="1:2" x14ac:dyDescent="0.25">
      <c r="A1877" s="1">
        <v>0.33389589120370372</v>
      </c>
      <c r="B1877" t="s">
        <v>52</v>
      </c>
    </row>
    <row r="1878" spans="1:2" x14ac:dyDescent="0.25">
      <c r="A1878" s="1">
        <v>0.33389421296296296</v>
      </c>
      <c r="B1878" t="s">
        <v>53</v>
      </c>
    </row>
    <row r="1879" spans="1:2" x14ac:dyDescent="0.25">
      <c r="A1879" s="1">
        <v>0.33389390046296291</v>
      </c>
      <c r="B1879" t="s">
        <v>52</v>
      </c>
    </row>
    <row r="1880" spans="1:2" x14ac:dyDescent="0.25">
      <c r="A1880" s="1">
        <v>0.33389018518518521</v>
      </c>
      <c r="B1880" t="s">
        <v>52</v>
      </c>
    </row>
    <row r="1881" spans="1:2" x14ac:dyDescent="0.25">
      <c r="A1881" s="1">
        <v>0.33389005787037035</v>
      </c>
      <c r="B1881" t="s">
        <v>51</v>
      </c>
    </row>
    <row r="1882" spans="1:2" x14ac:dyDescent="0.25">
      <c r="A1882" s="1">
        <v>0.33388967592592594</v>
      </c>
      <c r="B1882" t="s">
        <v>53</v>
      </c>
    </row>
    <row r="1883" spans="1:2" x14ac:dyDescent="0.25">
      <c r="A1883" s="1">
        <v>0.33388887731481481</v>
      </c>
      <c r="B1883" t="s">
        <v>53</v>
      </c>
    </row>
    <row r="1884" spans="1:2" x14ac:dyDescent="0.25">
      <c r="A1884" s="1">
        <v>0.33388738425925929</v>
      </c>
      <c r="B1884" t="s">
        <v>53</v>
      </c>
    </row>
    <row r="1885" spans="1:2" x14ac:dyDescent="0.25">
      <c r="A1885" s="1">
        <v>0.3338843402777778</v>
      </c>
      <c r="B1885" t="s">
        <v>53</v>
      </c>
    </row>
    <row r="1886" spans="1:2" x14ac:dyDescent="0.25">
      <c r="A1886" s="1">
        <v>0.33388185185185182</v>
      </c>
      <c r="B1886" t="s">
        <v>51</v>
      </c>
    </row>
    <row r="1887" spans="1:2" x14ac:dyDescent="0.25">
      <c r="A1887" s="1">
        <v>0.33388108796296295</v>
      </c>
      <c r="B1887" t="s">
        <v>51</v>
      </c>
    </row>
    <row r="1888" spans="1:2" x14ac:dyDescent="0.25">
      <c r="A1888" s="1">
        <v>0.33388096064814815</v>
      </c>
      <c r="B1888" t="s">
        <v>53</v>
      </c>
    </row>
    <row r="1889" spans="1:2" x14ac:dyDescent="0.25">
      <c r="A1889" s="1">
        <v>0.33388089120370368</v>
      </c>
      <c r="B1889" t="s">
        <v>53</v>
      </c>
    </row>
    <row r="1890" spans="1:2" x14ac:dyDescent="0.25">
      <c r="A1890" s="1">
        <v>0.33387929398148147</v>
      </c>
      <c r="B1890" t="s">
        <v>52</v>
      </c>
    </row>
    <row r="1891" spans="1:2" x14ac:dyDescent="0.25">
      <c r="A1891" s="1">
        <v>0.33387890046296298</v>
      </c>
      <c r="B1891" t="s">
        <v>52</v>
      </c>
    </row>
    <row r="1892" spans="1:2" x14ac:dyDescent="0.25">
      <c r="A1892" s="1">
        <v>0.33387869212962967</v>
      </c>
      <c r="B1892" t="s">
        <v>52</v>
      </c>
    </row>
    <row r="1893" spans="1:2" x14ac:dyDescent="0.25">
      <c r="A1893" s="1">
        <v>0.33387839120370372</v>
      </c>
      <c r="B1893" t="s">
        <v>53</v>
      </c>
    </row>
    <row r="1894" spans="1:2" x14ac:dyDescent="0.25">
      <c r="A1894" s="1">
        <v>0.33387777777777777</v>
      </c>
      <c r="B1894" t="s">
        <v>51</v>
      </c>
    </row>
    <row r="1895" spans="1:2" x14ac:dyDescent="0.25">
      <c r="A1895" s="1">
        <v>0.3338772337962963</v>
      </c>
      <c r="B1895" t="s">
        <v>53</v>
      </c>
    </row>
    <row r="1896" spans="1:2" x14ac:dyDescent="0.25">
      <c r="A1896" s="1">
        <v>0.33387659722222224</v>
      </c>
      <c r="B1896" t="s">
        <v>52</v>
      </c>
    </row>
    <row r="1897" spans="1:2" x14ac:dyDescent="0.25">
      <c r="A1897" s="1">
        <v>0.33387321759259264</v>
      </c>
      <c r="B1897" t="s">
        <v>53</v>
      </c>
    </row>
    <row r="1898" spans="1:2" x14ac:dyDescent="0.25">
      <c r="A1898" s="1">
        <v>0.33387225694444439</v>
      </c>
      <c r="B1898" t="s">
        <v>51</v>
      </c>
    </row>
    <row r="1899" spans="1:2" x14ac:dyDescent="0.25">
      <c r="A1899" s="1">
        <v>0.33386940972222218</v>
      </c>
      <c r="B1899" t="s">
        <v>51</v>
      </c>
    </row>
    <row r="1900" spans="1:2" x14ac:dyDescent="0.25">
      <c r="A1900" s="1">
        <v>0.33386546296296293</v>
      </c>
      <c r="B1900" t="s">
        <v>52</v>
      </c>
    </row>
    <row r="1901" spans="1:2" x14ac:dyDescent="0.25">
      <c r="A1901" s="1">
        <v>0.33386427083333331</v>
      </c>
      <c r="B1901" t="s">
        <v>51</v>
      </c>
    </row>
    <row r="1902" spans="1:2" x14ac:dyDescent="0.25">
      <c r="A1902" s="1">
        <v>0.33386291666666668</v>
      </c>
      <c r="B1902" t="s">
        <v>51</v>
      </c>
    </row>
    <row r="1903" spans="1:2" x14ac:dyDescent="0.25">
      <c r="A1903" s="1">
        <v>0.33386201388888886</v>
      </c>
      <c r="B1903" t="s">
        <v>53</v>
      </c>
    </row>
    <row r="1904" spans="1:2" x14ac:dyDescent="0.25">
      <c r="A1904" s="1">
        <v>0.3338614236111111</v>
      </c>
      <c r="B1904" t="s">
        <v>52</v>
      </c>
    </row>
    <row r="1905" spans="1:2" x14ac:dyDescent="0.25">
      <c r="A1905" s="1">
        <v>0.33386062500000002</v>
      </c>
      <c r="B1905" t="s">
        <v>52</v>
      </c>
    </row>
    <row r="1906" spans="1:2" x14ac:dyDescent="0.25">
      <c r="A1906" s="1">
        <v>0.33386025462962965</v>
      </c>
      <c r="B1906" t="s">
        <v>51</v>
      </c>
    </row>
    <row r="1907" spans="1:2" x14ac:dyDescent="0.25">
      <c r="A1907" s="1">
        <v>0.33386024305555556</v>
      </c>
      <c r="B1907" t="s">
        <v>52</v>
      </c>
    </row>
    <row r="1908" spans="1:2" x14ac:dyDescent="0.25">
      <c r="A1908" s="1">
        <v>0.33386010416666667</v>
      </c>
      <c r="B1908" t="s">
        <v>53</v>
      </c>
    </row>
    <row r="1909" spans="1:2" x14ac:dyDescent="0.25">
      <c r="A1909" s="1">
        <v>0.33386009259259258</v>
      </c>
      <c r="B1909" t="s">
        <v>51</v>
      </c>
    </row>
    <row r="1910" spans="1:2" x14ac:dyDescent="0.25">
      <c r="A1910" s="1">
        <v>0.33385803240740741</v>
      </c>
      <c r="B1910" t="s">
        <v>52</v>
      </c>
    </row>
    <row r="1911" spans="1:2" x14ac:dyDescent="0.25">
      <c r="A1911" s="1">
        <v>0.33385770833333334</v>
      </c>
      <c r="B1911" t="s">
        <v>51</v>
      </c>
    </row>
    <row r="1912" spans="1:2" x14ac:dyDescent="0.25">
      <c r="A1912" s="1">
        <v>0.33385359953703703</v>
      </c>
      <c r="B1912" t="s">
        <v>51</v>
      </c>
    </row>
    <row r="1913" spans="1:2" x14ac:dyDescent="0.25">
      <c r="A1913" s="1">
        <v>0.33385127314814816</v>
      </c>
      <c r="B1913" t="s">
        <v>52</v>
      </c>
    </row>
    <row r="1914" spans="1:2" x14ac:dyDescent="0.25">
      <c r="A1914" s="1">
        <v>0.33385094907407403</v>
      </c>
      <c r="B1914" t="s">
        <v>51</v>
      </c>
    </row>
    <row r="1915" spans="1:2" x14ac:dyDescent="0.25">
      <c r="A1915" s="1">
        <v>0.33385072916666664</v>
      </c>
      <c r="B1915" t="s">
        <v>52</v>
      </c>
    </row>
    <row r="1916" spans="1:2" x14ac:dyDescent="0.25">
      <c r="A1916" s="1">
        <v>0.33384962962962961</v>
      </c>
      <c r="B1916" t="s">
        <v>52</v>
      </c>
    </row>
    <row r="1917" spans="1:2" x14ac:dyDescent="0.25">
      <c r="A1917" s="1">
        <v>0.33384947916666668</v>
      </c>
      <c r="B1917" t="s">
        <v>53</v>
      </c>
    </row>
    <row r="1918" spans="1:2" x14ac:dyDescent="0.25">
      <c r="A1918" s="1">
        <v>0.33384766203703703</v>
      </c>
      <c r="B1918" t="s">
        <v>52</v>
      </c>
    </row>
    <row r="1919" spans="1:2" x14ac:dyDescent="0.25">
      <c r="A1919" s="1">
        <v>0.33384564814814816</v>
      </c>
      <c r="B1919" t="s">
        <v>51</v>
      </c>
    </row>
    <row r="1920" spans="1:2" x14ac:dyDescent="0.25">
      <c r="A1920" s="1">
        <v>0.33384451388888886</v>
      </c>
      <c r="B1920" t="s">
        <v>53</v>
      </c>
    </row>
    <row r="1921" spans="1:2" x14ac:dyDescent="0.25">
      <c r="A1921" s="1">
        <v>0.33384371527777779</v>
      </c>
      <c r="B1921" t="s">
        <v>51</v>
      </c>
    </row>
    <row r="1922" spans="1:2" x14ac:dyDescent="0.25">
      <c r="A1922" s="1">
        <v>0.3338434837962963</v>
      </c>
      <c r="B1922" t="s">
        <v>53</v>
      </c>
    </row>
    <row r="1923" spans="1:2" x14ac:dyDescent="0.25">
      <c r="A1923" s="1">
        <v>0.33384313657407411</v>
      </c>
      <c r="B1923" t="s">
        <v>53</v>
      </c>
    </row>
    <row r="1924" spans="1:2" x14ac:dyDescent="0.25">
      <c r="A1924" s="1">
        <v>0.33384311342592593</v>
      </c>
      <c r="B1924" t="s">
        <v>52</v>
      </c>
    </row>
    <row r="1925" spans="1:2" x14ac:dyDescent="0.25">
      <c r="A1925" s="1">
        <v>0.33384290509259262</v>
      </c>
      <c r="B1925" t="s">
        <v>52</v>
      </c>
    </row>
    <row r="1926" spans="1:2" x14ac:dyDescent="0.25">
      <c r="A1926" s="1">
        <v>0.33384233796296298</v>
      </c>
      <c r="B1926" t="s">
        <v>53</v>
      </c>
    </row>
    <row r="1927" spans="1:2" x14ac:dyDescent="0.25">
      <c r="A1927" s="1">
        <v>0.33384221064814817</v>
      </c>
      <c r="B1927" t="s">
        <v>52</v>
      </c>
    </row>
    <row r="1928" spans="1:2" x14ac:dyDescent="0.25">
      <c r="A1928" s="1">
        <v>0.33383807870370369</v>
      </c>
      <c r="B1928" t="s">
        <v>51</v>
      </c>
    </row>
    <row r="1929" spans="1:2" x14ac:dyDescent="0.25">
      <c r="A1929" s="1">
        <v>0.33383711805555555</v>
      </c>
      <c r="B1929" t="s">
        <v>51</v>
      </c>
    </row>
    <row r="1930" spans="1:2" x14ac:dyDescent="0.25">
      <c r="A1930" s="1">
        <v>0.33383537037037042</v>
      </c>
      <c r="B1930" t="s">
        <v>52</v>
      </c>
    </row>
    <row r="1931" spans="1:2" x14ac:dyDescent="0.25">
      <c r="A1931" s="1">
        <v>0.33383011574074078</v>
      </c>
      <c r="B1931" t="s">
        <v>53</v>
      </c>
    </row>
    <row r="1932" spans="1:2" x14ac:dyDescent="0.25">
      <c r="A1932" s="1">
        <v>0.33382895833333337</v>
      </c>
      <c r="B1932" t="s">
        <v>53</v>
      </c>
    </row>
    <row r="1933" spans="1:2" x14ac:dyDescent="0.25">
      <c r="A1933" s="1">
        <v>0.33382655092592595</v>
      </c>
      <c r="B1933" t="s">
        <v>52</v>
      </c>
    </row>
    <row r="1934" spans="1:2" x14ac:dyDescent="0.25">
      <c r="A1934" s="1">
        <v>0.3338260300925926</v>
      </c>
      <c r="B1934" t="s">
        <v>53</v>
      </c>
    </row>
    <row r="1935" spans="1:2" x14ac:dyDescent="0.25">
      <c r="A1935" s="1">
        <v>0.33382523148148152</v>
      </c>
      <c r="B1935" t="s">
        <v>52</v>
      </c>
    </row>
    <row r="1936" spans="1:2" x14ac:dyDescent="0.25">
      <c r="A1936" s="1">
        <v>0.33382523148148152</v>
      </c>
      <c r="B1936" t="s">
        <v>53</v>
      </c>
    </row>
    <row r="1937" spans="1:2" x14ac:dyDescent="0.25">
      <c r="A1937" s="1">
        <v>0.33382509259259258</v>
      </c>
      <c r="B1937" t="s">
        <v>51</v>
      </c>
    </row>
    <row r="1938" spans="1:2" x14ac:dyDescent="0.25">
      <c r="A1938" s="1">
        <v>0.33382462962962967</v>
      </c>
      <c r="B1938" t="s">
        <v>53</v>
      </c>
    </row>
    <row r="1939" spans="1:2" x14ac:dyDescent="0.25">
      <c r="A1939" s="1">
        <v>0.3338214814814815</v>
      </c>
      <c r="B1939" t="s">
        <v>53</v>
      </c>
    </row>
    <row r="1940" spans="1:2" x14ac:dyDescent="0.25">
      <c r="A1940" s="1">
        <v>0.33382075231481484</v>
      </c>
      <c r="B1940" t="s">
        <v>53</v>
      </c>
    </row>
    <row r="1941" spans="1:2" x14ac:dyDescent="0.25">
      <c r="A1941" s="1">
        <v>0.33381700231481481</v>
      </c>
      <c r="B1941" t="s">
        <v>53</v>
      </c>
    </row>
    <row r="1942" spans="1:2" x14ac:dyDescent="0.25">
      <c r="A1942" s="1">
        <v>0.33381604166666667</v>
      </c>
      <c r="B1942" t="s">
        <v>51</v>
      </c>
    </row>
    <row r="1943" spans="1:2" x14ac:dyDescent="0.25">
      <c r="A1943" s="1">
        <v>0.33381520833333328</v>
      </c>
      <c r="B1943" t="s">
        <v>52</v>
      </c>
    </row>
    <row r="1944" spans="1:2" x14ac:dyDescent="0.25">
      <c r="A1944" s="1">
        <v>0.33381424768518514</v>
      </c>
      <c r="B1944" t="s">
        <v>52</v>
      </c>
    </row>
    <row r="1945" spans="1:2" x14ac:dyDescent="0.25">
      <c r="A1945" s="1">
        <v>0.33381297453703707</v>
      </c>
      <c r="B1945" t="s">
        <v>53</v>
      </c>
    </row>
    <row r="1946" spans="1:2" x14ac:dyDescent="0.25">
      <c r="A1946" s="1">
        <v>0.33381200231481478</v>
      </c>
      <c r="B1946" t="s">
        <v>51</v>
      </c>
    </row>
    <row r="1947" spans="1:2" x14ac:dyDescent="0.25">
      <c r="A1947" s="1">
        <v>0.33381138888888889</v>
      </c>
      <c r="B1947" t="s">
        <v>51</v>
      </c>
    </row>
    <row r="1948" spans="1:2" x14ac:dyDescent="0.25">
      <c r="A1948" s="1">
        <v>0.33381041666666667</v>
      </c>
      <c r="B1948" t="s">
        <v>53</v>
      </c>
    </row>
    <row r="1949" spans="1:2" x14ac:dyDescent="0.25">
      <c r="A1949" s="1">
        <v>0.33380592592592589</v>
      </c>
      <c r="B1949" t="s">
        <v>51</v>
      </c>
    </row>
    <row r="1950" spans="1:2" x14ac:dyDescent="0.25">
      <c r="A1950" s="1">
        <v>0.33380534722222222</v>
      </c>
      <c r="B1950" t="s">
        <v>51</v>
      </c>
    </row>
    <row r="1951" spans="1:2" x14ac:dyDescent="0.25">
      <c r="A1951" s="1">
        <v>0.33380534722222222</v>
      </c>
      <c r="B1951" t="s">
        <v>51</v>
      </c>
    </row>
    <row r="1952" spans="1:2" x14ac:dyDescent="0.25">
      <c r="A1952" s="1">
        <v>0.33380268518518519</v>
      </c>
      <c r="B1952" t="s">
        <v>52</v>
      </c>
    </row>
    <row r="1953" spans="1:2" x14ac:dyDescent="0.25">
      <c r="A1953" s="1">
        <v>0.33380223379629631</v>
      </c>
      <c r="B1953" t="s">
        <v>52</v>
      </c>
    </row>
    <row r="1954" spans="1:2" x14ac:dyDescent="0.25">
      <c r="A1954" s="1">
        <v>0.33380156249999998</v>
      </c>
      <c r="B1954" t="s">
        <v>51</v>
      </c>
    </row>
    <row r="1955" spans="1:2" x14ac:dyDescent="0.25">
      <c r="A1955" s="1">
        <v>0.33379928240740742</v>
      </c>
      <c r="B1955" t="s">
        <v>51</v>
      </c>
    </row>
    <row r="1956" spans="1:2" x14ac:dyDescent="0.25">
      <c r="A1956" s="1">
        <v>0.33379836805555557</v>
      </c>
      <c r="B1956" t="s">
        <v>51</v>
      </c>
    </row>
    <row r="1957" spans="1:2" x14ac:dyDescent="0.25">
      <c r="A1957" s="1">
        <v>0.33379677083333337</v>
      </c>
      <c r="B1957" t="s">
        <v>51</v>
      </c>
    </row>
    <row r="1958" spans="1:2" x14ac:dyDescent="0.25">
      <c r="A1958" s="1">
        <v>0.33379372685185182</v>
      </c>
      <c r="B1958" t="s">
        <v>51</v>
      </c>
    </row>
    <row r="1959" spans="1:2" x14ac:dyDescent="0.25">
      <c r="A1959" s="1">
        <v>0.33379217592592592</v>
      </c>
      <c r="B1959" t="s">
        <v>51</v>
      </c>
    </row>
    <row r="1960" spans="1:2" x14ac:dyDescent="0.25">
      <c r="A1960" s="1">
        <v>0.33379184027777775</v>
      </c>
      <c r="B1960" t="s">
        <v>52</v>
      </c>
    </row>
    <row r="1961" spans="1:2" x14ac:dyDescent="0.25">
      <c r="A1961" s="1">
        <v>0.33379114583333336</v>
      </c>
      <c r="B1961" t="s">
        <v>52</v>
      </c>
    </row>
    <row r="1962" spans="1:2" x14ac:dyDescent="0.25">
      <c r="A1962" s="1">
        <v>0.33379099537037038</v>
      </c>
      <c r="B1962" t="s">
        <v>53</v>
      </c>
    </row>
    <row r="1963" spans="1:2" x14ac:dyDescent="0.25">
      <c r="A1963" s="1">
        <v>0.33378945601851856</v>
      </c>
      <c r="B1963" t="s">
        <v>52</v>
      </c>
    </row>
    <row r="1964" spans="1:2" x14ac:dyDescent="0.25">
      <c r="A1964" s="1">
        <v>0.33378605324074079</v>
      </c>
      <c r="B1964" t="s">
        <v>52</v>
      </c>
    </row>
    <row r="1965" spans="1:2" x14ac:dyDescent="0.25">
      <c r="A1965" s="1">
        <v>0.33378427083333334</v>
      </c>
      <c r="B1965" t="s">
        <v>51</v>
      </c>
    </row>
    <row r="1966" spans="1:2" x14ac:dyDescent="0.25">
      <c r="A1966" s="1">
        <v>0.3337828356481482</v>
      </c>
      <c r="B1966" t="s">
        <v>52</v>
      </c>
    </row>
    <row r="1967" spans="1:2" x14ac:dyDescent="0.25">
      <c r="A1967" s="1">
        <v>0.33378140046296295</v>
      </c>
      <c r="B1967" t="s">
        <v>53</v>
      </c>
    </row>
    <row r="1968" spans="1:2" x14ac:dyDescent="0.25">
      <c r="A1968" s="1">
        <v>0.33377641203703701</v>
      </c>
      <c r="B1968" t="s">
        <v>51</v>
      </c>
    </row>
    <row r="1969" spans="1:2" x14ac:dyDescent="0.25">
      <c r="A1969" s="1">
        <v>0.33377638888888889</v>
      </c>
      <c r="B1969" t="s">
        <v>52</v>
      </c>
    </row>
    <row r="1970" spans="1:2" x14ac:dyDescent="0.25">
      <c r="A1970" s="1">
        <v>0.33377538194444445</v>
      </c>
      <c r="B1970" t="s">
        <v>52</v>
      </c>
    </row>
    <row r="1971" spans="1:2" x14ac:dyDescent="0.25">
      <c r="A1971" s="1">
        <v>0.33377429398148145</v>
      </c>
      <c r="B1971" t="s">
        <v>51</v>
      </c>
    </row>
    <row r="1972" spans="1:2" x14ac:dyDescent="0.25">
      <c r="A1972" s="1">
        <v>0.33377376157407407</v>
      </c>
      <c r="B1972" t="s">
        <v>53</v>
      </c>
    </row>
    <row r="1973" spans="1:2" x14ac:dyDescent="0.25">
      <c r="A1973" s="1">
        <v>0.33376885416666663</v>
      </c>
      <c r="B1973" t="s">
        <v>51</v>
      </c>
    </row>
    <row r="1974" spans="1:2" x14ac:dyDescent="0.25">
      <c r="A1974" s="1">
        <v>0.33376488425925926</v>
      </c>
      <c r="B1974" t="s">
        <v>53</v>
      </c>
    </row>
    <row r="1975" spans="1:2" x14ac:dyDescent="0.25">
      <c r="A1975" s="1">
        <v>0.33376347222222225</v>
      </c>
      <c r="B1975" t="s">
        <v>52</v>
      </c>
    </row>
    <row r="1976" spans="1:2" x14ac:dyDescent="0.25">
      <c r="A1976" s="1">
        <v>0.33376157407407409</v>
      </c>
      <c r="B1976" t="s">
        <v>51</v>
      </c>
    </row>
    <row r="1977" spans="1:2" x14ac:dyDescent="0.25">
      <c r="A1977" s="1">
        <v>0.3337614699074074</v>
      </c>
      <c r="B1977" t="s">
        <v>52</v>
      </c>
    </row>
    <row r="1978" spans="1:2" x14ac:dyDescent="0.25">
      <c r="A1978" s="1">
        <v>0.3337614699074074</v>
      </c>
      <c r="B1978" t="s">
        <v>53</v>
      </c>
    </row>
    <row r="1979" spans="1:2" x14ac:dyDescent="0.25">
      <c r="A1979" s="1">
        <v>0.33376122685185189</v>
      </c>
      <c r="B1979" t="s">
        <v>53</v>
      </c>
    </row>
    <row r="1980" spans="1:2" x14ac:dyDescent="0.25">
      <c r="A1980" s="1">
        <v>0.33375968750000001</v>
      </c>
      <c r="B1980" t="s">
        <v>52</v>
      </c>
    </row>
    <row r="1981" spans="1:2" x14ac:dyDescent="0.25">
      <c r="A1981" s="1">
        <v>0.33375872685185182</v>
      </c>
      <c r="B1981" t="s">
        <v>51</v>
      </c>
    </row>
    <row r="1982" spans="1:2" x14ac:dyDescent="0.25">
      <c r="A1982" s="1">
        <v>0.33375758101851849</v>
      </c>
      <c r="B1982" t="s">
        <v>53</v>
      </c>
    </row>
    <row r="1983" spans="1:2" x14ac:dyDescent="0.25">
      <c r="A1983" s="1">
        <v>0.33375738425925922</v>
      </c>
      <c r="B1983" t="s">
        <v>53</v>
      </c>
    </row>
    <row r="1984" spans="1:2" x14ac:dyDescent="0.25">
      <c r="A1984" s="1">
        <v>0.33375594907407408</v>
      </c>
      <c r="B1984" t="s">
        <v>52</v>
      </c>
    </row>
    <row r="1985" spans="1:2" x14ac:dyDescent="0.25">
      <c r="A1985" s="1">
        <v>0.33374905092592594</v>
      </c>
      <c r="B1985" t="s">
        <v>51</v>
      </c>
    </row>
    <row r="1986" spans="1:2" x14ac:dyDescent="0.25">
      <c r="A1986" s="1">
        <v>0.3337478703703704</v>
      </c>
      <c r="B1986" t="s">
        <v>53</v>
      </c>
    </row>
    <row r="1987" spans="1:2" x14ac:dyDescent="0.25">
      <c r="A1987" s="1">
        <v>0.33374775462962963</v>
      </c>
      <c r="B1987" t="s">
        <v>51</v>
      </c>
    </row>
    <row r="1988" spans="1:2" x14ac:dyDescent="0.25">
      <c r="A1988" s="1">
        <v>0.33374576388888894</v>
      </c>
      <c r="B1988" t="s">
        <v>52</v>
      </c>
    </row>
    <row r="1989" spans="1:2" x14ac:dyDescent="0.25">
      <c r="A1989" s="1">
        <v>0.33374462962962964</v>
      </c>
      <c r="B1989" t="s">
        <v>52</v>
      </c>
    </row>
    <row r="1990" spans="1:2" x14ac:dyDescent="0.25">
      <c r="A1990" s="1">
        <v>0.33374347222222217</v>
      </c>
      <c r="B1990" t="s">
        <v>51</v>
      </c>
    </row>
    <row r="1991" spans="1:2" x14ac:dyDescent="0.25">
      <c r="A1991" s="1">
        <v>0.33374346064814814</v>
      </c>
      <c r="B1991" t="s">
        <v>53</v>
      </c>
    </row>
    <row r="1992" spans="1:2" x14ac:dyDescent="0.25">
      <c r="A1992" s="1">
        <v>0.33374167824074075</v>
      </c>
      <c r="B1992" t="s">
        <v>53</v>
      </c>
    </row>
    <row r="1993" spans="1:2" x14ac:dyDescent="0.25">
      <c r="A1993" s="1">
        <v>0.33374071759259261</v>
      </c>
      <c r="B1993" t="s">
        <v>52</v>
      </c>
    </row>
    <row r="1994" spans="1:2" x14ac:dyDescent="0.25">
      <c r="A1994" s="1">
        <v>0.33373968749999999</v>
      </c>
      <c r="B1994" t="s">
        <v>52</v>
      </c>
    </row>
    <row r="1995" spans="1:2" x14ac:dyDescent="0.25">
      <c r="A1995" s="1">
        <v>0.333738125</v>
      </c>
      <c r="B1995" t="s">
        <v>52</v>
      </c>
    </row>
    <row r="1996" spans="1:2" x14ac:dyDescent="0.25">
      <c r="A1996" s="1">
        <v>0.33373780092592592</v>
      </c>
      <c r="B1996" t="s">
        <v>51</v>
      </c>
    </row>
    <row r="1997" spans="1:2" x14ac:dyDescent="0.25">
      <c r="A1997" s="1">
        <v>0.33373563657407407</v>
      </c>
      <c r="B1997" t="s">
        <v>53</v>
      </c>
    </row>
    <row r="1998" spans="1:2" x14ac:dyDescent="0.25">
      <c r="A1998" s="1">
        <v>0.3337327430555555</v>
      </c>
      <c r="B1998" t="s">
        <v>52</v>
      </c>
    </row>
    <row r="1999" spans="1:2" x14ac:dyDescent="0.25">
      <c r="A1999" s="1">
        <v>0.33373209490740741</v>
      </c>
      <c r="B1999" t="s">
        <v>53</v>
      </c>
    </row>
    <row r="2000" spans="1:2" x14ac:dyDescent="0.25">
      <c r="A2000" s="1">
        <v>0.3337301157407408</v>
      </c>
      <c r="B2000" t="s">
        <v>53</v>
      </c>
    </row>
    <row r="2001" spans="1:2" x14ac:dyDescent="0.25">
      <c r="A2001" s="1">
        <v>0.33372740740740742</v>
      </c>
      <c r="B2001" t="s">
        <v>51</v>
      </c>
    </row>
    <row r="2002" spans="1:2" x14ac:dyDescent="0.25">
      <c r="A2002" s="1">
        <v>0.33372655092592596</v>
      </c>
      <c r="B2002" t="s">
        <v>51</v>
      </c>
    </row>
    <row r="2003" spans="1:2" x14ac:dyDescent="0.25">
      <c r="A2003" s="1">
        <v>0.33372645833333331</v>
      </c>
      <c r="B2003" t="s">
        <v>51</v>
      </c>
    </row>
    <row r="2004" spans="1:2" x14ac:dyDescent="0.25">
      <c r="A2004" s="1">
        <v>0.33372524305555556</v>
      </c>
      <c r="B2004" t="s">
        <v>53</v>
      </c>
    </row>
    <row r="2005" spans="1:2" x14ac:dyDescent="0.25">
      <c r="A2005" s="1">
        <v>0.33372390046296291</v>
      </c>
      <c r="B2005" t="s">
        <v>52</v>
      </c>
    </row>
    <row r="2006" spans="1:2" x14ac:dyDescent="0.25">
      <c r="A2006" s="1">
        <v>0.33372163194444443</v>
      </c>
      <c r="B2006" t="s">
        <v>51</v>
      </c>
    </row>
    <row r="2007" spans="1:2" x14ac:dyDescent="0.25">
      <c r="A2007" s="1">
        <v>0.33372053240740746</v>
      </c>
      <c r="B2007" t="s">
        <v>53</v>
      </c>
    </row>
    <row r="2008" spans="1:2" x14ac:dyDescent="0.25">
      <c r="A2008" s="1">
        <v>0.33371967592592594</v>
      </c>
      <c r="B2008" t="s">
        <v>53</v>
      </c>
    </row>
    <row r="2009" spans="1:2" x14ac:dyDescent="0.25">
      <c r="A2009" s="1">
        <v>0.33371881944444448</v>
      </c>
      <c r="B2009" t="s">
        <v>52</v>
      </c>
    </row>
    <row r="2010" spans="1:2" x14ac:dyDescent="0.25">
      <c r="A2010" s="1">
        <v>0.33371525462962964</v>
      </c>
      <c r="B2010" t="s">
        <v>53</v>
      </c>
    </row>
    <row r="2011" spans="1:2" x14ac:dyDescent="0.25">
      <c r="A2011" s="1">
        <v>0.33371440972222222</v>
      </c>
      <c r="B2011" t="s">
        <v>51</v>
      </c>
    </row>
    <row r="2012" spans="1:2" x14ac:dyDescent="0.25">
      <c r="A2012" s="1">
        <v>0.33371248842592593</v>
      </c>
      <c r="B2012" t="s">
        <v>53</v>
      </c>
    </row>
    <row r="2013" spans="1:2" x14ac:dyDescent="0.25">
      <c r="A2013" s="1">
        <v>0.33371224537037042</v>
      </c>
      <c r="B2013" t="s">
        <v>51</v>
      </c>
    </row>
    <row r="2014" spans="1:2" x14ac:dyDescent="0.25">
      <c r="A2014" s="1">
        <v>0.33371107638888886</v>
      </c>
      <c r="B2014" t="s">
        <v>52</v>
      </c>
    </row>
    <row r="2015" spans="1:2" x14ac:dyDescent="0.25">
      <c r="A2015" s="1">
        <v>0.33370655092592588</v>
      </c>
      <c r="B2015" t="s">
        <v>53</v>
      </c>
    </row>
    <row r="2016" spans="1:2" x14ac:dyDescent="0.25">
      <c r="A2016" s="1">
        <v>0.33370611111111109</v>
      </c>
      <c r="B2016" t="s">
        <v>52</v>
      </c>
    </row>
    <row r="2017" spans="1:2" x14ac:dyDescent="0.25">
      <c r="A2017" s="1">
        <v>0.33370583333333337</v>
      </c>
      <c r="B2017" t="s">
        <v>52</v>
      </c>
    </row>
    <row r="2018" spans="1:2" x14ac:dyDescent="0.25">
      <c r="A2018" s="1">
        <v>0.33370560185185183</v>
      </c>
      <c r="B2018" t="s">
        <v>51</v>
      </c>
    </row>
    <row r="2019" spans="1:2" x14ac:dyDescent="0.25">
      <c r="A2019" s="1">
        <v>0.33370468749999999</v>
      </c>
      <c r="B2019" t="s">
        <v>51</v>
      </c>
    </row>
    <row r="2020" spans="1:2" x14ac:dyDescent="0.25">
      <c r="A2020" s="1">
        <v>0.3337040277777778</v>
      </c>
      <c r="B2020" t="s">
        <v>53</v>
      </c>
    </row>
    <row r="2021" spans="1:2" x14ac:dyDescent="0.25">
      <c r="A2021" s="1">
        <v>0.33370258101851852</v>
      </c>
      <c r="B2021" t="s">
        <v>51</v>
      </c>
    </row>
    <row r="2022" spans="1:2" x14ac:dyDescent="0.25">
      <c r="A2022" s="1">
        <v>0.33370104166666664</v>
      </c>
      <c r="B2022" t="s">
        <v>51</v>
      </c>
    </row>
    <row r="2023" spans="1:2" x14ac:dyDescent="0.25">
      <c r="A2023" s="1">
        <v>0.33370019675925927</v>
      </c>
      <c r="B2023" t="s">
        <v>53</v>
      </c>
    </row>
    <row r="2024" spans="1:2" x14ac:dyDescent="0.25">
      <c r="A2024" s="1">
        <v>0.33369869212962966</v>
      </c>
      <c r="B2024" t="s">
        <v>51</v>
      </c>
    </row>
    <row r="2025" spans="1:2" x14ac:dyDescent="0.25">
      <c r="A2025" s="1">
        <v>0.33369869212962966</v>
      </c>
      <c r="B2025" t="s">
        <v>52</v>
      </c>
    </row>
    <row r="2026" spans="1:2" x14ac:dyDescent="0.25">
      <c r="A2026" s="1">
        <v>0.3336986574074074</v>
      </c>
      <c r="B2026" t="s">
        <v>52</v>
      </c>
    </row>
    <row r="2027" spans="1:2" x14ac:dyDescent="0.25">
      <c r="A2027" s="1">
        <v>0.33369789351851847</v>
      </c>
      <c r="B2027" t="s">
        <v>51</v>
      </c>
    </row>
    <row r="2028" spans="1:2" x14ac:dyDescent="0.25">
      <c r="A2028" s="1">
        <v>0.33369778935185185</v>
      </c>
      <c r="B2028" t="s">
        <v>51</v>
      </c>
    </row>
    <row r="2029" spans="1:2" x14ac:dyDescent="0.25">
      <c r="A2029" s="1">
        <v>0.33369688657407409</v>
      </c>
      <c r="B2029" t="s">
        <v>51</v>
      </c>
    </row>
    <row r="2030" spans="1:2" x14ac:dyDescent="0.25">
      <c r="A2030" s="1">
        <v>0.33369627314814815</v>
      </c>
      <c r="B2030" t="s">
        <v>51</v>
      </c>
    </row>
    <row r="2031" spans="1:2" x14ac:dyDescent="0.25">
      <c r="A2031" s="1">
        <v>0.33369542824074072</v>
      </c>
      <c r="B2031" t="s">
        <v>51</v>
      </c>
    </row>
    <row r="2032" spans="1:2" x14ac:dyDescent="0.25">
      <c r="A2032" s="1">
        <v>0.33369381944444448</v>
      </c>
      <c r="B2032" t="s">
        <v>52</v>
      </c>
    </row>
    <row r="2033" spans="1:2" x14ac:dyDescent="0.25">
      <c r="A2033" s="1">
        <v>0.33369239583333332</v>
      </c>
      <c r="B2033" t="s">
        <v>51</v>
      </c>
    </row>
    <row r="2034" spans="1:2" x14ac:dyDescent="0.25">
      <c r="A2034" s="1">
        <v>0.33369230324074078</v>
      </c>
      <c r="B2034" t="s">
        <v>53</v>
      </c>
    </row>
    <row r="2035" spans="1:2" x14ac:dyDescent="0.25">
      <c r="A2035" s="1">
        <v>0.33368975694444442</v>
      </c>
      <c r="B2035" t="s">
        <v>51</v>
      </c>
    </row>
    <row r="2036" spans="1:2" x14ac:dyDescent="0.25">
      <c r="A2036" s="1">
        <v>0.3336895601851852</v>
      </c>
      <c r="B2036" t="s">
        <v>53</v>
      </c>
    </row>
    <row r="2037" spans="1:2" x14ac:dyDescent="0.25">
      <c r="A2037" s="1">
        <v>0.33368910879629632</v>
      </c>
      <c r="B2037" t="s">
        <v>52</v>
      </c>
    </row>
    <row r="2038" spans="1:2" x14ac:dyDescent="0.25">
      <c r="A2038" s="1">
        <v>0.33368619212962963</v>
      </c>
      <c r="B2038" t="s">
        <v>51</v>
      </c>
    </row>
    <row r="2039" spans="1:2" x14ac:dyDescent="0.25">
      <c r="A2039" s="1">
        <v>0.33368424768518518</v>
      </c>
      <c r="B2039" t="s">
        <v>51</v>
      </c>
    </row>
    <row r="2040" spans="1:2" x14ac:dyDescent="0.25">
      <c r="A2040" s="1">
        <v>0.33368383101851856</v>
      </c>
      <c r="B2040" t="s">
        <v>52</v>
      </c>
    </row>
    <row r="2041" spans="1:2" x14ac:dyDescent="0.25">
      <c r="A2041" s="1">
        <v>0.33368299768518517</v>
      </c>
      <c r="B2041" t="s">
        <v>52</v>
      </c>
    </row>
    <row r="2042" spans="1:2" x14ac:dyDescent="0.25">
      <c r="A2042" s="1">
        <v>0.33368217592592592</v>
      </c>
      <c r="B2042" t="s">
        <v>51</v>
      </c>
    </row>
    <row r="2043" spans="1:2" x14ac:dyDescent="0.25">
      <c r="A2043" s="1">
        <v>0.33368156250000003</v>
      </c>
      <c r="B2043" t="s">
        <v>51</v>
      </c>
    </row>
    <row r="2044" spans="1:2" x14ac:dyDescent="0.25">
      <c r="A2044" s="1">
        <v>0.33367928240740746</v>
      </c>
      <c r="B2044" t="s">
        <v>52</v>
      </c>
    </row>
    <row r="2045" spans="1:2" x14ac:dyDescent="0.25">
      <c r="A2045" s="1">
        <v>0.33367754629629626</v>
      </c>
      <c r="B2045" t="s">
        <v>53</v>
      </c>
    </row>
    <row r="2046" spans="1:2" x14ac:dyDescent="0.25">
      <c r="A2046" s="1">
        <v>0.33367582175925925</v>
      </c>
      <c r="B2046" t="s">
        <v>52</v>
      </c>
    </row>
    <row r="2047" spans="1:2" x14ac:dyDescent="0.25">
      <c r="A2047" s="1">
        <v>0.33367569444444439</v>
      </c>
      <c r="B2047" t="s">
        <v>52</v>
      </c>
    </row>
    <row r="2048" spans="1:2" x14ac:dyDescent="0.25">
      <c r="A2048" s="1">
        <v>0.33367539351851855</v>
      </c>
      <c r="B2048" t="s">
        <v>52</v>
      </c>
    </row>
    <row r="2049" spans="1:2" x14ac:dyDescent="0.25">
      <c r="A2049" s="1">
        <v>0.33367406250000003</v>
      </c>
      <c r="B2049" t="s">
        <v>53</v>
      </c>
    </row>
    <row r="2050" spans="1:2" x14ac:dyDescent="0.25">
      <c r="A2050" s="1">
        <v>0.3336737384259259</v>
      </c>
      <c r="B2050" t="s">
        <v>53</v>
      </c>
    </row>
    <row r="2051" spans="1:2" x14ac:dyDescent="0.25">
      <c r="A2051" s="1">
        <v>0.33367314814814814</v>
      </c>
      <c r="B2051" t="s">
        <v>53</v>
      </c>
    </row>
    <row r="2052" spans="1:2" x14ac:dyDescent="0.25">
      <c r="A2052" s="1">
        <v>0.33367229166666662</v>
      </c>
      <c r="B2052" t="s">
        <v>51</v>
      </c>
    </row>
    <row r="2053" spans="1:2" x14ac:dyDescent="0.25">
      <c r="A2053" s="1">
        <v>0.33367112268518517</v>
      </c>
      <c r="B2053" t="s">
        <v>51</v>
      </c>
    </row>
    <row r="2054" spans="1:2" x14ac:dyDescent="0.25">
      <c r="A2054" s="1">
        <v>0.3336705787037037</v>
      </c>
      <c r="B2054" t="s">
        <v>53</v>
      </c>
    </row>
    <row r="2055" spans="1:2" x14ac:dyDescent="0.25">
      <c r="A2055" s="1">
        <v>0.33367017361111112</v>
      </c>
      <c r="B2055" t="s">
        <v>53</v>
      </c>
    </row>
    <row r="2056" spans="1:2" x14ac:dyDescent="0.25">
      <c r="A2056" s="1">
        <v>0.33366973379629633</v>
      </c>
      <c r="B2056" t="s">
        <v>53</v>
      </c>
    </row>
    <row r="2057" spans="1:2" x14ac:dyDescent="0.25">
      <c r="A2057" s="1">
        <v>0.33366968750000003</v>
      </c>
      <c r="B2057" t="s">
        <v>51</v>
      </c>
    </row>
    <row r="2058" spans="1:2" x14ac:dyDescent="0.25">
      <c r="A2058" s="1">
        <v>0.33366937499999999</v>
      </c>
      <c r="B2058" t="s">
        <v>52</v>
      </c>
    </row>
    <row r="2059" spans="1:2" x14ac:dyDescent="0.25">
      <c r="A2059" s="1">
        <v>0.33366821759259263</v>
      </c>
      <c r="B2059" t="s">
        <v>52</v>
      </c>
    </row>
    <row r="2060" spans="1:2" x14ac:dyDescent="0.25">
      <c r="A2060" s="1">
        <v>0.33366806712962965</v>
      </c>
      <c r="B2060" t="s">
        <v>52</v>
      </c>
    </row>
    <row r="2061" spans="1:2" x14ac:dyDescent="0.25">
      <c r="A2061" s="1">
        <v>0.33366518518518523</v>
      </c>
      <c r="B2061" t="s">
        <v>53</v>
      </c>
    </row>
    <row r="2062" spans="1:2" x14ac:dyDescent="0.25">
      <c r="A2062" s="1">
        <v>0.33366453703703702</v>
      </c>
      <c r="B2062" t="s">
        <v>51</v>
      </c>
    </row>
    <row r="2063" spans="1:2" x14ac:dyDescent="0.25">
      <c r="A2063" s="1">
        <v>0.3336623032407407</v>
      </c>
      <c r="B2063" t="s">
        <v>52</v>
      </c>
    </row>
    <row r="2064" spans="1:2" x14ac:dyDescent="0.25">
      <c r="A2064" s="1">
        <v>0.33366167824074072</v>
      </c>
      <c r="B2064" t="s">
        <v>53</v>
      </c>
    </row>
    <row r="2065" spans="1:2" x14ac:dyDescent="0.25">
      <c r="A2065" s="1">
        <v>0.33366069444444446</v>
      </c>
      <c r="B2065" t="s">
        <v>51</v>
      </c>
    </row>
    <row r="2066" spans="1:2" x14ac:dyDescent="0.25">
      <c r="A2066" s="1">
        <v>0.33366025462962962</v>
      </c>
      <c r="B2066" t="s">
        <v>52</v>
      </c>
    </row>
    <row r="2067" spans="1:2" x14ac:dyDescent="0.25">
      <c r="A2067" s="1">
        <v>0.33365679398148146</v>
      </c>
      <c r="B2067" t="s">
        <v>53</v>
      </c>
    </row>
    <row r="2068" spans="1:2" x14ac:dyDescent="0.25">
      <c r="A2068" s="1">
        <v>0.33365584490740741</v>
      </c>
      <c r="B2068" t="s">
        <v>53</v>
      </c>
    </row>
    <row r="2069" spans="1:2" x14ac:dyDescent="0.25">
      <c r="A2069" s="1">
        <v>0.3336558101851852</v>
      </c>
      <c r="B2069" t="s">
        <v>51</v>
      </c>
    </row>
    <row r="2070" spans="1:2" x14ac:dyDescent="0.25">
      <c r="A2070" s="1">
        <v>0.33365481481481485</v>
      </c>
      <c r="B2070" t="s">
        <v>52</v>
      </c>
    </row>
    <row r="2071" spans="1:2" x14ac:dyDescent="0.25">
      <c r="A2071" s="1">
        <v>0.33365461805555557</v>
      </c>
      <c r="B2071" t="s">
        <v>52</v>
      </c>
    </row>
    <row r="2072" spans="1:2" x14ac:dyDescent="0.25">
      <c r="A2072" s="1">
        <v>0.33365259259259261</v>
      </c>
      <c r="B2072" t="s">
        <v>51</v>
      </c>
    </row>
    <row r="2073" spans="1:2" x14ac:dyDescent="0.25">
      <c r="A2073" s="1">
        <v>0.33364828703703703</v>
      </c>
      <c r="B2073" t="s">
        <v>51</v>
      </c>
    </row>
    <row r="2074" spans="1:2" x14ac:dyDescent="0.25">
      <c r="A2074" s="1">
        <v>0.33364659722222223</v>
      </c>
      <c r="B2074" t="s">
        <v>53</v>
      </c>
    </row>
    <row r="2075" spans="1:2" x14ac:dyDescent="0.25">
      <c r="A2075" s="1">
        <v>0.3336454976851852</v>
      </c>
      <c r="B2075" t="s">
        <v>53</v>
      </c>
    </row>
    <row r="2076" spans="1:2" x14ac:dyDescent="0.25">
      <c r="A2076" s="1">
        <v>0.33364533564814813</v>
      </c>
      <c r="B2076" t="s">
        <v>53</v>
      </c>
    </row>
    <row r="2077" spans="1:2" x14ac:dyDescent="0.25">
      <c r="A2077" s="1">
        <v>0.33364394675925929</v>
      </c>
      <c r="B2077" t="s">
        <v>53</v>
      </c>
    </row>
    <row r="2078" spans="1:2" x14ac:dyDescent="0.25">
      <c r="A2078" s="1">
        <v>0.33364222222222223</v>
      </c>
      <c r="B2078" t="s">
        <v>53</v>
      </c>
    </row>
    <row r="2079" spans="1:2" x14ac:dyDescent="0.25">
      <c r="A2079" s="1">
        <v>0.33364208333333334</v>
      </c>
      <c r="B2079" t="s">
        <v>52</v>
      </c>
    </row>
    <row r="2080" spans="1:2" x14ac:dyDescent="0.25">
      <c r="A2080" s="1">
        <v>0.33364140046296292</v>
      </c>
      <c r="B2080" t="s">
        <v>53</v>
      </c>
    </row>
    <row r="2081" spans="1:2" x14ac:dyDescent="0.25">
      <c r="A2081" s="1">
        <v>0.33364127314814818</v>
      </c>
      <c r="B2081" t="s">
        <v>51</v>
      </c>
    </row>
    <row r="2082" spans="1:2" x14ac:dyDescent="0.25">
      <c r="A2082" s="1">
        <v>0.33363971064814812</v>
      </c>
      <c r="B2082" t="s">
        <v>51</v>
      </c>
    </row>
    <row r="2083" spans="1:2" x14ac:dyDescent="0.25">
      <c r="A2083" s="1">
        <v>0.33363884259259263</v>
      </c>
      <c r="B2083" t="s">
        <v>53</v>
      </c>
    </row>
    <row r="2084" spans="1:2" x14ac:dyDescent="0.25">
      <c r="A2084" s="1">
        <v>0.33363843750000005</v>
      </c>
      <c r="B2084" t="s">
        <v>52</v>
      </c>
    </row>
    <row r="2085" spans="1:2" x14ac:dyDescent="0.25">
      <c r="A2085" s="1">
        <v>0.33363550925925928</v>
      </c>
      <c r="B2085" t="s">
        <v>52</v>
      </c>
    </row>
    <row r="2086" spans="1:2" x14ac:dyDescent="0.25">
      <c r="A2086" s="1">
        <v>0.33363524305555559</v>
      </c>
      <c r="B2086" t="s">
        <v>52</v>
      </c>
    </row>
    <row r="2087" spans="1:2" x14ac:dyDescent="0.25">
      <c r="A2087" s="1">
        <v>0.3336348842592593</v>
      </c>
      <c r="B2087" t="s">
        <v>51</v>
      </c>
    </row>
    <row r="2088" spans="1:2" x14ac:dyDescent="0.25">
      <c r="A2088" s="1">
        <v>0.33363443287037037</v>
      </c>
      <c r="B2088" t="s">
        <v>52</v>
      </c>
    </row>
    <row r="2089" spans="1:2" x14ac:dyDescent="0.25">
      <c r="A2089" s="1">
        <v>0.33363378472222222</v>
      </c>
      <c r="B2089" t="s">
        <v>53</v>
      </c>
    </row>
    <row r="2090" spans="1:2" x14ac:dyDescent="0.25">
      <c r="A2090" s="1">
        <v>0.33363208333333333</v>
      </c>
      <c r="B2090" t="s">
        <v>52</v>
      </c>
    </row>
    <row r="2091" spans="1:2" x14ac:dyDescent="0.25">
      <c r="A2091" s="1">
        <v>0.33362802083333332</v>
      </c>
      <c r="B2091" t="s">
        <v>53</v>
      </c>
    </row>
    <row r="2092" spans="1:2" x14ac:dyDescent="0.25">
      <c r="A2092" s="1">
        <v>0.33362597222222218</v>
      </c>
      <c r="B2092" t="s">
        <v>51</v>
      </c>
    </row>
    <row r="2093" spans="1:2" x14ac:dyDescent="0.25">
      <c r="A2093" s="1">
        <v>0.3336248726851852</v>
      </c>
      <c r="B2093" t="s">
        <v>51</v>
      </c>
    </row>
    <row r="2094" spans="1:2" x14ac:dyDescent="0.25">
      <c r="A2094" s="1">
        <v>0.33362371527777773</v>
      </c>
      <c r="B2094" t="s">
        <v>51</v>
      </c>
    </row>
    <row r="2095" spans="1:2" x14ac:dyDescent="0.25">
      <c r="A2095" s="1">
        <v>0.33362224537037038</v>
      </c>
      <c r="B2095" t="s">
        <v>53</v>
      </c>
    </row>
    <row r="2096" spans="1:2" x14ac:dyDescent="0.25">
      <c r="A2096" s="1">
        <v>0.33362211805555558</v>
      </c>
      <c r="B2096" t="s">
        <v>52</v>
      </c>
    </row>
    <row r="2097" spans="1:2" x14ac:dyDescent="0.25">
      <c r="A2097" s="1">
        <v>0.33362123842592589</v>
      </c>
      <c r="B2097" t="s">
        <v>53</v>
      </c>
    </row>
    <row r="2098" spans="1:2" x14ac:dyDescent="0.25">
      <c r="A2098" s="1">
        <v>0.33362013888888886</v>
      </c>
      <c r="B2098" t="s">
        <v>51</v>
      </c>
    </row>
    <row r="2099" spans="1:2" x14ac:dyDescent="0.25">
      <c r="A2099" s="1">
        <v>0.3336150347222222</v>
      </c>
      <c r="B2099" t="s">
        <v>53</v>
      </c>
    </row>
    <row r="2100" spans="1:2" x14ac:dyDescent="0.25">
      <c r="A2100" s="1">
        <v>0.33361337962962961</v>
      </c>
      <c r="B2100" t="s">
        <v>52</v>
      </c>
    </row>
    <row r="2101" spans="1:2" x14ac:dyDescent="0.25">
      <c r="A2101" s="1">
        <v>0.33361335648148144</v>
      </c>
      <c r="B2101" t="s">
        <v>51</v>
      </c>
    </row>
    <row r="2102" spans="1:2" x14ac:dyDescent="0.25">
      <c r="A2102" s="1">
        <v>0.33361002314814819</v>
      </c>
      <c r="B2102" t="s">
        <v>52</v>
      </c>
    </row>
    <row r="2103" spans="1:2" x14ac:dyDescent="0.25">
      <c r="A2103" s="1">
        <v>0.33360960648148147</v>
      </c>
      <c r="B2103" t="s">
        <v>53</v>
      </c>
    </row>
    <row r="2104" spans="1:2" x14ac:dyDescent="0.25">
      <c r="A2104" s="1">
        <v>0.33360959490740738</v>
      </c>
      <c r="B2104" t="s">
        <v>52</v>
      </c>
    </row>
    <row r="2105" spans="1:2" x14ac:dyDescent="0.25">
      <c r="A2105" s="1">
        <v>0.33360648148148148</v>
      </c>
      <c r="B2105" t="s">
        <v>52</v>
      </c>
    </row>
    <row r="2106" spans="1:2" x14ac:dyDescent="0.25">
      <c r="A2106" s="1">
        <v>0.33360575231481482</v>
      </c>
      <c r="B2106" t="s">
        <v>51</v>
      </c>
    </row>
    <row r="2107" spans="1:2" x14ac:dyDescent="0.25">
      <c r="A2107" s="1">
        <v>0.33360488425925922</v>
      </c>
      <c r="B2107" t="s">
        <v>51</v>
      </c>
    </row>
    <row r="2108" spans="1:2" x14ac:dyDescent="0.25">
      <c r="A2108" s="1">
        <v>0.33360263888888886</v>
      </c>
      <c r="B2108" t="s">
        <v>53</v>
      </c>
    </row>
    <row r="2109" spans="1:2" x14ac:dyDescent="0.25">
      <c r="A2109" s="1">
        <v>0.33359677083333333</v>
      </c>
      <c r="B2109" t="s">
        <v>52</v>
      </c>
    </row>
    <row r="2110" spans="1:2" x14ac:dyDescent="0.25">
      <c r="A2110" s="1">
        <v>0.33359603009259259</v>
      </c>
      <c r="B2110" t="s">
        <v>52</v>
      </c>
    </row>
    <row r="2111" spans="1:2" x14ac:dyDescent="0.25">
      <c r="A2111" s="1">
        <v>0.3335942013888889</v>
      </c>
      <c r="B2111" t="s">
        <v>52</v>
      </c>
    </row>
    <row r="2112" spans="1:2" x14ac:dyDescent="0.25">
      <c r="A2112" s="1">
        <v>0.33359381944444449</v>
      </c>
      <c r="B2112" t="s">
        <v>53</v>
      </c>
    </row>
    <row r="2113" spans="1:2" x14ac:dyDescent="0.25">
      <c r="A2113" s="1">
        <v>0.33359296296296298</v>
      </c>
      <c r="B2113" t="s">
        <v>52</v>
      </c>
    </row>
    <row r="2114" spans="1:2" x14ac:dyDescent="0.25">
      <c r="A2114" s="1">
        <v>0.33359219907407406</v>
      </c>
      <c r="B2114" t="s">
        <v>52</v>
      </c>
    </row>
    <row r="2115" spans="1:2" x14ac:dyDescent="0.25">
      <c r="A2115" s="1">
        <v>0.33359215277777782</v>
      </c>
      <c r="B2115" t="s">
        <v>51</v>
      </c>
    </row>
    <row r="2116" spans="1:2" x14ac:dyDescent="0.25">
      <c r="A2116" s="1">
        <v>0.33359108796296294</v>
      </c>
      <c r="B2116" t="s">
        <v>52</v>
      </c>
    </row>
    <row r="2117" spans="1:2" x14ac:dyDescent="0.25">
      <c r="A2117" s="1">
        <v>0.33359091435185184</v>
      </c>
      <c r="B2117" t="s">
        <v>52</v>
      </c>
    </row>
    <row r="2118" spans="1:2" x14ac:dyDescent="0.25">
      <c r="A2118" s="1">
        <v>0.33359078703703698</v>
      </c>
      <c r="B2118" t="s">
        <v>51</v>
      </c>
    </row>
    <row r="2119" spans="1:2" x14ac:dyDescent="0.25">
      <c r="A2119" s="1">
        <v>0.33358493055555555</v>
      </c>
      <c r="B2119" t="s">
        <v>51</v>
      </c>
    </row>
    <row r="2120" spans="1:2" x14ac:dyDescent="0.25">
      <c r="A2120" s="1">
        <v>0.33358297453703706</v>
      </c>
      <c r="B2120" t="s">
        <v>51</v>
      </c>
    </row>
    <row r="2121" spans="1:2" x14ac:dyDescent="0.25">
      <c r="A2121" s="1">
        <v>0.33358021990740738</v>
      </c>
      <c r="B2121" t="s">
        <v>51</v>
      </c>
    </row>
    <row r="2122" spans="1:2" x14ac:dyDescent="0.25">
      <c r="A2122" s="1">
        <v>0.33357918981481482</v>
      </c>
      <c r="B2122" t="s">
        <v>52</v>
      </c>
    </row>
    <row r="2123" spans="1:2" x14ac:dyDescent="0.25">
      <c r="A2123" s="1">
        <v>0.33357416666666667</v>
      </c>
      <c r="B2123" t="s">
        <v>51</v>
      </c>
    </row>
    <row r="2124" spans="1:2" x14ac:dyDescent="0.25">
      <c r="A2124" s="1">
        <v>0.33357204861111112</v>
      </c>
      <c r="B2124" t="s">
        <v>53</v>
      </c>
    </row>
    <row r="2125" spans="1:2" x14ac:dyDescent="0.25">
      <c r="A2125" s="1">
        <v>0.33357105324074077</v>
      </c>
      <c r="B2125" t="s">
        <v>51</v>
      </c>
    </row>
    <row r="2126" spans="1:2" x14ac:dyDescent="0.25">
      <c r="A2126" s="1">
        <v>0.33357094907407409</v>
      </c>
      <c r="B2126" t="s">
        <v>51</v>
      </c>
    </row>
    <row r="2127" spans="1:2" x14ac:dyDescent="0.25">
      <c r="A2127" s="1">
        <v>0.33357021990740737</v>
      </c>
      <c r="B2127" t="s">
        <v>51</v>
      </c>
    </row>
    <row r="2128" spans="1:2" x14ac:dyDescent="0.25">
      <c r="A2128" s="1">
        <v>0.33356927083333332</v>
      </c>
      <c r="B2128" t="s">
        <v>53</v>
      </c>
    </row>
    <row r="2129" spans="1:2" x14ac:dyDescent="0.25">
      <c r="A2129" s="1">
        <v>0.33356719907407406</v>
      </c>
      <c r="B2129" t="s">
        <v>52</v>
      </c>
    </row>
    <row r="2130" spans="1:2" x14ac:dyDescent="0.25">
      <c r="A2130" s="1">
        <v>0.33356422453703699</v>
      </c>
      <c r="B2130" t="s">
        <v>53</v>
      </c>
    </row>
    <row r="2131" spans="1:2" x14ac:dyDescent="0.25">
      <c r="A2131" s="1">
        <v>0.33356137731481478</v>
      </c>
      <c r="B2131" t="s">
        <v>51</v>
      </c>
    </row>
    <row r="2132" spans="1:2" x14ac:dyDescent="0.25">
      <c r="A2132" s="1">
        <v>0.33356082175925922</v>
      </c>
      <c r="B2132" t="s">
        <v>51</v>
      </c>
    </row>
    <row r="2133" spans="1:2" x14ac:dyDescent="0.25">
      <c r="A2133" s="1">
        <v>0.33355766203703707</v>
      </c>
      <c r="B2133" t="s">
        <v>53</v>
      </c>
    </row>
    <row r="2134" spans="1:2" x14ac:dyDescent="0.25">
      <c r="A2134" s="1">
        <v>0.33355725694444444</v>
      </c>
      <c r="B2134" t="s">
        <v>52</v>
      </c>
    </row>
    <row r="2135" spans="1:2" x14ac:dyDescent="0.25">
      <c r="A2135" s="1">
        <v>0.33355682870370368</v>
      </c>
      <c r="B2135" t="s">
        <v>52</v>
      </c>
    </row>
    <row r="2136" spans="1:2" x14ac:dyDescent="0.25">
      <c r="A2136" s="1">
        <v>0.33355518518518518</v>
      </c>
      <c r="B2136" t="s">
        <v>52</v>
      </c>
    </row>
    <row r="2137" spans="1:2" x14ac:dyDescent="0.25">
      <c r="A2137" s="1">
        <v>0.33355223379629634</v>
      </c>
      <c r="B2137" t="s">
        <v>51</v>
      </c>
    </row>
    <row r="2138" spans="1:2" x14ac:dyDescent="0.25">
      <c r="A2138" s="1">
        <v>0.33355162037037034</v>
      </c>
      <c r="B2138" t="s">
        <v>51</v>
      </c>
    </row>
    <row r="2139" spans="1:2" x14ac:dyDescent="0.25">
      <c r="A2139" s="1">
        <v>0.33354953703703699</v>
      </c>
      <c r="B2139" t="s">
        <v>53</v>
      </c>
    </row>
    <row r="2140" spans="1:2" x14ac:dyDescent="0.25">
      <c r="A2140" s="1">
        <v>0.33354629629629629</v>
      </c>
      <c r="B2140" t="s">
        <v>51</v>
      </c>
    </row>
    <row r="2141" spans="1:2" x14ac:dyDescent="0.25">
      <c r="A2141" s="1">
        <v>0.33354601851851856</v>
      </c>
      <c r="B2141" t="s">
        <v>53</v>
      </c>
    </row>
    <row r="2142" spans="1:2" x14ac:dyDescent="0.25">
      <c r="A2142" s="1">
        <v>0.33354537037037035</v>
      </c>
      <c r="B2142" t="s">
        <v>51</v>
      </c>
    </row>
    <row r="2143" spans="1:2" x14ac:dyDescent="0.25">
      <c r="A2143" s="1">
        <v>0.33354491898148148</v>
      </c>
      <c r="B2143" t="s">
        <v>52</v>
      </c>
    </row>
    <row r="2144" spans="1:2" x14ac:dyDescent="0.25">
      <c r="A2144" s="1">
        <v>0.33354421296296294</v>
      </c>
      <c r="B2144" t="s">
        <v>52</v>
      </c>
    </row>
    <row r="2145" spans="1:2" x14ac:dyDescent="0.25">
      <c r="A2145" s="1">
        <v>0.33354409722222217</v>
      </c>
      <c r="B2145" t="s">
        <v>52</v>
      </c>
    </row>
    <row r="2146" spans="1:2" x14ac:dyDescent="0.25">
      <c r="A2146" s="1">
        <v>0.33354400462962963</v>
      </c>
      <c r="B2146" t="s">
        <v>53</v>
      </c>
    </row>
    <row r="2147" spans="1:2" x14ac:dyDescent="0.25">
      <c r="A2147" s="1">
        <v>0.33354362268518517</v>
      </c>
      <c r="B2147" t="s">
        <v>51</v>
      </c>
    </row>
    <row r="2148" spans="1:2" x14ac:dyDescent="0.25">
      <c r="A2148" s="1">
        <v>0.33354276620370366</v>
      </c>
      <c r="B2148" t="s">
        <v>53</v>
      </c>
    </row>
    <row r="2149" spans="1:2" x14ac:dyDescent="0.25">
      <c r="A2149" s="1">
        <v>0.3335417361111111</v>
      </c>
      <c r="B2149" t="s">
        <v>52</v>
      </c>
    </row>
    <row r="2150" spans="1:2" x14ac:dyDescent="0.25">
      <c r="A2150" s="1">
        <v>0.3335411342592593</v>
      </c>
      <c r="B2150" t="s">
        <v>51</v>
      </c>
    </row>
    <row r="2151" spans="1:2" x14ac:dyDescent="0.25">
      <c r="A2151" s="1">
        <v>0.33354034722222226</v>
      </c>
      <c r="B2151" t="s">
        <v>53</v>
      </c>
    </row>
    <row r="2152" spans="1:2" x14ac:dyDescent="0.25">
      <c r="A2152" s="1">
        <v>0.33353968750000001</v>
      </c>
      <c r="B2152" t="s">
        <v>53</v>
      </c>
    </row>
    <row r="2153" spans="1:2" x14ac:dyDescent="0.25">
      <c r="A2153" s="1">
        <v>0.33353947916666665</v>
      </c>
      <c r="B2153" t="s">
        <v>51</v>
      </c>
    </row>
    <row r="2154" spans="1:2" x14ac:dyDescent="0.25">
      <c r="A2154" s="1">
        <v>0.33353869212962967</v>
      </c>
      <c r="B2154" t="s">
        <v>52</v>
      </c>
    </row>
    <row r="2155" spans="1:2" x14ac:dyDescent="0.25">
      <c r="A2155" s="1">
        <v>0.33353804398148146</v>
      </c>
      <c r="B2155" t="s">
        <v>53</v>
      </c>
    </row>
    <row r="2156" spans="1:2" x14ac:dyDescent="0.25">
      <c r="A2156" s="1">
        <v>0.33353667824074074</v>
      </c>
      <c r="B2156" t="s">
        <v>51</v>
      </c>
    </row>
    <row r="2157" spans="1:2" x14ac:dyDescent="0.25">
      <c r="A2157" s="1">
        <v>0.33353495370370373</v>
      </c>
      <c r="B2157" t="s">
        <v>51</v>
      </c>
    </row>
    <row r="2158" spans="1:2" x14ac:dyDescent="0.25">
      <c r="A2158" s="1">
        <v>0.33353494212962964</v>
      </c>
      <c r="B2158" t="s">
        <v>52</v>
      </c>
    </row>
    <row r="2159" spans="1:2" x14ac:dyDescent="0.25">
      <c r="A2159" s="1">
        <v>0.33353277777777773</v>
      </c>
      <c r="B2159" t="s">
        <v>53</v>
      </c>
    </row>
    <row r="2160" spans="1:2" x14ac:dyDescent="0.25">
      <c r="A2160" s="1">
        <v>0.33353056712962964</v>
      </c>
      <c r="B2160" t="s">
        <v>52</v>
      </c>
    </row>
    <row r="2161" spans="1:2" x14ac:dyDescent="0.25">
      <c r="A2161" s="1">
        <v>0.33352952546296294</v>
      </c>
      <c r="B2161" t="s">
        <v>53</v>
      </c>
    </row>
    <row r="2162" spans="1:2" x14ac:dyDescent="0.25">
      <c r="A2162" s="1">
        <v>0.33352611111111113</v>
      </c>
      <c r="B2162" t="s">
        <v>53</v>
      </c>
    </row>
    <row r="2163" spans="1:2" x14ac:dyDescent="0.25">
      <c r="A2163" s="1">
        <v>0.3335251041666667</v>
      </c>
      <c r="B2163" t="s">
        <v>52</v>
      </c>
    </row>
    <row r="2164" spans="1:2" x14ac:dyDescent="0.25">
      <c r="A2164" s="1">
        <v>0.33352424768518518</v>
      </c>
      <c r="B2164" t="s">
        <v>51</v>
      </c>
    </row>
    <row r="2165" spans="1:2" x14ac:dyDescent="0.25">
      <c r="A2165" s="1">
        <v>0.33352078703703708</v>
      </c>
      <c r="B2165" t="s">
        <v>52</v>
      </c>
    </row>
    <row r="2166" spans="1:2" x14ac:dyDescent="0.25">
      <c r="A2166" s="1">
        <v>0.33351909722222223</v>
      </c>
      <c r="B2166" t="s">
        <v>51</v>
      </c>
    </row>
    <row r="2167" spans="1:2" x14ac:dyDescent="0.25">
      <c r="A2167" s="1">
        <v>0.33351646990740741</v>
      </c>
      <c r="B2167" t="s">
        <v>51</v>
      </c>
    </row>
    <row r="2168" spans="1:2" x14ac:dyDescent="0.25">
      <c r="A2168" s="1">
        <v>0.33351545138888888</v>
      </c>
      <c r="B2168" t="s">
        <v>51</v>
      </c>
    </row>
    <row r="2169" spans="1:2" x14ac:dyDescent="0.25">
      <c r="A2169" s="1">
        <v>0.3335152662037037</v>
      </c>
      <c r="B2169" t="s">
        <v>51</v>
      </c>
    </row>
    <row r="2170" spans="1:2" x14ac:dyDescent="0.25">
      <c r="A2170" s="1">
        <v>0.33351380787037038</v>
      </c>
      <c r="B2170" t="s">
        <v>52</v>
      </c>
    </row>
    <row r="2171" spans="1:2" x14ac:dyDescent="0.25">
      <c r="A2171" s="1">
        <v>0.33351086805555558</v>
      </c>
      <c r="B2171" t="s">
        <v>52</v>
      </c>
    </row>
    <row r="2172" spans="1:2" x14ac:dyDescent="0.25">
      <c r="A2172" s="1">
        <v>0.33350976851851849</v>
      </c>
      <c r="B2172" t="s">
        <v>52</v>
      </c>
    </row>
    <row r="2173" spans="1:2" x14ac:dyDescent="0.25">
      <c r="A2173" s="1">
        <v>0.3335095833333333</v>
      </c>
      <c r="B2173" t="s">
        <v>51</v>
      </c>
    </row>
    <row r="2174" spans="1:2" x14ac:dyDescent="0.25">
      <c r="A2174" s="1">
        <v>0.33350842592592594</v>
      </c>
      <c r="B2174" t="s">
        <v>53</v>
      </c>
    </row>
    <row r="2175" spans="1:2" x14ac:dyDescent="0.25">
      <c r="A2175" s="1">
        <v>0.33350812499999999</v>
      </c>
      <c r="B2175" t="s">
        <v>52</v>
      </c>
    </row>
    <row r="2176" spans="1:2" x14ac:dyDescent="0.25">
      <c r="A2176" s="1">
        <v>0.33350799768518519</v>
      </c>
      <c r="B2176" t="s">
        <v>53</v>
      </c>
    </row>
    <row r="2177" spans="1:2" x14ac:dyDescent="0.25">
      <c r="A2177" s="1">
        <v>0.33350679398148148</v>
      </c>
      <c r="B2177" t="s">
        <v>52</v>
      </c>
    </row>
    <row r="2178" spans="1:2" x14ac:dyDescent="0.25">
      <c r="A2178" s="1">
        <v>0.33350493055555552</v>
      </c>
      <c r="B2178" t="s">
        <v>53</v>
      </c>
    </row>
    <row r="2179" spans="1:2" x14ac:dyDescent="0.25">
      <c r="A2179" s="1">
        <v>0.3335032638888889</v>
      </c>
      <c r="B2179" t="s">
        <v>52</v>
      </c>
    </row>
    <row r="2180" spans="1:2" x14ac:dyDescent="0.25">
      <c r="A2180" s="1">
        <v>0.33350192129629624</v>
      </c>
      <c r="B2180" t="s">
        <v>53</v>
      </c>
    </row>
    <row r="2181" spans="1:2" x14ac:dyDescent="0.25">
      <c r="A2181" s="1">
        <v>0.33350151620370366</v>
      </c>
      <c r="B2181" t="s">
        <v>51</v>
      </c>
    </row>
    <row r="2182" spans="1:2" x14ac:dyDescent="0.25">
      <c r="A2182" s="1">
        <v>0.33349982638888886</v>
      </c>
      <c r="B2182" t="s">
        <v>53</v>
      </c>
    </row>
    <row r="2183" spans="1:2" x14ac:dyDescent="0.25">
      <c r="A2183" s="1">
        <v>0.33349909722222221</v>
      </c>
      <c r="B2183" t="s">
        <v>51</v>
      </c>
    </row>
    <row r="2184" spans="1:2" x14ac:dyDescent="0.25">
      <c r="A2184" s="1">
        <v>0.33349811342592589</v>
      </c>
      <c r="B2184" t="s">
        <v>52</v>
      </c>
    </row>
    <row r="2185" spans="1:2" x14ac:dyDescent="0.25">
      <c r="A2185" s="1">
        <v>0.33349758101851851</v>
      </c>
      <c r="B2185" t="s">
        <v>53</v>
      </c>
    </row>
    <row r="2186" spans="1:2" x14ac:dyDescent="0.25">
      <c r="A2186" s="1">
        <v>0.33349084490740744</v>
      </c>
      <c r="B2186" t="s">
        <v>53</v>
      </c>
    </row>
    <row r="2187" spans="1:2" x14ac:dyDescent="0.25">
      <c r="A2187" s="1">
        <v>0.33349059027777778</v>
      </c>
      <c r="B2187" t="s">
        <v>53</v>
      </c>
    </row>
    <row r="2188" spans="1:2" x14ac:dyDescent="0.25">
      <c r="A2188" s="1">
        <v>0.33348958333333334</v>
      </c>
      <c r="B2188" t="s">
        <v>52</v>
      </c>
    </row>
    <row r="2189" spans="1:2" x14ac:dyDescent="0.25">
      <c r="A2189" s="1">
        <v>0.33348939814814815</v>
      </c>
      <c r="B2189" t="s">
        <v>52</v>
      </c>
    </row>
    <row r="2190" spans="1:2" x14ac:dyDescent="0.25">
      <c r="A2190" s="1">
        <v>0.3334884027777778</v>
      </c>
      <c r="B2190" t="s">
        <v>53</v>
      </c>
    </row>
    <row r="2191" spans="1:2" x14ac:dyDescent="0.25">
      <c r="A2191" s="1">
        <v>0.33348829861111112</v>
      </c>
      <c r="B2191" t="s">
        <v>53</v>
      </c>
    </row>
    <row r="2192" spans="1:2" x14ac:dyDescent="0.25">
      <c r="A2192" s="1">
        <v>0.33348637731481484</v>
      </c>
      <c r="B2192" t="s">
        <v>53</v>
      </c>
    </row>
    <row r="2193" spans="1:2" x14ac:dyDescent="0.25">
      <c r="A2193" s="1">
        <v>0.33348185185185186</v>
      </c>
      <c r="B2193" t="s">
        <v>51</v>
      </c>
    </row>
    <row r="2194" spans="1:2" x14ac:dyDescent="0.25">
      <c r="A2194" s="1">
        <v>0.33347885416666667</v>
      </c>
      <c r="B2194" t="s">
        <v>52</v>
      </c>
    </row>
    <row r="2195" spans="1:2" x14ac:dyDescent="0.25">
      <c r="A2195" s="1">
        <v>0.33347824074074078</v>
      </c>
      <c r="B2195" t="s">
        <v>51</v>
      </c>
    </row>
    <row r="2196" spans="1:2" x14ac:dyDescent="0.25">
      <c r="A2196" s="1">
        <v>0.33347778935185185</v>
      </c>
      <c r="B2196" t="s">
        <v>53</v>
      </c>
    </row>
    <row r="2197" spans="1:2" x14ac:dyDescent="0.25">
      <c r="A2197" s="1">
        <v>0.33347754629629628</v>
      </c>
      <c r="B2197" t="s">
        <v>52</v>
      </c>
    </row>
    <row r="2198" spans="1:2" x14ac:dyDescent="0.25">
      <c r="A2198" s="1">
        <v>0.33347572916666662</v>
      </c>
      <c r="B2198" t="s">
        <v>52</v>
      </c>
    </row>
    <row r="2199" spans="1:2" x14ac:dyDescent="0.25">
      <c r="A2199" s="1">
        <v>0.33347572916666662</v>
      </c>
      <c r="B2199" t="s">
        <v>51</v>
      </c>
    </row>
    <row r="2200" spans="1:2" x14ac:dyDescent="0.25">
      <c r="A2200" s="1">
        <v>0.3334752314814815</v>
      </c>
      <c r="B2200" t="s">
        <v>53</v>
      </c>
    </row>
    <row r="2201" spans="1:2" x14ac:dyDescent="0.25">
      <c r="A2201" s="1">
        <v>0.33347307870370368</v>
      </c>
      <c r="B2201" t="s">
        <v>52</v>
      </c>
    </row>
    <row r="2202" spans="1:2" x14ac:dyDescent="0.25">
      <c r="A2202" s="1">
        <v>0.3334718055555555</v>
      </c>
      <c r="B2202" t="s">
        <v>53</v>
      </c>
    </row>
    <row r="2203" spans="1:2" x14ac:dyDescent="0.25">
      <c r="A2203" s="1">
        <v>0.33347148148148148</v>
      </c>
      <c r="B2203" t="s">
        <v>53</v>
      </c>
    </row>
    <row r="2204" spans="1:2" x14ac:dyDescent="0.25">
      <c r="A2204" s="1">
        <v>0.33346987268518519</v>
      </c>
      <c r="B2204" t="s">
        <v>53</v>
      </c>
    </row>
    <row r="2205" spans="1:2" x14ac:dyDescent="0.25">
      <c r="A2205" s="1">
        <v>0.33346922453703703</v>
      </c>
      <c r="B2205" t="s">
        <v>52</v>
      </c>
    </row>
    <row r="2206" spans="1:2" x14ac:dyDescent="0.25">
      <c r="A2206" s="1">
        <v>0.33346709490740739</v>
      </c>
      <c r="B2206" t="s">
        <v>52</v>
      </c>
    </row>
    <row r="2207" spans="1:2" x14ac:dyDescent="0.25">
      <c r="A2207" s="1">
        <v>0.33346694444444447</v>
      </c>
      <c r="B2207" t="s">
        <v>53</v>
      </c>
    </row>
    <row r="2208" spans="1:2" x14ac:dyDescent="0.25">
      <c r="A2208" s="1">
        <v>0.33346684027777779</v>
      </c>
      <c r="B2208" t="s">
        <v>52</v>
      </c>
    </row>
    <row r="2209" spans="1:2" x14ac:dyDescent="0.25">
      <c r="A2209" s="1">
        <v>0.33346646990740741</v>
      </c>
      <c r="B2209" t="s">
        <v>51</v>
      </c>
    </row>
    <row r="2210" spans="1:2" x14ac:dyDescent="0.25">
      <c r="A2210" s="1">
        <v>0.33346644675925924</v>
      </c>
      <c r="B2210" t="s">
        <v>53</v>
      </c>
    </row>
    <row r="2211" spans="1:2" x14ac:dyDescent="0.25">
      <c r="A2211" s="1">
        <v>0.33346060185185183</v>
      </c>
      <c r="B2211" t="s">
        <v>51</v>
      </c>
    </row>
    <row r="2212" spans="1:2" x14ac:dyDescent="0.25">
      <c r="A2212" s="1">
        <v>0.33346012731481478</v>
      </c>
      <c r="B2212" t="s">
        <v>52</v>
      </c>
    </row>
    <row r="2213" spans="1:2" x14ac:dyDescent="0.25">
      <c r="A2213" s="1">
        <v>0.33345834490740739</v>
      </c>
      <c r="B2213" t="s">
        <v>52</v>
      </c>
    </row>
    <row r="2214" spans="1:2" x14ac:dyDescent="0.25">
      <c r="A2214" s="1">
        <v>0.33345768518518515</v>
      </c>
      <c r="B2214" t="s">
        <v>53</v>
      </c>
    </row>
    <row r="2215" spans="1:2" x14ac:dyDescent="0.25">
      <c r="A2215" s="1">
        <v>0.33345732638888892</v>
      </c>
      <c r="B2215" t="s">
        <v>51</v>
      </c>
    </row>
    <row r="2216" spans="1:2" x14ac:dyDescent="0.25">
      <c r="A2216" s="1">
        <v>0.33345709490740738</v>
      </c>
      <c r="B2216" t="s">
        <v>52</v>
      </c>
    </row>
    <row r="2217" spans="1:2" x14ac:dyDescent="0.25">
      <c r="A2217" s="1">
        <v>0.33345620370370371</v>
      </c>
      <c r="B2217" t="s">
        <v>52</v>
      </c>
    </row>
    <row r="2218" spans="1:2" x14ac:dyDescent="0.25">
      <c r="A2218" s="1">
        <v>0.33345359953703707</v>
      </c>
      <c r="B2218" t="s">
        <v>52</v>
      </c>
    </row>
    <row r="2219" spans="1:2" x14ac:dyDescent="0.25">
      <c r="A2219" s="1">
        <v>0.3334518865740741</v>
      </c>
      <c r="B2219" t="s">
        <v>52</v>
      </c>
    </row>
    <row r="2220" spans="1:2" x14ac:dyDescent="0.25">
      <c r="A2220" s="1">
        <v>0.33344940972222226</v>
      </c>
      <c r="B2220" t="s">
        <v>51</v>
      </c>
    </row>
    <row r="2221" spans="1:2" x14ac:dyDescent="0.25">
      <c r="A2221" s="1">
        <v>0.3334493287037037</v>
      </c>
      <c r="B2221" t="s">
        <v>53</v>
      </c>
    </row>
    <row r="2222" spans="1:2" x14ac:dyDescent="0.25">
      <c r="A2222" s="1">
        <v>0.33344765046296293</v>
      </c>
      <c r="B2222" t="s">
        <v>51</v>
      </c>
    </row>
    <row r="2223" spans="1:2" x14ac:dyDescent="0.25">
      <c r="A2223" s="1">
        <v>0.33344684027777777</v>
      </c>
      <c r="B2223" t="s">
        <v>51</v>
      </c>
    </row>
    <row r="2224" spans="1:2" x14ac:dyDescent="0.25">
      <c r="A2224" s="1">
        <v>0.33344496527777778</v>
      </c>
      <c r="B2224" t="s">
        <v>53</v>
      </c>
    </row>
    <row r="2225" spans="1:2" x14ac:dyDescent="0.25">
      <c r="A2225" s="1">
        <v>0.33344277777777775</v>
      </c>
      <c r="B2225" t="s">
        <v>51</v>
      </c>
    </row>
    <row r="2226" spans="1:2" x14ac:dyDescent="0.25">
      <c r="A2226" s="1">
        <v>0.33344265046296301</v>
      </c>
      <c r="B2226" t="s">
        <v>51</v>
      </c>
    </row>
    <row r="2227" spans="1:2" x14ac:dyDescent="0.25">
      <c r="A2227" s="1">
        <v>0.33344258101851848</v>
      </c>
      <c r="B2227" t="s">
        <v>52</v>
      </c>
    </row>
    <row r="2228" spans="1:2" x14ac:dyDescent="0.25">
      <c r="A2228" s="1">
        <v>0.33343848379629631</v>
      </c>
      <c r="B2228" t="s">
        <v>53</v>
      </c>
    </row>
    <row r="2229" spans="1:2" x14ac:dyDescent="0.25">
      <c r="A2229" s="1">
        <v>0.33343789351851849</v>
      </c>
      <c r="B2229" t="s">
        <v>51</v>
      </c>
    </row>
    <row r="2230" spans="1:2" x14ac:dyDescent="0.25">
      <c r="A2230" s="1">
        <v>0.33343603009259254</v>
      </c>
      <c r="B2230" t="s">
        <v>53</v>
      </c>
    </row>
    <row r="2231" spans="1:2" x14ac:dyDescent="0.25">
      <c r="A2231" s="1">
        <v>0.33343494212962965</v>
      </c>
      <c r="B2231" t="s">
        <v>52</v>
      </c>
    </row>
    <row r="2232" spans="1:2" x14ac:dyDescent="0.25">
      <c r="A2232" s="1">
        <v>0.33343283564814818</v>
      </c>
      <c r="B2232" t="s">
        <v>52</v>
      </c>
    </row>
    <row r="2233" spans="1:2" x14ac:dyDescent="0.25">
      <c r="A2233" s="1">
        <v>0.33343211805555556</v>
      </c>
      <c r="B2233" t="s">
        <v>53</v>
      </c>
    </row>
    <row r="2234" spans="1:2" x14ac:dyDescent="0.25">
      <c r="A2234" s="1">
        <v>0.33343199074074076</v>
      </c>
      <c r="B2234" t="s">
        <v>51</v>
      </c>
    </row>
    <row r="2235" spans="1:2" x14ac:dyDescent="0.25">
      <c r="A2235" s="1">
        <v>0.33343084490740743</v>
      </c>
      <c r="B2235" t="s">
        <v>51</v>
      </c>
    </row>
    <row r="2236" spans="1:2" x14ac:dyDescent="0.25">
      <c r="A2236" s="1">
        <v>0.33342968750000002</v>
      </c>
      <c r="B2236" t="s">
        <v>53</v>
      </c>
    </row>
    <row r="2237" spans="1:2" x14ac:dyDescent="0.25">
      <c r="A2237" s="1">
        <v>0.3334272685185185</v>
      </c>
      <c r="B2237" t="s">
        <v>52</v>
      </c>
    </row>
    <row r="2238" spans="1:2" x14ac:dyDescent="0.25">
      <c r="A2238" s="1">
        <v>0.33342650462962964</v>
      </c>
      <c r="B2238" t="s">
        <v>53</v>
      </c>
    </row>
    <row r="2239" spans="1:2" x14ac:dyDescent="0.25">
      <c r="A2239" s="1">
        <v>0.33342635416666666</v>
      </c>
      <c r="B2239" t="s">
        <v>51</v>
      </c>
    </row>
    <row r="2240" spans="1:2" x14ac:dyDescent="0.25">
      <c r="A2240" s="1">
        <v>0.33342621527777777</v>
      </c>
      <c r="B2240" t="s">
        <v>52</v>
      </c>
    </row>
    <row r="2241" spans="1:2" x14ac:dyDescent="0.25">
      <c r="A2241" s="1">
        <v>0.33342466435185186</v>
      </c>
      <c r="B2241" t="s">
        <v>53</v>
      </c>
    </row>
    <row r="2242" spans="1:2" x14ac:dyDescent="0.25">
      <c r="A2242" s="1">
        <v>0.3334244560185185</v>
      </c>
      <c r="B2242" t="s">
        <v>53</v>
      </c>
    </row>
    <row r="2243" spans="1:2" x14ac:dyDescent="0.25">
      <c r="A2243" s="1">
        <v>0.33342358796296295</v>
      </c>
      <c r="B2243" t="s">
        <v>52</v>
      </c>
    </row>
    <row r="2244" spans="1:2" x14ac:dyDescent="0.25">
      <c r="A2244" s="1">
        <v>0.33342175925925926</v>
      </c>
      <c r="B2244" t="s">
        <v>52</v>
      </c>
    </row>
    <row r="2245" spans="1:2" x14ac:dyDescent="0.25">
      <c r="A2245" s="1">
        <v>0.33342055555555555</v>
      </c>
      <c r="B2245" t="s">
        <v>53</v>
      </c>
    </row>
    <row r="2246" spans="1:2" x14ac:dyDescent="0.25">
      <c r="A2246" s="1">
        <v>0.33342050925925926</v>
      </c>
      <c r="B2246" t="s">
        <v>51</v>
      </c>
    </row>
    <row r="2247" spans="1:2" x14ac:dyDescent="0.25">
      <c r="A2247" s="1">
        <v>0.33341421296296297</v>
      </c>
      <c r="B2247" t="s">
        <v>51</v>
      </c>
    </row>
    <row r="2248" spans="1:2" x14ac:dyDescent="0.25">
      <c r="A2248" s="1">
        <v>0.3334139351851852</v>
      </c>
      <c r="B2248" t="s">
        <v>52</v>
      </c>
    </row>
    <row r="2249" spans="1:2" x14ac:dyDescent="0.25">
      <c r="A2249" s="1">
        <v>0.33341021990740738</v>
      </c>
      <c r="B2249" t="s">
        <v>51</v>
      </c>
    </row>
    <row r="2250" spans="1:2" x14ac:dyDescent="0.25">
      <c r="A2250" s="1">
        <v>0.33341008101851854</v>
      </c>
      <c r="B2250" t="s">
        <v>53</v>
      </c>
    </row>
    <row r="2251" spans="1:2" x14ac:dyDescent="0.25">
      <c r="A2251" s="1">
        <v>0.33340875000000003</v>
      </c>
      <c r="B2251" t="s">
        <v>51</v>
      </c>
    </row>
    <row r="2252" spans="1:2" x14ac:dyDescent="0.25">
      <c r="A2252" s="1">
        <v>0.33340869212962959</v>
      </c>
      <c r="B2252" t="s">
        <v>52</v>
      </c>
    </row>
    <row r="2253" spans="1:2" x14ac:dyDescent="0.25">
      <c r="A2253" s="1">
        <v>0.33340478009259256</v>
      </c>
      <c r="B2253" t="s">
        <v>51</v>
      </c>
    </row>
    <row r="2254" spans="1:2" x14ac:dyDescent="0.25">
      <c r="A2254" s="1">
        <v>0.33340429398148147</v>
      </c>
      <c r="B2254" t="s">
        <v>52</v>
      </c>
    </row>
    <row r="2255" spans="1:2" x14ac:dyDescent="0.25">
      <c r="A2255" s="1">
        <v>0.33340260416666667</v>
      </c>
      <c r="B2255" t="s">
        <v>53</v>
      </c>
    </row>
    <row r="2256" spans="1:2" x14ac:dyDescent="0.25">
      <c r="A2256" s="1">
        <v>0.33340209490740741</v>
      </c>
      <c r="B2256" t="s">
        <v>53</v>
      </c>
    </row>
    <row r="2257" spans="1:2" x14ac:dyDescent="0.25">
      <c r="A2257" s="1">
        <v>0.33339724537037035</v>
      </c>
      <c r="B2257" t="s">
        <v>51</v>
      </c>
    </row>
    <row r="2258" spans="1:2" x14ac:dyDescent="0.25">
      <c r="A2258" s="1">
        <v>0.33339699074074075</v>
      </c>
      <c r="B2258" t="s">
        <v>51</v>
      </c>
    </row>
    <row r="2259" spans="1:2" x14ac:dyDescent="0.25">
      <c r="A2259" s="1">
        <v>0.33339303240740742</v>
      </c>
      <c r="B2259" t="s">
        <v>53</v>
      </c>
    </row>
    <row r="2260" spans="1:2" x14ac:dyDescent="0.25">
      <c r="A2260" s="1">
        <v>0.33339254629629633</v>
      </c>
      <c r="B2260" t="s">
        <v>52</v>
      </c>
    </row>
    <row r="2261" spans="1:2" x14ac:dyDescent="0.25">
      <c r="A2261" s="1">
        <v>0.33339236111111115</v>
      </c>
      <c r="B2261" t="s">
        <v>53</v>
      </c>
    </row>
    <row r="2262" spans="1:2" x14ac:dyDescent="0.25">
      <c r="A2262" s="1">
        <v>0.3333893171296296</v>
      </c>
      <c r="B2262" t="s">
        <v>51</v>
      </c>
    </row>
    <row r="2263" spans="1:2" x14ac:dyDescent="0.25">
      <c r="A2263" s="1">
        <v>0.33338925925925927</v>
      </c>
      <c r="B2263" t="s">
        <v>52</v>
      </c>
    </row>
    <row r="2264" spans="1:2" x14ac:dyDescent="0.25">
      <c r="A2264" s="1">
        <v>0.33338924768518519</v>
      </c>
      <c r="B2264" t="s">
        <v>53</v>
      </c>
    </row>
    <row r="2265" spans="1:2" x14ac:dyDescent="0.25">
      <c r="A2265" s="1">
        <v>0.33338891203703702</v>
      </c>
      <c r="B2265" t="s">
        <v>52</v>
      </c>
    </row>
    <row r="2266" spans="1:2" x14ac:dyDescent="0.25">
      <c r="A2266" s="1">
        <v>0.33338810185185186</v>
      </c>
      <c r="B2266" t="s">
        <v>53</v>
      </c>
    </row>
    <row r="2267" spans="1:2" x14ac:dyDescent="0.25">
      <c r="A2267" s="1">
        <v>0.33338800925925921</v>
      </c>
      <c r="B2267" t="s">
        <v>51</v>
      </c>
    </row>
    <row r="2268" spans="1:2" x14ac:dyDescent="0.25">
      <c r="A2268" s="1">
        <v>0.33338731481481482</v>
      </c>
      <c r="B2268" t="s">
        <v>52</v>
      </c>
    </row>
    <row r="2269" spans="1:2" x14ac:dyDescent="0.25">
      <c r="A2269" s="1">
        <v>0.33338642361111109</v>
      </c>
      <c r="B2269" t="s">
        <v>51</v>
      </c>
    </row>
    <row r="2270" spans="1:2" x14ac:dyDescent="0.25">
      <c r="A2270" s="1">
        <v>0.33338356481481485</v>
      </c>
      <c r="B2270" t="s">
        <v>53</v>
      </c>
    </row>
    <row r="2271" spans="1:2" x14ac:dyDescent="0.25">
      <c r="A2271" s="1">
        <v>0.33338285879629631</v>
      </c>
      <c r="B2271" t="s">
        <v>53</v>
      </c>
    </row>
    <row r="2272" spans="1:2" x14ac:dyDescent="0.25">
      <c r="A2272" s="1">
        <v>0.33338263888888892</v>
      </c>
      <c r="B2272" t="s">
        <v>51</v>
      </c>
    </row>
    <row r="2273" spans="1:2" x14ac:dyDescent="0.25">
      <c r="A2273" s="1">
        <v>0.33338074074074076</v>
      </c>
      <c r="B2273" t="s">
        <v>53</v>
      </c>
    </row>
    <row r="2274" spans="1:2" x14ac:dyDescent="0.25">
      <c r="A2274" s="1">
        <v>0.33337914351851849</v>
      </c>
      <c r="B2274" t="s">
        <v>51</v>
      </c>
    </row>
    <row r="2275" spans="1:2" x14ac:dyDescent="0.25">
      <c r="A2275" s="1">
        <v>0.33337905092592596</v>
      </c>
      <c r="B2275" t="s">
        <v>53</v>
      </c>
    </row>
    <row r="2276" spans="1:2" x14ac:dyDescent="0.25">
      <c r="A2276" s="1">
        <v>0.33337857638888885</v>
      </c>
      <c r="B2276" t="s">
        <v>51</v>
      </c>
    </row>
    <row r="2277" spans="1:2" x14ac:dyDescent="0.25">
      <c r="A2277" s="1">
        <v>0.33337854166666664</v>
      </c>
      <c r="B2277" t="s">
        <v>52</v>
      </c>
    </row>
    <row r="2278" spans="1:2" x14ac:dyDescent="0.25">
      <c r="A2278" s="1">
        <v>0.33337828703703704</v>
      </c>
      <c r="B2278" t="s">
        <v>52</v>
      </c>
    </row>
    <row r="2279" spans="1:2" x14ac:dyDescent="0.25">
      <c r="A2279" s="1">
        <v>0.33337690972222217</v>
      </c>
      <c r="B2279" t="s">
        <v>52</v>
      </c>
    </row>
    <row r="2280" spans="1:2" x14ac:dyDescent="0.25">
      <c r="A2280" s="1">
        <v>0.33337444444444442</v>
      </c>
      <c r="B2280" t="s">
        <v>51</v>
      </c>
    </row>
    <row r="2281" spans="1:2" x14ac:dyDescent="0.25">
      <c r="A2281" s="1">
        <v>0.33337427083333332</v>
      </c>
      <c r="B2281" t="s">
        <v>52</v>
      </c>
    </row>
    <row r="2282" spans="1:2" x14ac:dyDescent="0.25">
      <c r="A2282" s="1">
        <v>0.33337289351851851</v>
      </c>
      <c r="B2282" t="s">
        <v>51</v>
      </c>
    </row>
    <row r="2283" spans="1:2" x14ac:dyDescent="0.25">
      <c r="A2283" s="1">
        <v>0.33337265046296299</v>
      </c>
      <c r="B2283" t="s">
        <v>53</v>
      </c>
    </row>
    <row r="2284" spans="1:2" x14ac:dyDescent="0.25">
      <c r="A2284" s="1">
        <v>0.33337133101851851</v>
      </c>
      <c r="B2284" t="s">
        <v>53</v>
      </c>
    </row>
    <row r="2285" spans="1:2" x14ac:dyDescent="0.25">
      <c r="A2285" s="1">
        <v>0.33336883101851855</v>
      </c>
      <c r="B2285" t="s">
        <v>51</v>
      </c>
    </row>
    <row r="2286" spans="1:2" x14ac:dyDescent="0.25">
      <c r="A2286" s="1">
        <v>0.33336841435185183</v>
      </c>
      <c r="B2286" t="s">
        <v>51</v>
      </c>
    </row>
    <row r="2287" spans="1:2" x14ac:dyDescent="0.25">
      <c r="A2287" s="1">
        <v>0.33336675925925929</v>
      </c>
      <c r="B2287" t="s">
        <v>53</v>
      </c>
    </row>
    <row r="2288" spans="1:2" x14ac:dyDescent="0.25">
      <c r="A2288" s="1">
        <v>0.33336578703703701</v>
      </c>
      <c r="B2288" t="s">
        <v>53</v>
      </c>
    </row>
    <row r="2289" spans="1:2" x14ac:dyDescent="0.25">
      <c r="A2289" s="1">
        <v>0.33336543981481487</v>
      </c>
      <c r="B2289" t="s">
        <v>51</v>
      </c>
    </row>
    <row r="2290" spans="1:2" x14ac:dyDescent="0.25">
      <c r="A2290" s="1">
        <v>0.33336542824074072</v>
      </c>
      <c r="B2290" t="s">
        <v>52</v>
      </c>
    </row>
    <row r="2291" spans="1:2" x14ac:dyDescent="0.25">
      <c r="A2291" s="1">
        <v>0.33336417824074077</v>
      </c>
      <c r="B2291" t="s">
        <v>51</v>
      </c>
    </row>
    <row r="2292" spans="1:2" x14ac:dyDescent="0.25">
      <c r="A2292" s="1">
        <v>0.33336378472222222</v>
      </c>
      <c r="B2292" t="s">
        <v>52</v>
      </c>
    </row>
    <row r="2293" spans="1:2" x14ac:dyDescent="0.25">
      <c r="A2293" s="1">
        <v>0.33336299768518524</v>
      </c>
      <c r="B2293" t="s">
        <v>51</v>
      </c>
    </row>
    <row r="2294" spans="1:2" x14ac:dyDescent="0.25">
      <c r="A2294" s="1">
        <v>0.33336243055555559</v>
      </c>
      <c r="B2294" t="s">
        <v>52</v>
      </c>
    </row>
    <row r="2295" spans="1:2" x14ac:dyDescent="0.25">
      <c r="A2295" s="1">
        <v>0.33336162037037037</v>
      </c>
      <c r="B2295" t="s">
        <v>51</v>
      </c>
    </row>
    <row r="2296" spans="1:2" x14ac:dyDescent="0.25">
      <c r="A2296" s="1">
        <v>0.33335974537037033</v>
      </c>
      <c r="B2296" t="s">
        <v>53</v>
      </c>
    </row>
    <row r="2297" spans="1:2" x14ac:dyDescent="0.25">
      <c r="A2297" s="1">
        <v>0.33335949074074073</v>
      </c>
      <c r="B2297" t="s">
        <v>51</v>
      </c>
    </row>
    <row r="2298" spans="1:2" x14ac:dyDescent="0.25">
      <c r="A2298" s="1">
        <v>0.33335938657407405</v>
      </c>
      <c r="B2298" t="s">
        <v>53</v>
      </c>
    </row>
    <row r="2299" spans="1:2" x14ac:dyDescent="0.25">
      <c r="A2299" s="1">
        <v>0.33335847222222226</v>
      </c>
      <c r="B2299" t="s">
        <v>51</v>
      </c>
    </row>
    <row r="2300" spans="1:2" x14ac:dyDescent="0.25">
      <c r="A2300" s="1">
        <v>0.33335579861111109</v>
      </c>
      <c r="B2300" t="s">
        <v>51</v>
      </c>
    </row>
    <row r="2301" spans="1:2" x14ac:dyDescent="0.25">
      <c r="A2301" s="1">
        <v>0.33335528935185188</v>
      </c>
      <c r="B2301" t="s">
        <v>52</v>
      </c>
    </row>
    <row r="2302" spans="1:2" x14ac:dyDescent="0.25">
      <c r="A2302" s="1">
        <v>0.33335484953703703</v>
      </c>
      <c r="B2302" t="s">
        <v>53</v>
      </c>
    </row>
    <row r="2303" spans="1:2" x14ac:dyDescent="0.25">
      <c r="A2303" s="1">
        <v>0.33335445601851849</v>
      </c>
      <c r="B2303" t="s">
        <v>52</v>
      </c>
    </row>
    <row r="2304" spans="1:2" x14ac:dyDescent="0.25">
      <c r="A2304" s="1">
        <v>0.33335430555555551</v>
      </c>
      <c r="B2304" t="s">
        <v>51</v>
      </c>
    </row>
    <row r="2305" spans="1:2" x14ac:dyDescent="0.25">
      <c r="A2305" s="1">
        <v>0.33335303240740743</v>
      </c>
      <c r="B2305" t="s">
        <v>53</v>
      </c>
    </row>
    <row r="2306" spans="1:2" x14ac:dyDescent="0.25">
      <c r="A2306" s="1">
        <v>0.33335292824074075</v>
      </c>
      <c r="B2306" t="s">
        <v>52</v>
      </c>
    </row>
    <row r="2307" spans="1:2" x14ac:dyDescent="0.25">
      <c r="A2307" s="1">
        <v>0.33335209490740741</v>
      </c>
      <c r="B2307" t="s">
        <v>52</v>
      </c>
    </row>
    <row r="2308" spans="1:2" x14ac:dyDescent="0.25">
      <c r="A2308" s="1">
        <v>0.33335159722222224</v>
      </c>
      <c r="B2308" t="s">
        <v>51</v>
      </c>
    </row>
    <row r="2309" spans="1:2" x14ac:dyDescent="0.25">
      <c r="A2309" s="1">
        <v>0.33335078703703708</v>
      </c>
      <c r="B2309" t="s">
        <v>51</v>
      </c>
    </row>
    <row r="2310" spans="1:2" x14ac:dyDescent="0.25">
      <c r="A2310" s="1">
        <v>0.3333503819444445</v>
      </c>
      <c r="B2310" t="s">
        <v>52</v>
      </c>
    </row>
    <row r="2311" spans="1:2" x14ac:dyDescent="0.25">
      <c r="A2311" s="1">
        <v>0.33335011574074075</v>
      </c>
      <c r="B2311" t="s">
        <v>53</v>
      </c>
    </row>
    <row r="2312" spans="1:2" x14ac:dyDescent="0.25">
      <c r="A2312" s="1">
        <v>0.33335002314814816</v>
      </c>
      <c r="B2312" t="s">
        <v>51</v>
      </c>
    </row>
    <row r="2313" spans="1:2" x14ac:dyDescent="0.25">
      <c r="A2313" s="1">
        <v>0.33334956018518519</v>
      </c>
      <c r="B2313" t="s">
        <v>53</v>
      </c>
    </row>
    <row r="2314" spans="1:2" x14ac:dyDescent="0.25">
      <c r="A2314" s="1">
        <v>0.33334724537037036</v>
      </c>
      <c r="B2314" t="s">
        <v>51</v>
      </c>
    </row>
    <row r="2315" spans="1:2" x14ac:dyDescent="0.25">
      <c r="A2315" s="1">
        <v>0.33334649305555558</v>
      </c>
      <c r="B2315" t="s">
        <v>52</v>
      </c>
    </row>
    <row r="2316" spans="1:2" x14ac:dyDescent="0.25">
      <c r="A2316" s="1">
        <v>0.333345474537037</v>
      </c>
      <c r="B2316" t="s">
        <v>53</v>
      </c>
    </row>
    <row r="2317" spans="1:2" x14ac:dyDescent="0.25">
      <c r="A2317" s="1">
        <v>0.33334466435185184</v>
      </c>
      <c r="B2317" t="s">
        <v>53</v>
      </c>
    </row>
    <row r="2318" spans="1:2" x14ac:dyDescent="0.25">
      <c r="A2318" s="1">
        <v>0.33334431712962959</v>
      </c>
      <c r="B2318" t="s">
        <v>53</v>
      </c>
    </row>
    <row r="2319" spans="1:2" x14ac:dyDescent="0.25">
      <c r="A2319" s="1">
        <v>0.33333600694444443</v>
      </c>
      <c r="B2319" t="s">
        <v>51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20C85-C6F8-4BCB-8BC0-FAE3907ADAD1}">
  <sheetPr codeName="Sheet7"/>
  <dimension ref="A1:F460"/>
  <sheetViews>
    <sheetView workbookViewId="0">
      <selection activeCell="B1" sqref="B1"/>
    </sheetView>
  </sheetViews>
  <sheetFormatPr defaultRowHeight="15" x14ac:dyDescent="0.25"/>
  <cols>
    <col min="1" max="1" width="9.140625" style="1"/>
    <col min="2" max="2" width="13.28515625" bestFit="1" customWidth="1"/>
  </cols>
  <sheetData>
    <row r="1" spans="1:6" x14ac:dyDescent="0.25">
      <c r="A1" s="1">
        <v>0.33334490740740735</v>
      </c>
      <c r="B1" t="s">
        <v>4</v>
      </c>
      <c r="C1" t="s">
        <v>5</v>
      </c>
      <c r="F1">
        <f>COUNTIFS(A:A,"&gt;08:00:00",A:A,"&lt;08:00:11", B:B, "(10.152.26.30)")</f>
        <v>6</v>
      </c>
    </row>
    <row r="2" spans="1:6" x14ac:dyDescent="0.25">
      <c r="A2" s="1">
        <v>0.33334490740740735</v>
      </c>
      <c r="B2" t="s">
        <v>6</v>
      </c>
      <c r="C2" t="s">
        <v>5</v>
      </c>
      <c r="F2">
        <f>COUNTIFS(A:A,"&gt;08:00:00",A:A,"&lt;08:00:11", B:B, "(10.152.26.31)")</f>
        <v>4</v>
      </c>
    </row>
    <row r="3" spans="1:6" x14ac:dyDescent="0.25">
      <c r="A3" s="1">
        <v>0.33334490740740735</v>
      </c>
      <c r="B3" t="s">
        <v>7</v>
      </c>
      <c r="C3" t="s">
        <v>5</v>
      </c>
      <c r="F3">
        <f>COUNTIFS(A:A,"&gt;08:00:00",A:A,"&lt;08:00:11", B:B, "(10.152.26.32)")</f>
        <v>6</v>
      </c>
    </row>
    <row r="4" spans="1:6" x14ac:dyDescent="0.25">
      <c r="A4" s="1">
        <v>0.3333564814814815</v>
      </c>
      <c r="B4" t="s">
        <v>4</v>
      </c>
      <c r="C4" t="s">
        <v>5</v>
      </c>
    </row>
    <row r="5" spans="1:6" x14ac:dyDescent="0.25">
      <c r="A5" s="1">
        <v>0.33336805555555554</v>
      </c>
      <c r="B5" t="s">
        <v>7</v>
      </c>
      <c r="C5" t="s">
        <v>5</v>
      </c>
    </row>
    <row r="6" spans="1:6" x14ac:dyDescent="0.25">
      <c r="A6" s="1">
        <v>0.33336805555555554</v>
      </c>
      <c r="B6" t="s">
        <v>6</v>
      </c>
      <c r="C6" t="s">
        <v>5</v>
      </c>
    </row>
    <row r="7" spans="1:6" x14ac:dyDescent="0.25">
      <c r="A7" s="1">
        <v>0.33337962962962964</v>
      </c>
      <c r="B7" t="s">
        <v>7</v>
      </c>
      <c r="C7" t="s">
        <v>5</v>
      </c>
    </row>
    <row r="8" spans="1:6" x14ac:dyDescent="0.25">
      <c r="A8" s="1">
        <v>0.33339120370370368</v>
      </c>
      <c r="B8" t="s">
        <v>4</v>
      </c>
      <c r="C8" t="s">
        <v>5</v>
      </c>
    </row>
    <row r="9" spans="1:6" x14ac:dyDescent="0.25">
      <c r="A9" s="1">
        <v>0.33340277777777777</v>
      </c>
      <c r="B9" t="s">
        <v>6</v>
      </c>
      <c r="C9" t="s">
        <v>5</v>
      </c>
    </row>
    <row r="10" spans="1:6" x14ac:dyDescent="0.25">
      <c r="A10" s="1">
        <v>0.33341435185185181</v>
      </c>
      <c r="B10" t="s">
        <v>4</v>
      </c>
      <c r="C10" t="s">
        <v>5</v>
      </c>
    </row>
    <row r="11" spans="1:6" x14ac:dyDescent="0.25">
      <c r="A11" s="1">
        <v>0.33341435185185181</v>
      </c>
      <c r="B11" t="s">
        <v>7</v>
      </c>
      <c r="C11" t="s">
        <v>8</v>
      </c>
    </row>
    <row r="12" spans="1:6" x14ac:dyDescent="0.25">
      <c r="A12" s="1">
        <v>0.33342592592592596</v>
      </c>
      <c r="B12" t="s">
        <v>7</v>
      </c>
      <c r="C12" t="s">
        <v>5</v>
      </c>
    </row>
    <row r="13" spans="1:6" x14ac:dyDescent="0.25">
      <c r="A13" s="1">
        <v>0.33342592592592596</v>
      </c>
      <c r="B13" t="s">
        <v>7</v>
      </c>
      <c r="C13" t="s">
        <v>5</v>
      </c>
    </row>
    <row r="14" spans="1:6" x14ac:dyDescent="0.25">
      <c r="A14" s="1">
        <v>0.33344907407407409</v>
      </c>
      <c r="B14" t="s">
        <v>6</v>
      </c>
      <c r="C14" t="s">
        <v>5</v>
      </c>
    </row>
    <row r="15" spans="1:6" x14ac:dyDescent="0.25">
      <c r="A15" s="1">
        <v>0.33344907407407409</v>
      </c>
      <c r="B15" t="s">
        <v>4</v>
      </c>
      <c r="C15" t="s">
        <v>5</v>
      </c>
    </row>
    <row r="16" spans="1:6" x14ac:dyDescent="0.25">
      <c r="A16" s="1">
        <v>0.33344907407407409</v>
      </c>
      <c r="B16" t="s">
        <v>4</v>
      </c>
      <c r="C16" t="s">
        <v>8</v>
      </c>
    </row>
    <row r="17" spans="1:3" x14ac:dyDescent="0.25">
      <c r="A17" s="1">
        <v>0.33346064814814813</v>
      </c>
      <c r="B17" t="s">
        <v>6</v>
      </c>
      <c r="C17" t="s">
        <v>5</v>
      </c>
    </row>
    <row r="18" spans="1:3" x14ac:dyDescent="0.25">
      <c r="A18" s="1">
        <v>0.33347222222222223</v>
      </c>
      <c r="B18" t="s">
        <v>7</v>
      </c>
      <c r="C18" t="s">
        <v>5</v>
      </c>
    </row>
    <row r="19" spans="1:3" x14ac:dyDescent="0.25">
      <c r="A19" s="1">
        <v>0.33347222222222223</v>
      </c>
      <c r="B19" t="s">
        <v>4</v>
      </c>
      <c r="C19" t="s">
        <v>5</v>
      </c>
    </row>
    <row r="20" spans="1:3" x14ac:dyDescent="0.25">
      <c r="A20" s="1">
        <v>0.33347222222222223</v>
      </c>
      <c r="B20" t="s">
        <v>6</v>
      </c>
      <c r="C20" t="s">
        <v>5</v>
      </c>
    </row>
    <row r="21" spans="1:3" x14ac:dyDescent="0.25">
      <c r="A21" s="1">
        <v>0.33348379629629626</v>
      </c>
      <c r="B21" t="s">
        <v>7</v>
      </c>
      <c r="C21" t="s">
        <v>5</v>
      </c>
    </row>
    <row r="22" spans="1:3" x14ac:dyDescent="0.25">
      <c r="A22" s="1">
        <v>0.33348379629629626</v>
      </c>
      <c r="B22" t="s">
        <v>4</v>
      </c>
      <c r="C22" t="s">
        <v>5</v>
      </c>
    </row>
    <row r="23" spans="1:3" x14ac:dyDescent="0.25">
      <c r="A23" s="1">
        <v>0.33350694444444445</v>
      </c>
      <c r="B23" t="s">
        <v>6</v>
      </c>
      <c r="C23" t="s">
        <v>5</v>
      </c>
    </row>
    <row r="24" spans="1:3" x14ac:dyDescent="0.25">
      <c r="A24" s="1">
        <v>0.33350694444444445</v>
      </c>
      <c r="B24" t="s">
        <v>4</v>
      </c>
      <c r="C24" t="s">
        <v>5</v>
      </c>
    </row>
    <row r="25" spans="1:3" x14ac:dyDescent="0.25">
      <c r="A25" s="1">
        <v>0.33351851851851855</v>
      </c>
      <c r="B25" t="s">
        <v>6</v>
      </c>
      <c r="C25" t="s">
        <v>8</v>
      </c>
    </row>
    <row r="26" spans="1:3" x14ac:dyDescent="0.25">
      <c r="A26" s="1">
        <v>0.33351851851851855</v>
      </c>
      <c r="B26" t="s">
        <v>4</v>
      </c>
      <c r="C26" t="s">
        <v>5</v>
      </c>
    </row>
    <row r="27" spans="1:3" x14ac:dyDescent="0.25">
      <c r="A27" s="1">
        <v>0.33351851851851855</v>
      </c>
      <c r="B27" t="s">
        <v>6</v>
      </c>
      <c r="C27" t="s">
        <v>5</v>
      </c>
    </row>
    <row r="28" spans="1:3" x14ac:dyDescent="0.25">
      <c r="A28" s="1">
        <v>0.33353009259259259</v>
      </c>
      <c r="B28" t="s">
        <v>7</v>
      </c>
      <c r="C28" t="s">
        <v>5</v>
      </c>
    </row>
    <row r="29" spans="1:3" x14ac:dyDescent="0.25">
      <c r="A29" s="1">
        <v>0.33354166666666668</v>
      </c>
      <c r="B29" t="s">
        <v>6</v>
      </c>
      <c r="C29" t="s">
        <v>5</v>
      </c>
    </row>
    <row r="30" spans="1:3" x14ac:dyDescent="0.25">
      <c r="A30" s="1">
        <v>0.33354166666666668</v>
      </c>
      <c r="B30" t="s">
        <v>7</v>
      </c>
      <c r="C30" t="s">
        <v>8</v>
      </c>
    </row>
    <row r="31" spans="1:3" x14ac:dyDescent="0.25">
      <c r="A31" s="1">
        <v>0.33355324074074072</v>
      </c>
      <c r="B31" t="s">
        <v>7</v>
      </c>
      <c r="C31" t="s">
        <v>5</v>
      </c>
    </row>
    <row r="32" spans="1:3" x14ac:dyDescent="0.25">
      <c r="A32" s="1">
        <v>0.33355324074074072</v>
      </c>
      <c r="B32" t="s">
        <v>4</v>
      </c>
      <c r="C32" t="s">
        <v>5</v>
      </c>
    </row>
    <row r="33" spans="1:3" x14ac:dyDescent="0.25">
      <c r="A33" s="1">
        <v>0.33355324074074072</v>
      </c>
      <c r="B33" t="s">
        <v>4</v>
      </c>
      <c r="C33" t="s">
        <v>8</v>
      </c>
    </row>
    <row r="34" spans="1:3" x14ac:dyDescent="0.25">
      <c r="A34" s="1">
        <v>0.33355324074074072</v>
      </c>
      <c r="B34" t="s">
        <v>4</v>
      </c>
      <c r="C34" t="s">
        <v>8</v>
      </c>
    </row>
    <row r="35" spans="1:3" x14ac:dyDescent="0.25">
      <c r="A35" s="1">
        <v>0.33356481481481487</v>
      </c>
      <c r="B35" t="s">
        <v>6</v>
      </c>
      <c r="C35" t="s">
        <v>5</v>
      </c>
    </row>
    <row r="36" spans="1:3" x14ac:dyDescent="0.25">
      <c r="A36" s="1">
        <v>0.33357638888888891</v>
      </c>
      <c r="B36" t="s">
        <v>7</v>
      </c>
      <c r="C36" t="s">
        <v>5</v>
      </c>
    </row>
    <row r="37" spans="1:3" x14ac:dyDescent="0.25">
      <c r="A37" s="1">
        <v>0.33358796296296295</v>
      </c>
      <c r="B37" t="s">
        <v>4</v>
      </c>
      <c r="C37" t="s">
        <v>5</v>
      </c>
    </row>
    <row r="38" spans="1:3" x14ac:dyDescent="0.25">
      <c r="A38" s="1">
        <v>0.33358796296296295</v>
      </c>
      <c r="B38" t="s">
        <v>7</v>
      </c>
      <c r="C38" t="s">
        <v>5</v>
      </c>
    </row>
    <row r="39" spans="1:3" x14ac:dyDescent="0.25">
      <c r="A39" s="1">
        <v>0.33359953703703704</v>
      </c>
      <c r="B39" t="s">
        <v>6</v>
      </c>
      <c r="C39" t="s">
        <v>5</v>
      </c>
    </row>
    <row r="40" spans="1:3" x14ac:dyDescent="0.25">
      <c r="A40" s="1">
        <v>0.33359953703703704</v>
      </c>
      <c r="B40" t="s">
        <v>7</v>
      </c>
      <c r="C40" t="s">
        <v>5</v>
      </c>
    </row>
    <row r="41" spans="1:3" x14ac:dyDescent="0.25">
      <c r="A41" s="1">
        <v>0.33361111111111108</v>
      </c>
      <c r="B41" t="s">
        <v>6</v>
      </c>
      <c r="C41" t="s">
        <v>5</v>
      </c>
    </row>
    <row r="42" spans="1:3" x14ac:dyDescent="0.25">
      <c r="A42" s="1">
        <v>0.33361111111111108</v>
      </c>
      <c r="B42" t="s">
        <v>7</v>
      </c>
      <c r="C42" t="s">
        <v>8</v>
      </c>
    </row>
    <row r="43" spans="1:3" x14ac:dyDescent="0.25">
      <c r="A43" s="1">
        <v>0.33362268518518517</v>
      </c>
      <c r="B43" t="s">
        <v>4</v>
      </c>
      <c r="C43" t="s">
        <v>5</v>
      </c>
    </row>
    <row r="44" spans="1:3" x14ac:dyDescent="0.25">
      <c r="A44" s="1">
        <v>0.33362268518518517</v>
      </c>
      <c r="B44" t="s">
        <v>4</v>
      </c>
      <c r="C44" t="s">
        <v>8</v>
      </c>
    </row>
    <row r="45" spans="1:3" x14ac:dyDescent="0.25">
      <c r="A45" s="1">
        <v>0.33363425925925921</v>
      </c>
      <c r="B45" t="s">
        <v>6</v>
      </c>
      <c r="C45" t="s">
        <v>5</v>
      </c>
    </row>
    <row r="46" spans="1:3" x14ac:dyDescent="0.25">
      <c r="A46" s="1">
        <v>0.33364583333333336</v>
      </c>
      <c r="B46" t="s">
        <v>4</v>
      </c>
      <c r="C46" t="s">
        <v>5</v>
      </c>
    </row>
    <row r="47" spans="1:3" x14ac:dyDescent="0.25">
      <c r="A47" s="1">
        <v>0.3336574074074074</v>
      </c>
      <c r="B47" t="s">
        <v>7</v>
      </c>
      <c r="C47" t="s">
        <v>5</v>
      </c>
    </row>
    <row r="48" spans="1:3" x14ac:dyDescent="0.25">
      <c r="A48" s="1">
        <v>0.3336689814814815</v>
      </c>
      <c r="B48" t="s">
        <v>6</v>
      </c>
      <c r="C48" t="s">
        <v>5</v>
      </c>
    </row>
    <row r="49" spans="1:3" x14ac:dyDescent="0.25">
      <c r="A49" s="1">
        <v>0.33368055555555554</v>
      </c>
      <c r="B49" t="s">
        <v>7</v>
      </c>
      <c r="C49" t="s">
        <v>5</v>
      </c>
    </row>
    <row r="50" spans="1:3" x14ac:dyDescent="0.25">
      <c r="A50" s="1">
        <v>0.33369212962962963</v>
      </c>
      <c r="B50" t="s">
        <v>6</v>
      </c>
      <c r="C50" t="s">
        <v>5</v>
      </c>
    </row>
    <row r="51" spans="1:3" x14ac:dyDescent="0.25">
      <c r="A51" s="1">
        <v>0.33371527777777782</v>
      </c>
      <c r="B51" t="s">
        <v>4</v>
      </c>
      <c r="C51" t="s">
        <v>5</v>
      </c>
    </row>
    <row r="52" spans="1:3" x14ac:dyDescent="0.25">
      <c r="A52" s="1">
        <v>0.33371527777777782</v>
      </c>
      <c r="B52" t="s">
        <v>7</v>
      </c>
      <c r="C52" t="s">
        <v>5</v>
      </c>
    </row>
    <row r="53" spans="1:3" x14ac:dyDescent="0.25">
      <c r="A53" s="1">
        <v>0.33372685185185186</v>
      </c>
      <c r="B53" t="s">
        <v>6</v>
      </c>
      <c r="C53" t="s">
        <v>8</v>
      </c>
    </row>
    <row r="54" spans="1:3" x14ac:dyDescent="0.25">
      <c r="A54" s="1">
        <v>0.33376157407407409</v>
      </c>
      <c r="B54" t="s">
        <v>4</v>
      </c>
      <c r="C54" t="s">
        <v>5</v>
      </c>
    </row>
    <row r="55" spans="1:3" x14ac:dyDescent="0.25">
      <c r="A55" s="1">
        <v>0.33377314814814812</v>
      </c>
      <c r="B55" t="s">
        <v>6</v>
      </c>
      <c r="C55" t="s">
        <v>5</v>
      </c>
    </row>
    <row r="56" spans="1:3" x14ac:dyDescent="0.25">
      <c r="A56" s="1">
        <v>0.33379629629629631</v>
      </c>
      <c r="B56" t="s">
        <v>7</v>
      </c>
      <c r="C56" t="s">
        <v>5</v>
      </c>
    </row>
    <row r="57" spans="1:3" x14ac:dyDescent="0.25">
      <c r="A57" s="1">
        <v>0.33379629629629631</v>
      </c>
      <c r="B57" t="s">
        <v>7</v>
      </c>
      <c r="C57" t="s">
        <v>5</v>
      </c>
    </row>
    <row r="58" spans="1:3" x14ac:dyDescent="0.25">
      <c r="A58" s="1">
        <v>0.33380787037037035</v>
      </c>
      <c r="B58" t="s">
        <v>6</v>
      </c>
      <c r="C58" t="s">
        <v>5</v>
      </c>
    </row>
    <row r="59" spans="1:3" x14ac:dyDescent="0.25">
      <c r="A59" s="1">
        <v>0.33380787037037035</v>
      </c>
      <c r="B59" t="s">
        <v>4</v>
      </c>
      <c r="C59" t="s">
        <v>5</v>
      </c>
    </row>
    <row r="60" spans="1:3" x14ac:dyDescent="0.25">
      <c r="A60" s="1">
        <v>0.33383101851851849</v>
      </c>
      <c r="B60" t="s">
        <v>7</v>
      </c>
      <c r="C60" t="s">
        <v>5</v>
      </c>
    </row>
    <row r="61" spans="1:3" x14ac:dyDescent="0.25">
      <c r="A61" s="1">
        <v>0.33383101851851849</v>
      </c>
      <c r="B61" t="s">
        <v>7</v>
      </c>
      <c r="C61" t="s">
        <v>5</v>
      </c>
    </row>
    <row r="62" spans="1:3" x14ac:dyDescent="0.25">
      <c r="A62" s="1">
        <v>0.33384259259259258</v>
      </c>
      <c r="B62" t="s">
        <v>6</v>
      </c>
      <c r="C62" t="s">
        <v>5</v>
      </c>
    </row>
    <row r="63" spans="1:3" x14ac:dyDescent="0.25">
      <c r="A63" s="1">
        <v>0.33384259259259258</v>
      </c>
      <c r="B63" t="s">
        <v>6</v>
      </c>
      <c r="C63" t="s">
        <v>5</v>
      </c>
    </row>
    <row r="64" spans="1:3" x14ac:dyDescent="0.25">
      <c r="A64" s="1">
        <v>0.33385416666666662</v>
      </c>
      <c r="B64" t="s">
        <v>6</v>
      </c>
      <c r="C64" t="s">
        <v>5</v>
      </c>
    </row>
    <row r="65" spans="1:3" x14ac:dyDescent="0.25">
      <c r="A65" s="1">
        <v>0.33385416666666662</v>
      </c>
      <c r="B65" t="s">
        <v>4</v>
      </c>
      <c r="C65" t="s">
        <v>5</v>
      </c>
    </row>
    <row r="66" spans="1:3" x14ac:dyDescent="0.25">
      <c r="A66" s="1">
        <v>0.33386574074074077</v>
      </c>
      <c r="B66" t="s">
        <v>7</v>
      </c>
      <c r="C66" t="s">
        <v>5</v>
      </c>
    </row>
    <row r="67" spans="1:3" x14ac:dyDescent="0.25">
      <c r="A67" s="1">
        <v>0.3338888888888889</v>
      </c>
      <c r="B67" t="s">
        <v>6</v>
      </c>
      <c r="C67" t="s">
        <v>5</v>
      </c>
    </row>
    <row r="68" spans="1:3" x14ac:dyDescent="0.25">
      <c r="A68" s="1">
        <v>0.3338888888888889</v>
      </c>
      <c r="B68" t="s">
        <v>7</v>
      </c>
      <c r="C68" t="s">
        <v>5</v>
      </c>
    </row>
    <row r="69" spans="1:3" x14ac:dyDescent="0.25">
      <c r="A69" s="1">
        <v>0.33390046296296294</v>
      </c>
      <c r="B69" t="s">
        <v>7</v>
      </c>
      <c r="C69" t="s">
        <v>5</v>
      </c>
    </row>
    <row r="70" spans="1:3" x14ac:dyDescent="0.25">
      <c r="A70" s="1">
        <v>0.33390046296296294</v>
      </c>
      <c r="B70" t="s">
        <v>6</v>
      </c>
      <c r="C70" t="s">
        <v>5</v>
      </c>
    </row>
    <row r="71" spans="1:3" x14ac:dyDescent="0.25">
      <c r="A71" s="1">
        <v>0.33392361111111107</v>
      </c>
      <c r="B71" t="s">
        <v>4</v>
      </c>
      <c r="C71" t="s">
        <v>5</v>
      </c>
    </row>
    <row r="72" spans="1:3" x14ac:dyDescent="0.25">
      <c r="A72" s="1">
        <v>0.33392361111111107</v>
      </c>
      <c r="B72" t="s">
        <v>4</v>
      </c>
      <c r="C72" t="s">
        <v>5</v>
      </c>
    </row>
    <row r="73" spans="1:3" x14ac:dyDescent="0.25">
      <c r="A73" s="1">
        <v>0.33393518518518522</v>
      </c>
      <c r="B73" t="s">
        <v>7</v>
      </c>
      <c r="C73" t="s">
        <v>5</v>
      </c>
    </row>
    <row r="74" spans="1:3" x14ac:dyDescent="0.25">
      <c r="A74" s="1">
        <v>0.33394675925925926</v>
      </c>
      <c r="B74" t="s">
        <v>6</v>
      </c>
      <c r="C74" t="s">
        <v>5</v>
      </c>
    </row>
    <row r="75" spans="1:3" x14ac:dyDescent="0.25">
      <c r="A75" s="1">
        <v>0.33394675925925926</v>
      </c>
      <c r="B75" t="s">
        <v>4</v>
      </c>
      <c r="C75" t="s">
        <v>5</v>
      </c>
    </row>
    <row r="76" spans="1:3" x14ac:dyDescent="0.25">
      <c r="A76" s="1">
        <v>0.3339699074074074</v>
      </c>
      <c r="B76" t="s">
        <v>6</v>
      </c>
      <c r="C76" t="s">
        <v>5</v>
      </c>
    </row>
    <row r="77" spans="1:3" x14ac:dyDescent="0.25">
      <c r="A77" s="1">
        <v>0.3339699074074074</v>
      </c>
      <c r="B77" t="s">
        <v>7</v>
      </c>
      <c r="C77" t="s">
        <v>5</v>
      </c>
    </row>
    <row r="78" spans="1:3" x14ac:dyDescent="0.25">
      <c r="A78" s="1">
        <v>0.33398148148148149</v>
      </c>
      <c r="B78" t="s">
        <v>4</v>
      </c>
      <c r="C78" t="s">
        <v>5</v>
      </c>
    </row>
    <row r="79" spans="1:3" x14ac:dyDescent="0.25">
      <c r="A79" s="1">
        <v>0.33399305555555553</v>
      </c>
      <c r="B79" t="s">
        <v>7</v>
      </c>
      <c r="C79" t="s">
        <v>5</v>
      </c>
    </row>
    <row r="80" spans="1:3" x14ac:dyDescent="0.25">
      <c r="A80" s="1">
        <v>0.33400462962962968</v>
      </c>
      <c r="B80" t="s">
        <v>6</v>
      </c>
      <c r="C80" t="s">
        <v>5</v>
      </c>
    </row>
    <row r="81" spans="1:3" x14ac:dyDescent="0.25">
      <c r="A81" s="1">
        <v>0.33400462962962968</v>
      </c>
      <c r="B81" t="s">
        <v>4</v>
      </c>
      <c r="C81" t="s">
        <v>8</v>
      </c>
    </row>
    <row r="82" spans="1:3" x14ac:dyDescent="0.25">
      <c r="A82" s="1">
        <v>0.33400462962962968</v>
      </c>
      <c r="B82" t="s">
        <v>6</v>
      </c>
      <c r="C82" t="s">
        <v>8</v>
      </c>
    </row>
    <row r="83" spans="1:3" x14ac:dyDescent="0.25">
      <c r="A83" s="1">
        <v>0.33402777777777781</v>
      </c>
      <c r="B83" t="s">
        <v>6</v>
      </c>
      <c r="C83" t="s">
        <v>5</v>
      </c>
    </row>
    <row r="84" spans="1:3" x14ac:dyDescent="0.25">
      <c r="A84" s="1">
        <v>0.33402777777777781</v>
      </c>
      <c r="B84" t="s">
        <v>7</v>
      </c>
      <c r="C84" t="s">
        <v>5</v>
      </c>
    </row>
    <row r="85" spans="1:3" x14ac:dyDescent="0.25">
      <c r="A85" s="1">
        <v>0.33403935185185185</v>
      </c>
      <c r="B85" t="s">
        <v>6</v>
      </c>
      <c r="C85" t="s">
        <v>5</v>
      </c>
    </row>
    <row r="86" spans="1:3" x14ac:dyDescent="0.25">
      <c r="A86" s="1">
        <v>0.33403935185185185</v>
      </c>
      <c r="B86" t="s">
        <v>7</v>
      </c>
      <c r="C86" t="s">
        <v>5</v>
      </c>
    </row>
    <row r="87" spans="1:3" x14ac:dyDescent="0.25">
      <c r="A87" s="1">
        <v>0.33406249999999998</v>
      </c>
      <c r="B87" t="s">
        <v>4</v>
      </c>
      <c r="C87" t="s">
        <v>5</v>
      </c>
    </row>
    <row r="88" spans="1:3" x14ac:dyDescent="0.25">
      <c r="A88" s="1">
        <v>0.33406249999999998</v>
      </c>
      <c r="B88" t="s">
        <v>4</v>
      </c>
      <c r="C88" t="s">
        <v>5</v>
      </c>
    </row>
    <row r="89" spans="1:3" x14ac:dyDescent="0.25">
      <c r="A89" s="1">
        <v>0.33406249999999998</v>
      </c>
      <c r="B89" t="s">
        <v>7</v>
      </c>
      <c r="C89" t="s">
        <v>5</v>
      </c>
    </row>
    <row r="90" spans="1:3" x14ac:dyDescent="0.25">
      <c r="A90" s="1">
        <v>0.33408564814814817</v>
      </c>
      <c r="B90" t="s">
        <v>7</v>
      </c>
      <c r="C90" t="s">
        <v>5</v>
      </c>
    </row>
    <row r="91" spans="1:3" x14ac:dyDescent="0.25">
      <c r="A91" s="1">
        <v>0.33409722222222221</v>
      </c>
      <c r="B91" t="s">
        <v>6</v>
      </c>
      <c r="C91" t="s">
        <v>5</v>
      </c>
    </row>
    <row r="92" spans="1:3" x14ac:dyDescent="0.25">
      <c r="A92" s="1">
        <v>0.33409722222222221</v>
      </c>
      <c r="B92" t="s">
        <v>7</v>
      </c>
      <c r="C92" t="s">
        <v>5</v>
      </c>
    </row>
    <row r="93" spans="1:3" x14ac:dyDescent="0.25">
      <c r="A93" s="1">
        <v>0.33409722222222221</v>
      </c>
      <c r="B93" t="s">
        <v>4</v>
      </c>
      <c r="C93" t="s">
        <v>5</v>
      </c>
    </row>
    <row r="94" spans="1:3" x14ac:dyDescent="0.25">
      <c r="A94" s="1">
        <v>0.33410879629629631</v>
      </c>
      <c r="B94" t="s">
        <v>6</v>
      </c>
      <c r="C94" t="s">
        <v>5</v>
      </c>
    </row>
    <row r="95" spans="1:3" x14ac:dyDescent="0.25">
      <c r="A95" s="1">
        <v>0.33412037037037035</v>
      </c>
      <c r="B95" t="s">
        <v>4</v>
      </c>
      <c r="C95" t="s">
        <v>5</v>
      </c>
    </row>
    <row r="96" spans="1:3" x14ac:dyDescent="0.25">
      <c r="A96" s="1">
        <v>0.33412037037037035</v>
      </c>
      <c r="B96" t="s">
        <v>6</v>
      </c>
      <c r="C96" t="s">
        <v>5</v>
      </c>
    </row>
    <row r="97" spans="1:3" x14ac:dyDescent="0.25">
      <c r="A97" s="1">
        <v>0.33413194444444444</v>
      </c>
      <c r="B97" t="s">
        <v>7</v>
      </c>
      <c r="C97" t="s">
        <v>5</v>
      </c>
    </row>
    <row r="98" spans="1:3" x14ac:dyDescent="0.25">
      <c r="A98" s="1">
        <v>0.33414351851851848</v>
      </c>
      <c r="B98" t="s">
        <v>6</v>
      </c>
      <c r="C98" t="s">
        <v>5</v>
      </c>
    </row>
    <row r="99" spans="1:3" x14ac:dyDescent="0.25">
      <c r="A99" s="1">
        <v>0.33416666666666667</v>
      </c>
      <c r="B99" t="s">
        <v>7</v>
      </c>
      <c r="C99" t="s">
        <v>5</v>
      </c>
    </row>
    <row r="100" spans="1:3" x14ac:dyDescent="0.25">
      <c r="A100" s="1">
        <v>0.33417824074074076</v>
      </c>
      <c r="B100" t="s">
        <v>4</v>
      </c>
      <c r="C100" t="s">
        <v>5</v>
      </c>
    </row>
    <row r="101" spans="1:3" x14ac:dyDescent="0.25">
      <c r="A101" s="1">
        <v>0.3341898148148148</v>
      </c>
      <c r="B101" t="s">
        <v>6</v>
      </c>
      <c r="C101" t="s">
        <v>5</v>
      </c>
    </row>
    <row r="102" spans="1:3" x14ac:dyDescent="0.25">
      <c r="A102" s="1">
        <v>0.3342013888888889</v>
      </c>
      <c r="B102" t="s">
        <v>7</v>
      </c>
      <c r="C102" t="s">
        <v>5</v>
      </c>
    </row>
    <row r="103" spans="1:3" x14ac:dyDescent="0.25">
      <c r="A103" s="1">
        <v>0.3342013888888889</v>
      </c>
      <c r="B103" t="s">
        <v>4</v>
      </c>
      <c r="C103" t="s">
        <v>5</v>
      </c>
    </row>
    <row r="104" spans="1:3" x14ac:dyDescent="0.25">
      <c r="A104" s="1">
        <v>0.33421296296296293</v>
      </c>
      <c r="B104" t="s">
        <v>7</v>
      </c>
      <c r="C104" t="s">
        <v>5</v>
      </c>
    </row>
    <row r="105" spans="1:3" x14ac:dyDescent="0.25">
      <c r="A105" s="1">
        <v>0.33422453703703708</v>
      </c>
      <c r="B105" t="s">
        <v>4</v>
      </c>
      <c r="C105" t="s">
        <v>5</v>
      </c>
    </row>
    <row r="106" spans="1:3" x14ac:dyDescent="0.25">
      <c r="A106" s="1">
        <v>0.33422453703703708</v>
      </c>
      <c r="B106" t="s">
        <v>6</v>
      </c>
      <c r="C106" t="s">
        <v>5</v>
      </c>
    </row>
    <row r="107" spans="1:3" x14ac:dyDescent="0.25">
      <c r="A107" s="1">
        <v>0.33424768518518522</v>
      </c>
      <c r="B107" t="s">
        <v>4</v>
      </c>
      <c r="C107" t="s">
        <v>5</v>
      </c>
    </row>
    <row r="108" spans="1:3" x14ac:dyDescent="0.25">
      <c r="A108" s="1">
        <v>0.33424768518518522</v>
      </c>
      <c r="B108" t="s">
        <v>7</v>
      </c>
      <c r="C108" t="s">
        <v>5</v>
      </c>
    </row>
    <row r="109" spans="1:3" x14ac:dyDescent="0.25">
      <c r="A109" s="1">
        <v>0.33424768518518522</v>
      </c>
      <c r="B109" t="s">
        <v>4</v>
      </c>
      <c r="C109" t="s">
        <v>8</v>
      </c>
    </row>
    <row r="110" spans="1:3" x14ac:dyDescent="0.25">
      <c r="A110" s="1">
        <v>0.33425925925925926</v>
      </c>
      <c r="B110" t="s">
        <v>6</v>
      </c>
      <c r="C110" t="s">
        <v>5</v>
      </c>
    </row>
    <row r="111" spans="1:3" x14ac:dyDescent="0.25">
      <c r="A111" s="1">
        <v>0.33427083333333335</v>
      </c>
      <c r="B111" t="s">
        <v>7</v>
      </c>
      <c r="C111" t="s">
        <v>5</v>
      </c>
    </row>
    <row r="112" spans="1:3" x14ac:dyDescent="0.25">
      <c r="A112" s="1">
        <v>0.33427083333333335</v>
      </c>
      <c r="B112" t="s">
        <v>4</v>
      </c>
      <c r="C112" t="s">
        <v>8</v>
      </c>
    </row>
    <row r="113" spans="1:3" x14ac:dyDescent="0.25">
      <c r="A113" s="1">
        <v>0.33427083333333335</v>
      </c>
      <c r="B113" t="s">
        <v>6</v>
      </c>
      <c r="C113" t="s">
        <v>5</v>
      </c>
    </row>
    <row r="114" spans="1:3" x14ac:dyDescent="0.25">
      <c r="A114" s="1">
        <v>0.33427083333333335</v>
      </c>
      <c r="B114" t="s">
        <v>7</v>
      </c>
      <c r="C114" t="s">
        <v>8</v>
      </c>
    </row>
    <row r="115" spans="1:3" x14ac:dyDescent="0.25">
      <c r="A115" s="1">
        <v>0.33427083333333335</v>
      </c>
      <c r="B115" t="s">
        <v>6</v>
      </c>
      <c r="C115" t="s">
        <v>8</v>
      </c>
    </row>
    <row r="116" spans="1:3" x14ac:dyDescent="0.25">
      <c r="A116" s="1">
        <v>0.33427083333333335</v>
      </c>
      <c r="B116" t="s">
        <v>6</v>
      </c>
      <c r="C116" t="s">
        <v>8</v>
      </c>
    </row>
    <row r="117" spans="1:3" x14ac:dyDescent="0.25">
      <c r="A117" s="1">
        <v>0.33428240740740739</v>
      </c>
      <c r="B117" t="s">
        <v>7</v>
      </c>
      <c r="C117" t="s">
        <v>5</v>
      </c>
    </row>
    <row r="118" spans="1:3" x14ac:dyDescent="0.25">
      <c r="A118" s="1">
        <v>0.33429398148148143</v>
      </c>
      <c r="B118" t="s">
        <v>4</v>
      </c>
      <c r="C118" t="s">
        <v>5</v>
      </c>
    </row>
    <row r="119" spans="1:3" x14ac:dyDescent="0.25">
      <c r="A119" s="1">
        <v>0.33430555555555558</v>
      </c>
      <c r="B119" t="s">
        <v>6</v>
      </c>
      <c r="C119" t="s">
        <v>5</v>
      </c>
    </row>
    <row r="120" spans="1:3" x14ac:dyDescent="0.25">
      <c r="A120" s="1">
        <v>0.33431712962962962</v>
      </c>
      <c r="B120" t="s">
        <v>7</v>
      </c>
      <c r="C120" t="s">
        <v>5</v>
      </c>
    </row>
    <row r="121" spans="1:3" x14ac:dyDescent="0.25">
      <c r="A121" s="1">
        <v>0.33431712962962962</v>
      </c>
      <c r="B121" t="s">
        <v>7</v>
      </c>
      <c r="C121" t="s">
        <v>8</v>
      </c>
    </row>
    <row r="122" spans="1:3" x14ac:dyDescent="0.25">
      <c r="A122" s="1">
        <v>0.33432870370370371</v>
      </c>
      <c r="B122" t="s">
        <v>4</v>
      </c>
      <c r="C122" t="s">
        <v>5</v>
      </c>
    </row>
    <row r="123" spans="1:3" x14ac:dyDescent="0.25">
      <c r="A123" s="1">
        <v>0.33434027777777775</v>
      </c>
      <c r="B123" t="s">
        <v>4</v>
      </c>
      <c r="C123" t="s">
        <v>5</v>
      </c>
    </row>
    <row r="124" spans="1:3" x14ac:dyDescent="0.25">
      <c r="A124" s="1">
        <v>0.33434027777777775</v>
      </c>
      <c r="B124" t="s">
        <v>6</v>
      </c>
      <c r="C124" t="s">
        <v>5</v>
      </c>
    </row>
    <row r="125" spans="1:3" x14ac:dyDescent="0.25">
      <c r="A125" s="1">
        <v>0.33435185185185184</v>
      </c>
      <c r="B125" t="s">
        <v>7</v>
      </c>
      <c r="C125" t="s">
        <v>8</v>
      </c>
    </row>
    <row r="126" spans="1:3" x14ac:dyDescent="0.25">
      <c r="A126" s="1">
        <v>0.33435185185185184</v>
      </c>
      <c r="B126" t="s">
        <v>7</v>
      </c>
      <c r="C126" t="s">
        <v>5</v>
      </c>
    </row>
    <row r="127" spans="1:3" x14ac:dyDescent="0.25">
      <c r="A127" s="1">
        <v>0.33436342592592588</v>
      </c>
      <c r="B127" t="s">
        <v>4</v>
      </c>
      <c r="C127" t="s">
        <v>5</v>
      </c>
    </row>
    <row r="128" spans="1:3" x14ac:dyDescent="0.25">
      <c r="A128" s="1">
        <v>0.33438657407407407</v>
      </c>
      <c r="B128" t="s">
        <v>6</v>
      </c>
      <c r="C128" t="s">
        <v>5</v>
      </c>
    </row>
    <row r="129" spans="1:3" x14ac:dyDescent="0.25">
      <c r="A129" s="1">
        <v>0.33438657407407407</v>
      </c>
      <c r="B129" t="s">
        <v>4</v>
      </c>
      <c r="C129" t="s">
        <v>5</v>
      </c>
    </row>
    <row r="130" spans="1:3" x14ac:dyDescent="0.25">
      <c r="A130" s="1">
        <v>0.33439814814814817</v>
      </c>
      <c r="B130" t="s">
        <v>7</v>
      </c>
      <c r="C130" t="s">
        <v>5</v>
      </c>
    </row>
    <row r="131" spans="1:3" x14ac:dyDescent="0.25">
      <c r="A131" s="1">
        <v>0.33439814814814817</v>
      </c>
      <c r="B131" t="s">
        <v>6</v>
      </c>
      <c r="C131" t="s">
        <v>5</v>
      </c>
    </row>
    <row r="132" spans="1:3" x14ac:dyDescent="0.25">
      <c r="A132" s="1">
        <v>0.33440972222222221</v>
      </c>
      <c r="B132" t="s">
        <v>7</v>
      </c>
      <c r="C132" t="s">
        <v>5</v>
      </c>
    </row>
    <row r="133" spans="1:3" x14ac:dyDescent="0.25">
      <c r="A133" s="1">
        <v>0.3344212962962963</v>
      </c>
      <c r="B133" t="s">
        <v>4</v>
      </c>
      <c r="C133" t="s">
        <v>5</v>
      </c>
    </row>
    <row r="134" spans="1:3" x14ac:dyDescent="0.25">
      <c r="A134" s="1">
        <v>0.33443287037037034</v>
      </c>
      <c r="B134" t="s">
        <v>7</v>
      </c>
      <c r="C134" t="s">
        <v>8</v>
      </c>
    </row>
    <row r="135" spans="1:3" x14ac:dyDescent="0.25">
      <c r="A135" s="1">
        <v>0.33443287037037034</v>
      </c>
      <c r="B135" t="s">
        <v>6</v>
      </c>
      <c r="C135" t="s">
        <v>5</v>
      </c>
    </row>
    <row r="136" spans="1:3" x14ac:dyDescent="0.25">
      <c r="A136" s="1">
        <v>0.33443287037037034</v>
      </c>
      <c r="B136" t="s">
        <v>6</v>
      </c>
      <c r="C136" t="s">
        <v>8</v>
      </c>
    </row>
    <row r="137" spans="1:3" x14ac:dyDescent="0.25">
      <c r="A137" s="1">
        <v>0.33444444444444449</v>
      </c>
      <c r="B137" t="s">
        <v>4</v>
      </c>
      <c r="C137" t="s">
        <v>5</v>
      </c>
    </row>
    <row r="138" spans="1:3" x14ac:dyDescent="0.25">
      <c r="A138" s="1">
        <v>0.33445601851851853</v>
      </c>
      <c r="B138" t="s">
        <v>7</v>
      </c>
      <c r="C138" t="s">
        <v>5</v>
      </c>
    </row>
    <row r="139" spans="1:3" x14ac:dyDescent="0.25">
      <c r="A139" s="1">
        <v>0.33446759259259262</v>
      </c>
      <c r="B139" t="s">
        <v>6</v>
      </c>
      <c r="C139" t="s">
        <v>5</v>
      </c>
    </row>
    <row r="140" spans="1:3" x14ac:dyDescent="0.25">
      <c r="A140" s="1">
        <v>0.33446759259259262</v>
      </c>
      <c r="B140" t="s">
        <v>4</v>
      </c>
      <c r="C140" t="s">
        <v>5</v>
      </c>
    </row>
    <row r="141" spans="1:3" x14ac:dyDescent="0.25">
      <c r="A141" s="1">
        <v>0.33447916666666666</v>
      </c>
      <c r="B141" t="s">
        <v>7</v>
      </c>
      <c r="C141" t="s">
        <v>5</v>
      </c>
    </row>
    <row r="142" spans="1:3" x14ac:dyDescent="0.25">
      <c r="A142" s="1">
        <v>0.33449074074074076</v>
      </c>
      <c r="B142" t="s">
        <v>6</v>
      </c>
      <c r="C142" t="s">
        <v>5</v>
      </c>
    </row>
    <row r="143" spans="1:3" x14ac:dyDescent="0.25">
      <c r="A143" s="1">
        <v>0.33449074074074076</v>
      </c>
      <c r="B143" t="s">
        <v>6</v>
      </c>
      <c r="C143" t="s">
        <v>8</v>
      </c>
    </row>
    <row r="144" spans="1:3" x14ac:dyDescent="0.25">
      <c r="A144" s="1">
        <v>0.33450231481481479</v>
      </c>
      <c r="B144" t="s">
        <v>4</v>
      </c>
      <c r="C144" t="s">
        <v>5</v>
      </c>
    </row>
    <row r="145" spans="1:3" x14ac:dyDescent="0.25">
      <c r="A145" s="1">
        <v>0.33451388888888894</v>
      </c>
      <c r="B145" t="s">
        <v>7</v>
      </c>
      <c r="C145" t="s">
        <v>5</v>
      </c>
    </row>
    <row r="146" spans="1:3" x14ac:dyDescent="0.25">
      <c r="A146" s="1">
        <v>0.33451388888888894</v>
      </c>
      <c r="B146" t="s">
        <v>6</v>
      </c>
      <c r="C146" t="s">
        <v>5</v>
      </c>
    </row>
    <row r="147" spans="1:3" x14ac:dyDescent="0.25">
      <c r="A147" s="1">
        <v>0.33452546296296298</v>
      </c>
      <c r="B147" t="s">
        <v>4</v>
      </c>
      <c r="C147" t="s">
        <v>5</v>
      </c>
    </row>
    <row r="148" spans="1:3" x14ac:dyDescent="0.25">
      <c r="A148" s="1">
        <v>0.33453703703703702</v>
      </c>
      <c r="B148" t="s">
        <v>7</v>
      </c>
      <c r="C148" t="s">
        <v>5</v>
      </c>
    </row>
    <row r="149" spans="1:3" x14ac:dyDescent="0.25">
      <c r="A149" s="1">
        <v>0.33453703703703702</v>
      </c>
      <c r="B149" t="s">
        <v>6</v>
      </c>
      <c r="C149" t="s">
        <v>5</v>
      </c>
    </row>
    <row r="150" spans="1:3" x14ac:dyDescent="0.25">
      <c r="A150" s="1">
        <v>0.33453703703703702</v>
      </c>
      <c r="B150" t="s">
        <v>4</v>
      </c>
      <c r="C150" t="s">
        <v>8</v>
      </c>
    </row>
    <row r="151" spans="1:3" x14ac:dyDescent="0.25">
      <c r="A151" s="1">
        <v>0.33457175925925925</v>
      </c>
      <c r="B151" t="s">
        <v>4</v>
      </c>
      <c r="C151" t="s">
        <v>5</v>
      </c>
    </row>
    <row r="152" spans="1:3" x14ac:dyDescent="0.25">
      <c r="A152" s="1">
        <v>0.33457175925925925</v>
      </c>
      <c r="B152" t="s">
        <v>7</v>
      </c>
      <c r="C152" t="s">
        <v>5</v>
      </c>
    </row>
    <row r="153" spans="1:3" x14ac:dyDescent="0.25">
      <c r="A153" s="1">
        <v>0.33459490740740744</v>
      </c>
      <c r="B153" t="s">
        <v>6</v>
      </c>
      <c r="C153" t="s">
        <v>5</v>
      </c>
    </row>
    <row r="154" spans="1:3" x14ac:dyDescent="0.25">
      <c r="A154" s="1">
        <v>0.33460648148148148</v>
      </c>
      <c r="B154" t="s">
        <v>4</v>
      </c>
      <c r="C154" t="s">
        <v>5</v>
      </c>
    </row>
    <row r="155" spans="1:3" x14ac:dyDescent="0.25">
      <c r="A155" s="1">
        <v>0.33460648148148148</v>
      </c>
      <c r="B155" t="s">
        <v>7</v>
      </c>
      <c r="C155" t="s">
        <v>5</v>
      </c>
    </row>
    <row r="156" spans="1:3" x14ac:dyDescent="0.25">
      <c r="A156" s="1">
        <v>0.33461805555555557</v>
      </c>
      <c r="B156" t="s">
        <v>6</v>
      </c>
      <c r="C156" t="s">
        <v>5</v>
      </c>
    </row>
    <row r="157" spans="1:3" x14ac:dyDescent="0.25">
      <c r="A157" s="1">
        <v>0.33461805555555557</v>
      </c>
      <c r="B157" t="s">
        <v>4</v>
      </c>
      <c r="C157" t="s">
        <v>8</v>
      </c>
    </row>
    <row r="158" spans="1:3" x14ac:dyDescent="0.25">
      <c r="A158" s="1">
        <v>0.33462962962962961</v>
      </c>
      <c r="B158" t="s">
        <v>7</v>
      </c>
      <c r="C158" t="s">
        <v>5</v>
      </c>
    </row>
    <row r="159" spans="1:3" x14ac:dyDescent="0.25">
      <c r="A159" s="1">
        <v>0.3346412037037037</v>
      </c>
      <c r="B159" t="s">
        <v>4</v>
      </c>
      <c r="C159" t="s">
        <v>8</v>
      </c>
    </row>
    <row r="160" spans="1:3" x14ac:dyDescent="0.25">
      <c r="A160" s="1">
        <v>0.33465277777777774</v>
      </c>
      <c r="B160" t="s">
        <v>6</v>
      </c>
      <c r="C160" t="s">
        <v>5</v>
      </c>
    </row>
    <row r="161" spans="1:3" x14ac:dyDescent="0.25">
      <c r="A161" s="1">
        <v>0.33465277777777774</v>
      </c>
      <c r="B161" t="s">
        <v>7</v>
      </c>
      <c r="C161" t="s">
        <v>5</v>
      </c>
    </row>
    <row r="162" spans="1:3" x14ac:dyDescent="0.25">
      <c r="A162" s="1">
        <v>0.33467592592592593</v>
      </c>
      <c r="B162" t="s">
        <v>6</v>
      </c>
      <c r="C162" t="s">
        <v>5</v>
      </c>
    </row>
    <row r="163" spans="1:3" x14ac:dyDescent="0.25">
      <c r="A163" s="1">
        <v>0.33467592592592593</v>
      </c>
      <c r="B163" t="s">
        <v>7</v>
      </c>
      <c r="C163" t="s">
        <v>5</v>
      </c>
    </row>
    <row r="164" spans="1:3" x14ac:dyDescent="0.25">
      <c r="A164" s="1">
        <v>0.33468750000000003</v>
      </c>
      <c r="B164" t="s">
        <v>4</v>
      </c>
      <c r="C164" t="s">
        <v>5</v>
      </c>
    </row>
    <row r="165" spans="1:3" x14ac:dyDescent="0.25">
      <c r="A165" s="1">
        <v>0.33468750000000003</v>
      </c>
      <c r="B165" t="s">
        <v>6</v>
      </c>
      <c r="C165" t="s">
        <v>5</v>
      </c>
    </row>
    <row r="166" spans="1:3" x14ac:dyDescent="0.25">
      <c r="A166" s="1">
        <v>0.33469907407407407</v>
      </c>
      <c r="B166" t="s">
        <v>7</v>
      </c>
      <c r="C166" t="s">
        <v>5</v>
      </c>
    </row>
    <row r="167" spans="1:3" x14ac:dyDescent="0.25">
      <c r="A167" s="1">
        <v>0.33471064814814816</v>
      </c>
      <c r="B167" t="s">
        <v>4</v>
      </c>
      <c r="C167" t="s">
        <v>5</v>
      </c>
    </row>
    <row r="168" spans="1:3" x14ac:dyDescent="0.25">
      <c r="A168" s="1">
        <v>0.3347222222222222</v>
      </c>
      <c r="B168" t="s">
        <v>6</v>
      </c>
      <c r="C168" t="s">
        <v>5</v>
      </c>
    </row>
    <row r="169" spans="1:3" x14ac:dyDescent="0.25">
      <c r="A169" s="1">
        <v>0.33473379629629635</v>
      </c>
      <c r="B169" t="s">
        <v>7</v>
      </c>
      <c r="C169" t="s">
        <v>5</v>
      </c>
    </row>
    <row r="170" spans="1:3" x14ac:dyDescent="0.25">
      <c r="A170" s="1">
        <v>0.33473379629629635</v>
      </c>
      <c r="B170" t="s">
        <v>6</v>
      </c>
      <c r="C170" t="s">
        <v>5</v>
      </c>
    </row>
    <row r="171" spans="1:3" x14ac:dyDescent="0.25">
      <c r="A171" s="1">
        <v>0.33474537037037039</v>
      </c>
      <c r="B171" t="s">
        <v>4</v>
      </c>
      <c r="C171" t="s">
        <v>5</v>
      </c>
    </row>
    <row r="172" spans="1:3" x14ac:dyDescent="0.25">
      <c r="A172" s="1">
        <v>0.33474537037037039</v>
      </c>
      <c r="B172" t="s">
        <v>6</v>
      </c>
      <c r="C172" t="s">
        <v>5</v>
      </c>
    </row>
    <row r="173" spans="1:3" x14ac:dyDescent="0.25">
      <c r="A173" s="1">
        <v>0.33476851851851852</v>
      </c>
      <c r="B173" t="s">
        <v>7</v>
      </c>
      <c r="C173" t="s">
        <v>5</v>
      </c>
    </row>
    <row r="174" spans="1:3" x14ac:dyDescent="0.25">
      <c r="A174" s="1">
        <v>0.33476851851851852</v>
      </c>
      <c r="B174" t="s">
        <v>4</v>
      </c>
      <c r="C174" t="s">
        <v>5</v>
      </c>
    </row>
    <row r="175" spans="1:3" x14ac:dyDescent="0.25">
      <c r="A175" s="1">
        <v>0.33476851851851852</v>
      </c>
      <c r="B175" t="s">
        <v>7</v>
      </c>
      <c r="C175" t="s">
        <v>8</v>
      </c>
    </row>
    <row r="176" spans="1:3" x14ac:dyDescent="0.25">
      <c r="A176" s="1">
        <v>0.33476851851851852</v>
      </c>
      <c r="B176" t="s">
        <v>7</v>
      </c>
      <c r="C176" t="s">
        <v>5</v>
      </c>
    </row>
    <row r="177" spans="1:3" x14ac:dyDescent="0.25">
      <c r="A177" s="1">
        <v>0.33478009259259256</v>
      </c>
      <c r="B177" t="s">
        <v>6</v>
      </c>
      <c r="C177" t="s">
        <v>5</v>
      </c>
    </row>
    <row r="178" spans="1:3" x14ac:dyDescent="0.25">
      <c r="A178" s="1">
        <v>0.33479166666666665</v>
      </c>
      <c r="B178" t="s">
        <v>4</v>
      </c>
      <c r="C178" t="s">
        <v>5</v>
      </c>
    </row>
    <row r="179" spans="1:3" x14ac:dyDescent="0.25">
      <c r="A179" s="1">
        <v>0.33479166666666665</v>
      </c>
      <c r="B179" t="s">
        <v>4</v>
      </c>
      <c r="C179" t="s">
        <v>5</v>
      </c>
    </row>
    <row r="180" spans="1:3" x14ac:dyDescent="0.25">
      <c r="A180" s="1">
        <v>0.33481481481481484</v>
      </c>
      <c r="B180" t="s">
        <v>7</v>
      </c>
      <c r="C180" t="s">
        <v>5</v>
      </c>
    </row>
    <row r="181" spans="1:3" x14ac:dyDescent="0.25">
      <c r="A181" s="1">
        <v>0.33481481481481484</v>
      </c>
      <c r="B181" t="s">
        <v>6</v>
      </c>
      <c r="C181" t="s">
        <v>5</v>
      </c>
    </row>
    <row r="182" spans="1:3" x14ac:dyDescent="0.25">
      <c r="A182" s="1">
        <v>0.33483796296296298</v>
      </c>
      <c r="B182" t="s">
        <v>6</v>
      </c>
      <c r="C182" t="s">
        <v>5</v>
      </c>
    </row>
    <row r="183" spans="1:3" x14ac:dyDescent="0.25">
      <c r="A183" s="1">
        <v>0.33483796296296298</v>
      </c>
      <c r="B183" t="s">
        <v>7</v>
      </c>
      <c r="C183" t="s">
        <v>5</v>
      </c>
    </row>
    <row r="184" spans="1:3" x14ac:dyDescent="0.25">
      <c r="A184" s="1">
        <v>0.33483796296296298</v>
      </c>
      <c r="B184" t="s">
        <v>7</v>
      </c>
      <c r="C184" t="s">
        <v>8</v>
      </c>
    </row>
    <row r="185" spans="1:3" x14ac:dyDescent="0.25">
      <c r="A185" s="1">
        <v>0.33484953703703701</v>
      </c>
      <c r="B185" t="s">
        <v>6</v>
      </c>
      <c r="C185" t="s">
        <v>5</v>
      </c>
    </row>
    <row r="186" spans="1:3" x14ac:dyDescent="0.25">
      <c r="A186" s="1">
        <v>0.33486111111111111</v>
      </c>
      <c r="B186" t="s">
        <v>4</v>
      </c>
      <c r="C186" t="s">
        <v>5</v>
      </c>
    </row>
    <row r="187" spans="1:3" x14ac:dyDescent="0.25">
      <c r="A187" s="1">
        <v>0.33487268518518515</v>
      </c>
      <c r="B187" t="s">
        <v>6</v>
      </c>
      <c r="C187" t="s">
        <v>5</v>
      </c>
    </row>
    <row r="188" spans="1:3" x14ac:dyDescent="0.25">
      <c r="A188" s="1">
        <v>0.3348842592592593</v>
      </c>
      <c r="B188" t="s">
        <v>7</v>
      </c>
      <c r="C188" t="s">
        <v>5</v>
      </c>
    </row>
    <row r="189" spans="1:3" x14ac:dyDescent="0.25">
      <c r="A189" s="1">
        <v>0.33489583333333334</v>
      </c>
      <c r="B189" t="s">
        <v>6</v>
      </c>
      <c r="C189" t="s">
        <v>5</v>
      </c>
    </row>
    <row r="190" spans="1:3" x14ac:dyDescent="0.25">
      <c r="A190" s="1">
        <v>0.33490740740740743</v>
      </c>
      <c r="B190" t="s">
        <v>7</v>
      </c>
      <c r="C190" t="s">
        <v>5</v>
      </c>
    </row>
    <row r="191" spans="1:3" x14ac:dyDescent="0.25">
      <c r="A191" s="1">
        <v>0.33491898148148147</v>
      </c>
      <c r="B191" t="s">
        <v>6</v>
      </c>
      <c r="C191" t="s">
        <v>5</v>
      </c>
    </row>
    <row r="192" spans="1:3" x14ac:dyDescent="0.25">
      <c r="A192" s="1">
        <v>0.33495370370370375</v>
      </c>
      <c r="B192" t="s">
        <v>4</v>
      </c>
      <c r="C192" t="s">
        <v>5</v>
      </c>
    </row>
    <row r="193" spans="1:3" x14ac:dyDescent="0.25">
      <c r="A193" s="1">
        <v>0.33495370370370375</v>
      </c>
      <c r="B193" t="s">
        <v>4</v>
      </c>
      <c r="C193" t="s">
        <v>5</v>
      </c>
    </row>
    <row r="194" spans="1:3" x14ac:dyDescent="0.25">
      <c r="A194" s="1">
        <v>0.33495370370370375</v>
      </c>
      <c r="B194" t="s">
        <v>7</v>
      </c>
      <c r="C194" t="s">
        <v>5</v>
      </c>
    </row>
    <row r="195" spans="1:3" x14ac:dyDescent="0.25">
      <c r="A195" s="1">
        <v>0.33496527777777779</v>
      </c>
      <c r="B195" t="s">
        <v>4</v>
      </c>
      <c r="C195" t="s">
        <v>5</v>
      </c>
    </row>
    <row r="196" spans="1:3" x14ac:dyDescent="0.25">
      <c r="A196" s="1">
        <v>0.33497685185185189</v>
      </c>
      <c r="B196" t="s">
        <v>4</v>
      </c>
      <c r="C196" t="s">
        <v>5</v>
      </c>
    </row>
    <row r="197" spans="1:3" x14ac:dyDescent="0.25">
      <c r="A197" s="1">
        <v>0.33498842592592593</v>
      </c>
      <c r="B197" t="s">
        <v>4</v>
      </c>
      <c r="C197" t="s">
        <v>5</v>
      </c>
    </row>
    <row r="198" spans="1:3" x14ac:dyDescent="0.25">
      <c r="A198" s="1">
        <v>0.33499999999999996</v>
      </c>
      <c r="B198" t="s">
        <v>7</v>
      </c>
      <c r="C198" t="s">
        <v>5</v>
      </c>
    </row>
    <row r="199" spans="1:3" x14ac:dyDescent="0.25">
      <c r="A199" s="1">
        <v>0.33501157407407406</v>
      </c>
      <c r="B199" t="s">
        <v>6</v>
      </c>
      <c r="C199" t="s">
        <v>5</v>
      </c>
    </row>
    <row r="200" spans="1:3" x14ac:dyDescent="0.25">
      <c r="A200" s="1">
        <v>0.33501157407407406</v>
      </c>
      <c r="B200" t="s">
        <v>7</v>
      </c>
      <c r="C200" t="s">
        <v>5</v>
      </c>
    </row>
    <row r="201" spans="1:3" x14ac:dyDescent="0.25">
      <c r="A201" s="1">
        <v>0.3350231481481481</v>
      </c>
      <c r="B201" t="s">
        <v>6</v>
      </c>
      <c r="C201" t="s">
        <v>5</v>
      </c>
    </row>
    <row r="202" spans="1:3" x14ac:dyDescent="0.25">
      <c r="A202" s="1">
        <v>0.33503472222222225</v>
      </c>
      <c r="B202" t="s">
        <v>4</v>
      </c>
      <c r="C202" t="s">
        <v>5</v>
      </c>
    </row>
    <row r="203" spans="1:3" x14ac:dyDescent="0.25">
      <c r="A203" s="1">
        <v>0.33504629629629629</v>
      </c>
      <c r="B203" t="s">
        <v>7</v>
      </c>
      <c r="C203" t="s">
        <v>5</v>
      </c>
    </row>
    <row r="204" spans="1:3" x14ac:dyDescent="0.25">
      <c r="A204" s="1">
        <v>0.33504629629629629</v>
      </c>
      <c r="B204" t="s">
        <v>7</v>
      </c>
      <c r="C204" t="s">
        <v>5</v>
      </c>
    </row>
    <row r="205" spans="1:3" x14ac:dyDescent="0.25">
      <c r="A205" s="1">
        <v>0.33505787037037038</v>
      </c>
      <c r="B205" t="s">
        <v>7</v>
      </c>
      <c r="C205" t="s">
        <v>5</v>
      </c>
    </row>
    <row r="206" spans="1:3" x14ac:dyDescent="0.25">
      <c r="A206" s="1">
        <v>0.33505787037037038</v>
      </c>
      <c r="B206" t="s">
        <v>6</v>
      </c>
      <c r="C206" t="s">
        <v>5</v>
      </c>
    </row>
    <row r="207" spans="1:3" x14ac:dyDescent="0.25">
      <c r="A207" s="1">
        <v>0.33505787037037038</v>
      </c>
      <c r="B207" t="s">
        <v>7</v>
      </c>
      <c r="C207" t="s">
        <v>5</v>
      </c>
    </row>
    <row r="208" spans="1:3" x14ac:dyDescent="0.25">
      <c r="A208" s="1">
        <v>0.33506944444444442</v>
      </c>
      <c r="B208" t="s">
        <v>7</v>
      </c>
      <c r="C208" t="s">
        <v>5</v>
      </c>
    </row>
    <row r="209" spans="1:3" x14ac:dyDescent="0.25">
      <c r="A209" s="1">
        <v>0.33508101851851851</v>
      </c>
      <c r="B209" t="s">
        <v>4</v>
      </c>
      <c r="C209" t="s">
        <v>5</v>
      </c>
    </row>
    <row r="210" spans="1:3" x14ac:dyDescent="0.25">
      <c r="A210" s="1">
        <v>0.3351041666666667</v>
      </c>
      <c r="B210" t="s">
        <v>6</v>
      </c>
      <c r="C210" t="s">
        <v>5</v>
      </c>
    </row>
    <row r="211" spans="1:3" x14ac:dyDescent="0.25">
      <c r="A211" s="1">
        <v>0.3351041666666667</v>
      </c>
      <c r="B211" t="s">
        <v>4</v>
      </c>
      <c r="C211" t="s">
        <v>5</v>
      </c>
    </row>
    <row r="212" spans="1:3" x14ac:dyDescent="0.25">
      <c r="A212" s="1">
        <v>0.3351041666666667</v>
      </c>
      <c r="B212" t="s">
        <v>6</v>
      </c>
      <c r="C212" t="s">
        <v>8</v>
      </c>
    </row>
    <row r="213" spans="1:3" x14ac:dyDescent="0.25">
      <c r="A213" s="1">
        <v>0.3351041666666667</v>
      </c>
      <c r="B213" t="s">
        <v>4</v>
      </c>
      <c r="C213" t="s">
        <v>8</v>
      </c>
    </row>
    <row r="214" spans="1:3" x14ac:dyDescent="0.25">
      <c r="A214" s="1">
        <v>0.3351041666666667</v>
      </c>
      <c r="B214" t="s">
        <v>7</v>
      </c>
      <c r="C214" t="s">
        <v>8</v>
      </c>
    </row>
    <row r="215" spans="1:3" x14ac:dyDescent="0.25">
      <c r="A215" s="1">
        <v>0.3351041666666667</v>
      </c>
      <c r="B215" t="s">
        <v>4</v>
      </c>
      <c r="C215" t="s">
        <v>5</v>
      </c>
    </row>
    <row r="216" spans="1:3" x14ac:dyDescent="0.25">
      <c r="A216" s="1">
        <v>0.33511574074074074</v>
      </c>
      <c r="B216" t="s">
        <v>4</v>
      </c>
      <c r="C216" t="s">
        <v>5</v>
      </c>
    </row>
    <row r="217" spans="1:3" x14ac:dyDescent="0.25">
      <c r="A217" s="1">
        <v>0.33512731481481484</v>
      </c>
      <c r="B217" t="s">
        <v>6</v>
      </c>
      <c r="C217" t="s">
        <v>5</v>
      </c>
    </row>
    <row r="218" spans="1:3" x14ac:dyDescent="0.25">
      <c r="A218" s="1">
        <v>0.33513888888888888</v>
      </c>
      <c r="B218" t="s">
        <v>4</v>
      </c>
      <c r="C218" t="s">
        <v>5</v>
      </c>
    </row>
    <row r="219" spans="1:3" x14ac:dyDescent="0.25">
      <c r="A219" s="1">
        <v>0.33515046296296297</v>
      </c>
      <c r="B219" t="s">
        <v>6</v>
      </c>
      <c r="C219" t="s">
        <v>5</v>
      </c>
    </row>
    <row r="220" spans="1:3" x14ac:dyDescent="0.25">
      <c r="A220" s="1">
        <v>0.33516203703703701</v>
      </c>
      <c r="B220" t="s">
        <v>4</v>
      </c>
      <c r="C220" t="s">
        <v>5</v>
      </c>
    </row>
    <row r="221" spans="1:3" x14ac:dyDescent="0.25">
      <c r="A221" s="1">
        <v>0.33517361111111116</v>
      </c>
      <c r="B221" t="s">
        <v>7</v>
      </c>
      <c r="C221" t="s">
        <v>5</v>
      </c>
    </row>
    <row r="222" spans="1:3" x14ac:dyDescent="0.25">
      <c r="A222" s="1">
        <v>0.33517361111111116</v>
      </c>
      <c r="B222" t="s">
        <v>6</v>
      </c>
      <c r="C222" t="s">
        <v>8</v>
      </c>
    </row>
    <row r="223" spans="1:3" x14ac:dyDescent="0.25">
      <c r="A223" s="1">
        <v>0.3351851851851852</v>
      </c>
      <c r="B223" t="s">
        <v>6</v>
      </c>
      <c r="C223" t="s">
        <v>5</v>
      </c>
    </row>
    <row r="224" spans="1:3" x14ac:dyDescent="0.25">
      <c r="A224" s="1">
        <v>0.33520833333333333</v>
      </c>
      <c r="B224" t="s">
        <v>7</v>
      </c>
      <c r="C224" t="s">
        <v>5</v>
      </c>
    </row>
    <row r="225" spans="1:3" x14ac:dyDescent="0.25">
      <c r="A225" s="1">
        <v>0.33520833333333333</v>
      </c>
      <c r="B225" t="s">
        <v>4</v>
      </c>
      <c r="C225" t="s">
        <v>5</v>
      </c>
    </row>
    <row r="226" spans="1:3" x14ac:dyDescent="0.25">
      <c r="A226" s="1">
        <v>0.33520833333333333</v>
      </c>
      <c r="B226" t="s">
        <v>7</v>
      </c>
      <c r="C226" t="s">
        <v>5</v>
      </c>
    </row>
    <row r="227" spans="1:3" x14ac:dyDescent="0.25">
      <c r="A227" s="1">
        <v>0.33521990740740742</v>
      </c>
      <c r="B227" t="s">
        <v>6</v>
      </c>
      <c r="C227" t="s">
        <v>5</v>
      </c>
    </row>
    <row r="228" spans="1:3" x14ac:dyDescent="0.25">
      <c r="A228" s="1">
        <v>0.33523148148148146</v>
      </c>
      <c r="B228" t="s">
        <v>6</v>
      </c>
      <c r="C228" t="s">
        <v>5</v>
      </c>
    </row>
    <row r="229" spans="1:3" x14ac:dyDescent="0.25">
      <c r="A229" s="1">
        <v>0.3352430555555555</v>
      </c>
      <c r="B229" t="s">
        <v>7</v>
      </c>
      <c r="C229" t="s">
        <v>5</v>
      </c>
    </row>
    <row r="230" spans="1:3" x14ac:dyDescent="0.25">
      <c r="A230" s="1">
        <v>0.3352430555555555</v>
      </c>
      <c r="B230" t="s">
        <v>4</v>
      </c>
      <c r="C230" t="s">
        <v>5</v>
      </c>
    </row>
    <row r="231" spans="1:3" x14ac:dyDescent="0.25">
      <c r="A231" s="1">
        <v>0.3352430555555555</v>
      </c>
      <c r="B231" t="s">
        <v>6</v>
      </c>
      <c r="C231" t="s">
        <v>5</v>
      </c>
    </row>
    <row r="232" spans="1:3" x14ac:dyDescent="0.25">
      <c r="A232" s="1">
        <v>0.33525462962962965</v>
      </c>
      <c r="B232" t="s">
        <v>4</v>
      </c>
      <c r="C232" t="s">
        <v>5</v>
      </c>
    </row>
    <row r="233" spans="1:3" x14ac:dyDescent="0.25">
      <c r="A233" s="1">
        <v>0.33525462962962965</v>
      </c>
      <c r="B233" t="s">
        <v>4</v>
      </c>
      <c r="C233" t="s">
        <v>5</v>
      </c>
    </row>
    <row r="234" spans="1:3" x14ac:dyDescent="0.25">
      <c r="A234" s="1">
        <v>0.33525462962962965</v>
      </c>
      <c r="B234" t="s">
        <v>4</v>
      </c>
      <c r="C234" t="s">
        <v>5</v>
      </c>
    </row>
    <row r="235" spans="1:3" x14ac:dyDescent="0.25">
      <c r="A235" s="1">
        <v>0.33525462962962965</v>
      </c>
      <c r="B235" t="s">
        <v>6</v>
      </c>
      <c r="C235" t="s">
        <v>5</v>
      </c>
    </row>
    <row r="236" spans="1:3" x14ac:dyDescent="0.25">
      <c r="A236" s="1">
        <v>0.33525462962962965</v>
      </c>
      <c r="B236" t="s">
        <v>7</v>
      </c>
      <c r="C236" t="s">
        <v>5</v>
      </c>
    </row>
    <row r="237" spans="1:3" x14ac:dyDescent="0.25">
      <c r="A237" s="1">
        <v>0.33525462962962965</v>
      </c>
      <c r="B237" t="s">
        <v>4</v>
      </c>
      <c r="C237" t="s">
        <v>8</v>
      </c>
    </row>
    <row r="238" spans="1:3" x14ac:dyDescent="0.25">
      <c r="A238" s="1">
        <v>0.33526620370370369</v>
      </c>
      <c r="B238" t="s">
        <v>4</v>
      </c>
      <c r="C238" t="s">
        <v>5</v>
      </c>
    </row>
    <row r="239" spans="1:3" x14ac:dyDescent="0.25">
      <c r="A239" s="1">
        <v>0.33526620370370369</v>
      </c>
      <c r="B239" t="s">
        <v>6</v>
      </c>
      <c r="C239" t="s">
        <v>8</v>
      </c>
    </row>
    <row r="240" spans="1:3" x14ac:dyDescent="0.25">
      <c r="A240" s="1">
        <v>0.33528935185185182</v>
      </c>
      <c r="B240" t="s">
        <v>4</v>
      </c>
      <c r="C240" t="s">
        <v>5</v>
      </c>
    </row>
    <row r="241" spans="1:3" x14ac:dyDescent="0.25">
      <c r="A241" s="1">
        <v>0.33528935185185182</v>
      </c>
      <c r="B241" t="s">
        <v>7</v>
      </c>
      <c r="C241" t="s">
        <v>5</v>
      </c>
    </row>
    <row r="242" spans="1:3" x14ac:dyDescent="0.25">
      <c r="A242" s="1">
        <v>0.33528935185185182</v>
      </c>
      <c r="B242" t="s">
        <v>4</v>
      </c>
      <c r="C242" t="s">
        <v>5</v>
      </c>
    </row>
    <row r="243" spans="1:3" x14ac:dyDescent="0.25">
      <c r="A243" s="1">
        <v>0.33530092592592592</v>
      </c>
      <c r="B243" t="s">
        <v>6</v>
      </c>
      <c r="C243" t="s">
        <v>5</v>
      </c>
    </row>
    <row r="244" spans="1:3" x14ac:dyDescent="0.25">
      <c r="A244" s="1">
        <v>0.33531249999999996</v>
      </c>
      <c r="B244" t="s">
        <v>7</v>
      </c>
      <c r="C244" t="s">
        <v>5</v>
      </c>
    </row>
    <row r="245" spans="1:3" x14ac:dyDescent="0.25">
      <c r="A245" s="1">
        <v>0.33531249999999996</v>
      </c>
      <c r="B245" t="s">
        <v>6</v>
      </c>
      <c r="C245" t="s">
        <v>5</v>
      </c>
    </row>
    <row r="246" spans="1:3" x14ac:dyDescent="0.25">
      <c r="A246" s="1">
        <v>0.33533564814814815</v>
      </c>
      <c r="B246" t="s">
        <v>7</v>
      </c>
      <c r="C246" t="s">
        <v>5</v>
      </c>
    </row>
    <row r="247" spans="1:3" x14ac:dyDescent="0.25">
      <c r="A247" s="1">
        <v>0.33534722222222224</v>
      </c>
      <c r="B247" t="s">
        <v>4</v>
      </c>
      <c r="C247" t="s">
        <v>5</v>
      </c>
    </row>
    <row r="248" spans="1:3" x14ac:dyDescent="0.25">
      <c r="A248" s="1">
        <v>0.33534722222222224</v>
      </c>
      <c r="B248" t="s">
        <v>7</v>
      </c>
      <c r="C248" t="s">
        <v>5</v>
      </c>
    </row>
    <row r="249" spans="1:3" x14ac:dyDescent="0.25">
      <c r="A249" s="1">
        <v>0.33535879629629628</v>
      </c>
      <c r="B249" t="s">
        <v>7</v>
      </c>
      <c r="C249" t="s">
        <v>5</v>
      </c>
    </row>
    <row r="250" spans="1:3" x14ac:dyDescent="0.25">
      <c r="A250" s="1">
        <v>0.33535879629629628</v>
      </c>
      <c r="B250" t="s">
        <v>6</v>
      </c>
      <c r="C250" t="s">
        <v>5</v>
      </c>
    </row>
    <row r="251" spans="1:3" x14ac:dyDescent="0.25">
      <c r="A251" s="1">
        <v>0.33537037037037037</v>
      </c>
      <c r="B251" t="s">
        <v>7</v>
      </c>
      <c r="C251" t="s">
        <v>5</v>
      </c>
    </row>
    <row r="252" spans="1:3" x14ac:dyDescent="0.25">
      <c r="A252" s="1">
        <v>0.33537037037037037</v>
      </c>
      <c r="B252" t="s">
        <v>6</v>
      </c>
      <c r="C252" t="s">
        <v>5</v>
      </c>
    </row>
    <row r="253" spans="1:3" x14ac:dyDescent="0.25">
      <c r="A253" s="1">
        <v>0.33538194444444441</v>
      </c>
      <c r="B253" t="s">
        <v>7</v>
      </c>
      <c r="C253" t="s">
        <v>5</v>
      </c>
    </row>
    <row r="254" spans="1:3" x14ac:dyDescent="0.25">
      <c r="A254" s="1">
        <v>0.33539351851851856</v>
      </c>
      <c r="B254" t="s">
        <v>4</v>
      </c>
      <c r="C254" t="s">
        <v>5</v>
      </c>
    </row>
    <row r="255" spans="1:3" x14ac:dyDescent="0.25">
      <c r="A255" s="1">
        <v>0.33539351851851856</v>
      </c>
      <c r="B255" t="s">
        <v>6</v>
      </c>
      <c r="C255" t="s">
        <v>5</v>
      </c>
    </row>
    <row r="256" spans="1:3" x14ac:dyDescent="0.25">
      <c r="A256" s="1">
        <v>0.3354050925925926</v>
      </c>
      <c r="B256" t="s">
        <v>6</v>
      </c>
      <c r="C256" t="s">
        <v>8</v>
      </c>
    </row>
    <row r="257" spans="1:3" x14ac:dyDescent="0.25">
      <c r="A257" s="1">
        <v>0.3354166666666667</v>
      </c>
      <c r="B257" t="s">
        <v>7</v>
      </c>
      <c r="C257" t="s">
        <v>5</v>
      </c>
    </row>
    <row r="258" spans="1:3" x14ac:dyDescent="0.25">
      <c r="A258" s="1">
        <v>0.3354166666666667</v>
      </c>
      <c r="B258" t="s">
        <v>7</v>
      </c>
      <c r="C258" t="s">
        <v>5</v>
      </c>
    </row>
    <row r="259" spans="1:3" x14ac:dyDescent="0.25">
      <c r="A259" s="1">
        <v>0.33543981481481483</v>
      </c>
      <c r="B259" t="s">
        <v>4</v>
      </c>
      <c r="C259" t="s">
        <v>5</v>
      </c>
    </row>
    <row r="260" spans="1:3" x14ac:dyDescent="0.25">
      <c r="A260" s="1">
        <v>0.33543981481481483</v>
      </c>
      <c r="B260" t="s">
        <v>6</v>
      </c>
      <c r="C260" t="s">
        <v>5</v>
      </c>
    </row>
    <row r="261" spans="1:3" x14ac:dyDescent="0.25">
      <c r="A261" s="1">
        <v>0.33545138888888887</v>
      </c>
      <c r="B261" t="s">
        <v>4</v>
      </c>
      <c r="C261" t="s">
        <v>5</v>
      </c>
    </row>
    <row r="262" spans="1:3" x14ac:dyDescent="0.25">
      <c r="A262" s="1">
        <v>0.33545138888888887</v>
      </c>
      <c r="B262" t="s">
        <v>7</v>
      </c>
      <c r="C262" t="s">
        <v>5</v>
      </c>
    </row>
    <row r="263" spans="1:3" x14ac:dyDescent="0.25">
      <c r="A263" s="1">
        <v>0.33546296296296302</v>
      </c>
      <c r="B263" t="s">
        <v>4</v>
      </c>
      <c r="C263" t="s">
        <v>5</v>
      </c>
    </row>
    <row r="264" spans="1:3" x14ac:dyDescent="0.25">
      <c r="A264" s="1">
        <v>0.33547453703703706</v>
      </c>
      <c r="B264" t="s">
        <v>6</v>
      </c>
      <c r="C264" t="s">
        <v>5</v>
      </c>
    </row>
    <row r="265" spans="1:3" x14ac:dyDescent="0.25">
      <c r="A265" s="1">
        <v>0.33547453703703706</v>
      </c>
      <c r="B265" t="s">
        <v>6</v>
      </c>
      <c r="C265" t="s">
        <v>8</v>
      </c>
    </row>
    <row r="266" spans="1:3" x14ac:dyDescent="0.25">
      <c r="A266" s="1">
        <v>0.3354861111111111</v>
      </c>
      <c r="B266" t="s">
        <v>6</v>
      </c>
      <c r="C266" t="s">
        <v>5</v>
      </c>
    </row>
    <row r="267" spans="1:3" x14ac:dyDescent="0.25">
      <c r="A267" s="1">
        <v>0.3354861111111111</v>
      </c>
      <c r="B267" t="s">
        <v>7</v>
      </c>
      <c r="C267" t="s">
        <v>5</v>
      </c>
    </row>
    <row r="268" spans="1:3" x14ac:dyDescent="0.25">
      <c r="A268" s="1">
        <v>0.3354861111111111</v>
      </c>
      <c r="B268" t="s">
        <v>4</v>
      </c>
      <c r="C268" t="s">
        <v>5</v>
      </c>
    </row>
    <row r="269" spans="1:3" x14ac:dyDescent="0.25">
      <c r="A269" s="1">
        <v>0.33550925925925923</v>
      </c>
      <c r="B269" t="s">
        <v>4</v>
      </c>
      <c r="C269" t="s">
        <v>5</v>
      </c>
    </row>
    <row r="270" spans="1:3" x14ac:dyDescent="0.25">
      <c r="A270" s="1">
        <v>0.33550925925925923</v>
      </c>
      <c r="B270" t="s">
        <v>4</v>
      </c>
      <c r="C270" t="s">
        <v>5</v>
      </c>
    </row>
    <row r="271" spans="1:3" x14ac:dyDescent="0.25">
      <c r="A271" s="1">
        <v>0.33550925925925923</v>
      </c>
      <c r="B271" t="s">
        <v>6</v>
      </c>
      <c r="C271" t="s">
        <v>5</v>
      </c>
    </row>
    <row r="272" spans="1:3" x14ac:dyDescent="0.25">
      <c r="A272" s="1">
        <v>0.33552083333333332</v>
      </c>
      <c r="B272" t="s">
        <v>7</v>
      </c>
      <c r="C272" t="s">
        <v>5</v>
      </c>
    </row>
    <row r="273" spans="1:3" x14ac:dyDescent="0.25">
      <c r="A273" s="1">
        <v>0.33553240740740736</v>
      </c>
      <c r="B273" t="s">
        <v>4</v>
      </c>
      <c r="C273" t="s">
        <v>5</v>
      </c>
    </row>
    <row r="274" spans="1:3" x14ac:dyDescent="0.25">
      <c r="A274" s="1">
        <v>0.33556712962962965</v>
      </c>
      <c r="B274" t="s">
        <v>4</v>
      </c>
      <c r="C274" t="s">
        <v>5</v>
      </c>
    </row>
    <row r="275" spans="1:3" x14ac:dyDescent="0.25">
      <c r="A275" s="1">
        <v>0.33556712962962965</v>
      </c>
      <c r="B275" t="s">
        <v>6</v>
      </c>
      <c r="C275" t="s">
        <v>5</v>
      </c>
    </row>
    <row r="276" spans="1:3" x14ac:dyDescent="0.25">
      <c r="A276" s="1">
        <v>0.33559027777777778</v>
      </c>
      <c r="B276" t="s">
        <v>6</v>
      </c>
      <c r="C276" t="s">
        <v>5</v>
      </c>
    </row>
    <row r="277" spans="1:3" x14ac:dyDescent="0.25">
      <c r="A277" s="1">
        <v>0.33559027777777778</v>
      </c>
      <c r="B277" t="s">
        <v>4</v>
      </c>
      <c r="C277" t="s">
        <v>5</v>
      </c>
    </row>
    <row r="278" spans="1:3" x14ac:dyDescent="0.25">
      <c r="A278" s="1">
        <v>0.33560185185185182</v>
      </c>
      <c r="B278" t="s">
        <v>6</v>
      </c>
      <c r="C278" t="s">
        <v>5</v>
      </c>
    </row>
    <row r="279" spans="1:3" x14ac:dyDescent="0.25">
      <c r="A279" s="1">
        <v>0.33562500000000001</v>
      </c>
      <c r="B279" t="s">
        <v>7</v>
      </c>
      <c r="C279" t="s">
        <v>5</v>
      </c>
    </row>
    <row r="280" spans="1:3" x14ac:dyDescent="0.25">
      <c r="A280" s="1">
        <v>0.3356365740740741</v>
      </c>
      <c r="B280" t="s">
        <v>7</v>
      </c>
      <c r="C280" t="s">
        <v>5</v>
      </c>
    </row>
    <row r="281" spans="1:3" x14ac:dyDescent="0.25">
      <c r="A281" s="1">
        <v>0.33565972222222223</v>
      </c>
      <c r="B281" t="s">
        <v>4</v>
      </c>
      <c r="C281" t="s">
        <v>5</v>
      </c>
    </row>
    <row r="282" spans="1:3" x14ac:dyDescent="0.25">
      <c r="A282" s="1">
        <v>0.33567129629629627</v>
      </c>
      <c r="B282" t="s">
        <v>4</v>
      </c>
      <c r="C282" t="s">
        <v>5</v>
      </c>
    </row>
    <row r="283" spans="1:3" x14ac:dyDescent="0.25">
      <c r="A283" s="1">
        <v>0.33568287037037042</v>
      </c>
      <c r="B283" t="s">
        <v>4</v>
      </c>
      <c r="C283" t="s">
        <v>5</v>
      </c>
    </row>
    <row r="284" spans="1:3" x14ac:dyDescent="0.25">
      <c r="A284" s="1">
        <v>0.33568287037037042</v>
      </c>
      <c r="B284" t="s">
        <v>7</v>
      </c>
      <c r="C284" t="s">
        <v>5</v>
      </c>
    </row>
    <row r="285" spans="1:3" x14ac:dyDescent="0.25">
      <c r="A285" s="1">
        <v>0.33568287037037042</v>
      </c>
      <c r="B285" t="s">
        <v>6</v>
      </c>
      <c r="C285" t="s">
        <v>8</v>
      </c>
    </row>
    <row r="286" spans="1:3" x14ac:dyDescent="0.25">
      <c r="A286" s="1">
        <v>0.33568287037037042</v>
      </c>
      <c r="B286" t="s">
        <v>6</v>
      </c>
      <c r="C286" t="s">
        <v>5</v>
      </c>
    </row>
    <row r="287" spans="1:3" x14ac:dyDescent="0.25">
      <c r="A287" s="1">
        <v>0.33569444444444446</v>
      </c>
      <c r="B287" t="s">
        <v>7</v>
      </c>
      <c r="C287" t="s">
        <v>5</v>
      </c>
    </row>
    <row r="288" spans="1:3" x14ac:dyDescent="0.25">
      <c r="A288" s="1">
        <v>0.33569444444444446</v>
      </c>
      <c r="B288" t="s">
        <v>4</v>
      </c>
      <c r="C288" t="s">
        <v>5</v>
      </c>
    </row>
    <row r="289" spans="1:3" x14ac:dyDescent="0.25">
      <c r="A289" s="1">
        <v>0.3357060185185185</v>
      </c>
      <c r="B289" t="s">
        <v>7</v>
      </c>
      <c r="C289" t="s">
        <v>5</v>
      </c>
    </row>
    <row r="290" spans="1:3" x14ac:dyDescent="0.25">
      <c r="A290" s="1">
        <v>0.3357175925925926</v>
      </c>
      <c r="B290" t="s">
        <v>7</v>
      </c>
      <c r="C290" t="s">
        <v>5</v>
      </c>
    </row>
    <row r="291" spans="1:3" x14ac:dyDescent="0.25">
      <c r="A291" s="1">
        <v>0.3357175925925926</v>
      </c>
      <c r="B291" t="s">
        <v>4</v>
      </c>
      <c r="C291" t="s">
        <v>5</v>
      </c>
    </row>
    <row r="292" spans="1:3" x14ac:dyDescent="0.25">
      <c r="A292" s="1">
        <v>0.33574074074074073</v>
      </c>
      <c r="B292" t="s">
        <v>7</v>
      </c>
      <c r="C292" t="s">
        <v>5</v>
      </c>
    </row>
    <row r="293" spans="1:3" x14ac:dyDescent="0.25">
      <c r="A293" s="1">
        <v>0.33576388888888892</v>
      </c>
      <c r="B293" t="s">
        <v>6</v>
      </c>
      <c r="C293" t="s">
        <v>5</v>
      </c>
    </row>
    <row r="294" spans="1:3" x14ac:dyDescent="0.25">
      <c r="A294" s="1">
        <v>0.33576388888888892</v>
      </c>
      <c r="B294" t="s">
        <v>6</v>
      </c>
      <c r="C294" t="s">
        <v>5</v>
      </c>
    </row>
    <row r="295" spans="1:3" x14ac:dyDescent="0.25">
      <c r="A295" s="1">
        <v>0.33577546296296296</v>
      </c>
      <c r="B295" t="s">
        <v>6</v>
      </c>
      <c r="C295" t="s">
        <v>5</v>
      </c>
    </row>
    <row r="296" spans="1:3" x14ac:dyDescent="0.25">
      <c r="A296" s="1">
        <v>0.33577546296296296</v>
      </c>
      <c r="B296" t="s">
        <v>7</v>
      </c>
      <c r="C296" t="s">
        <v>8</v>
      </c>
    </row>
    <row r="297" spans="1:3" x14ac:dyDescent="0.25">
      <c r="A297" s="1">
        <v>0.33579861111111109</v>
      </c>
      <c r="B297" t="s">
        <v>4</v>
      </c>
      <c r="C297" t="s">
        <v>5</v>
      </c>
    </row>
    <row r="298" spans="1:3" x14ac:dyDescent="0.25">
      <c r="A298" s="1">
        <v>0.33579861111111109</v>
      </c>
      <c r="B298" t="s">
        <v>4</v>
      </c>
      <c r="C298" t="s">
        <v>5</v>
      </c>
    </row>
    <row r="299" spans="1:3" x14ac:dyDescent="0.25">
      <c r="A299" s="1">
        <v>0.33581018518518518</v>
      </c>
      <c r="B299" t="s">
        <v>6</v>
      </c>
      <c r="C299" t="s">
        <v>5</v>
      </c>
    </row>
    <row r="300" spans="1:3" x14ac:dyDescent="0.25">
      <c r="A300" s="1">
        <v>0.33582175925925922</v>
      </c>
      <c r="B300" t="s">
        <v>4</v>
      </c>
      <c r="C300" t="s">
        <v>5</v>
      </c>
    </row>
    <row r="301" spans="1:3" x14ac:dyDescent="0.25">
      <c r="A301" s="1">
        <v>0.33582175925925922</v>
      </c>
      <c r="B301" t="s">
        <v>6</v>
      </c>
      <c r="C301" t="s">
        <v>5</v>
      </c>
    </row>
    <row r="302" spans="1:3" x14ac:dyDescent="0.25">
      <c r="A302" s="1">
        <v>0.33583333333333337</v>
      </c>
      <c r="B302" t="s">
        <v>6</v>
      </c>
      <c r="C302" t="s">
        <v>5</v>
      </c>
    </row>
    <row r="303" spans="1:3" x14ac:dyDescent="0.25">
      <c r="A303" s="1">
        <v>0.33585648148148151</v>
      </c>
      <c r="B303" t="s">
        <v>6</v>
      </c>
      <c r="C303" t="s">
        <v>5</v>
      </c>
    </row>
    <row r="304" spans="1:3" x14ac:dyDescent="0.25">
      <c r="A304" s="1">
        <v>0.33587962962962964</v>
      </c>
      <c r="B304" t="s">
        <v>4</v>
      </c>
      <c r="C304" t="s">
        <v>5</v>
      </c>
    </row>
    <row r="305" spans="1:3" x14ac:dyDescent="0.25">
      <c r="A305" s="1">
        <v>0.33589120370370368</v>
      </c>
      <c r="B305" t="s">
        <v>7</v>
      </c>
      <c r="C305" t="s">
        <v>5</v>
      </c>
    </row>
    <row r="306" spans="1:3" x14ac:dyDescent="0.25">
      <c r="A306" s="1">
        <v>0.33589120370370368</v>
      </c>
      <c r="B306" t="s">
        <v>6</v>
      </c>
      <c r="C306" t="s">
        <v>8</v>
      </c>
    </row>
    <row r="307" spans="1:3" x14ac:dyDescent="0.25">
      <c r="A307" s="1">
        <v>0.33590277777777783</v>
      </c>
      <c r="B307" t="s">
        <v>4</v>
      </c>
      <c r="C307" t="s">
        <v>5</v>
      </c>
    </row>
    <row r="308" spans="1:3" x14ac:dyDescent="0.25">
      <c r="A308" s="1">
        <v>0.33592592592592596</v>
      </c>
      <c r="B308" t="s">
        <v>7</v>
      </c>
      <c r="C308" t="s">
        <v>5</v>
      </c>
    </row>
    <row r="309" spans="1:3" x14ac:dyDescent="0.25">
      <c r="A309" s="1">
        <v>0.33592592592592596</v>
      </c>
      <c r="B309" t="s">
        <v>4</v>
      </c>
      <c r="C309" t="s">
        <v>5</v>
      </c>
    </row>
    <row r="310" spans="1:3" x14ac:dyDescent="0.25">
      <c r="A310" s="1">
        <v>0.33594907407407404</v>
      </c>
      <c r="B310" t="s">
        <v>4</v>
      </c>
      <c r="C310" t="s">
        <v>5</v>
      </c>
    </row>
    <row r="311" spans="1:3" x14ac:dyDescent="0.25">
      <c r="A311" s="1">
        <v>0.33594907407407404</v>
      </c>
      <c r="B311" t="s">
        <v>7</v>
      </c>
      <c r="C311" t="s">
        <v>5</v>
      </c>
    </row>
    <row r="312" spans="1:3" x14ac:dyDescent="0.25">
      <c r="A312" s="1">
        <v>0.33597222222222217</v>
      </c>
      <c r="B312" t="s">
        <v>7</v>
      </c>
      <c r="C312" t="s">
        <v>5</v>
      </c>
    </row>
    <row r="313" spans="1:3" x14ac:dyDescent="0.25">
      <c r="A313" s="1">
        <v>0.33597222222222217</v>
      </c>
      <c r="B313" t="s">
        <v>4</v>
      </c>
      <c r="C313" t="s">
        <v>5</v>
      </c>
    </row>
    <row r="314" spans="1:3" x14ac:dyDescent="0.25">
      <c r="A314" s="1">
        <v>0.33597222222222217</v>
      </c>
      <c r="B314" t="s">
        <v>7</v>
      </c>
      <c r="C314" t="s">
        <v>5</v>
      </c>
    </row>
    <row r="315" spans="1:3" x14ac:dyDescent="0.25">
      <c r="A315" s="1">
        <v>0.33598379629629632</v>
      </c>
      <c r="B315" t="s">
        <v>6</v>
      </c>
      <c r="C315" t="s">
        <v>5</v>
      </c>
    </row>
    <row r="316" spans="1:3" x14ac:dyDescent="0.25">
      <c r="A316" s="1">
        <v>0.33600694444444446</v>
      </c>
      <c r="B316" t="s">
        <v>7</v>
      </c>
      <c r="C316" t="s">
        <v>5</v>
      </c>
    </row>
    <row r="317" spans="1:3" x14ac:dyDescent="0.25">
      <c r="A317" s="1">
        <v>0.33600694444444446</v>
      </c>
      <c r="B317" t="s">
        <v>6</v>
      </c>
      <c r="C317" t="s">
        <v>5</v>
      </c>
    </row>
    <row r="318" spans="1:3" x14ac:dyDescent="0.25">
      <c r="A318" s="1">
        <v>0.33600694444444446</v>
      </c>
      <c r="B318" t="s">
        <v>6</v>
      </c>
      <c r="C318" t="s">
        <v>8</v>
      </c>
    </row>
    <row r="319" spans="1:3" x14ac:dyDescent="0.25">
      <c r="A319" s="1">
        <v>0.33600694444444446</v>
      </c>
      <c r="B319" t="s">
        <v>6</v>
      </c>
      <c r="C319" t="s">
        <v>5</v>
      </c>
    </row>
    <row r="320" spans="1:3" x14ac:dyDescent="0.25">
      <c r="A320" s="1">
        <v>0.33601851851851849</v>
      </c>
      <c r="B320" t="s">
        <v>6</v>
      </c>
      <c r="C320" t="s">
        <v>5</v>
      </c>
    </row>
    <row r="321" spans="1:3" x14ac:dyDescent="0.25">
      <c r="A321" s="1">
        <v>0.33604166666666663</v>
      </c>
      <c r="B321" t="s">
        <v>7</v>
      </c>
      <c r="C321" t="s">
        <v>5</v>
      </c>
    </row>
    <row r="322" spans="1:3" x14ac:dyDescent="0.25">
      <c r="A322" s="1">
        <v>0.33604166666666663</v>
      </c>
      <c r="B322" t="s">
        <v>4</v>
      </c>
      <c r="C322" t="s">
        <v>5</v>
      </c>
    </row>
    <row r="323" spans="1:3" x14ac:dyDescent="0.25">
      <c r="A323" s="1">
        <v>0.33606481481481482</v>
      </c>
      <c r="B323" t="s">
        <v>4</v>
      </c>
      <c r="C323" t="s">
        <v>5</v>
      </c>
    </row>
    <row r="324" spans="1:3" x14ac:dyDescent="0.25">
      <c r="A324" s="1">
        <v>0.33606481481481482</v>
      </c>
      <c r="B324" t="s">
        <v>6</v>
      </c>
      <c r="C324" t="s">
        <v>5</v>
      </c>
    </row>
    <row r="325" spans="1:3" x14ac:dyDescent="0.25">
      <c r="A325" s="1">
        <v>0.33607638888888891</v>
      </c>
      <c r="B325" t="s">
        <v>7</v>
      </c>
      <c r="C325" t="s">
        <v>5</v>
      </c>
    </row>
    <row r="326" spans="1:3" x14ac:dyDescent="0.25">
      <c r="A326" s="1">
        <v>0.33608796296296295</v>
      </c>
      <c r="B326" t="s">
        <v>4</v>
      </c>
      <c r="C326" t="s">
        <v>5</v>
      </c>
    </row>
    <row r="327" spans="1:3" x14ac:dyDescent="0.25">
      <c r="A327" s="1">
        <v>0.33608796296296295</v>
      </c>
      <c r="B327" t="s">
        <v>4</v>
      </c>
      <c r="C327" t="s">
        <v>8</v>
      </c>
    </row>
    <row r="328" spans="1:3" x14ac:dyDescent="0.25">
      <c r="A328" s="1">
        <v>0.33608796296296295</v>
      </c>
      <c r="B328" t="s">
        <v>4</v>
      </c>
      <c r="C328" t="s">
        <v>5</v>
      </c>
    </row>
    <row r="329" spans="1:3" x14ac:dyDescent="0.25">
      <c r="A329" s="1">
        <v>0.33611111111111108</v>
      </c>
      <c r="B329" t="s">
        <v>6</v>
      </c>
      <c r="C329" t="s">
        <v>5</v>
      </c>
    </row>
    <row r="330" spans="1:3" x14ac:dyDescent="0.25">
      <c r="A330" s="1">
        <v>0.33611111111111108</v>
      </c>
      <c r="B330" t="s">
        <v>7</v>
      </c>
      <c r="C330" t="s">
        <v>5</v>
      </c>
    </row>
    <row r="331" spans="1:3" x14ac:dyDescent="0.25">
      <c r="A331" s="1">
        <v>0.33612268518518523</v>
      </c>
      <c r="B331" t="s">
        <v>4</v>
      </c>
      <c r="C331" t="s">
        <v>5</v>
      </c>
    </row>
    <row r="332" spans="1:3" x14ac:dyDescent="0.25">
      <c r="A332" s="1">
        <v>0.33613425925925927</v>
      </c>
      <c r="B332" t="s">
        <v>6</v>
      </c>
      <c r="C332" t="s">
        <v>5</v>
      </c>
    </row>
    <row r="333" spans="1:3" x14ac:dyDescent="0.25">
      <c r="A333" s="1">
        <v>0.33613425925925927</v>
      </c>
      <c r="B333" t="s">
        <v>6</v>
      </c>
      <c r="C333" t="s">
        <v>5</v>
      </c>
    </row>
    <row r="334" spans="1:3" x14ac:dyDescent="0.25">
      <c r="A334" s="1">
        <v>0.3361574074074074</v>
      </c>
      <c r="B334" t="s">
        <v>4</v>
      </c>
      <c r="C334" t="s">
        <v>5</v>
      </c>
    </row>
    <row r="335" spans="1:3" x14ac:dyDescent="0.25">
      <c r="A335" s="1">
        <v>0.3361574074074074</v>
      </c>
      <c r="B335" t="s">
        <v>6</v>
      </c>
      <c r="C335" t="s">
        <v>5</v>
      </c>
    </row>
    <row r="336" spans="1:3" x14ac:dyDescent="0.25">
      <c r="A336" s="1">
        <v>0.3361689814814815</v>
      </c>
      <c r="B336" t="s">
        <v>4</v>
      </c>
      <c r="C336" t="s">
        <v>5</v>
      </c>
    </row>
    <row r="337" spans="1:3" x14ac:dyDescent="0.25">
      <c r="A337" s="1">
        <v>0.33618055555555554</v>
      </c>
      <c r="B337" t="s">
        <v>4</v>
      </c>
      <c r="C337" t="s">
        <v>5</v>
      </c>
    </row>
    <row r="338" spans="1:3" x14ac:dyDescent="0.25">
      <c r="A338" s="1">
        <v>0.33618055555555554</v>
      </c>
      <c r="B338" t="s">
        <v>7</v>
      </c>
      <c r="C338" t="s">
        <v>5</v>
      </c>
    </row>
    <row r="339" spans="1:3" x14ac:dyDescent="0.25">
      <c r="A339" s="1">
        <v>0.33620370370370373</v>
      </c>
      <c r="B339" t="s">
        <v>7</v>
      </c>
      <c r="C339" t="s">
        <v>5</v>
      </c>
    </row>
    <row r="340" spans="1:3" x14ac:dyDescent="0.25">
      <c r="A340" s="1">
        <v>0.33621527777777777</v>
      </c>
      <c r="B340" t="s">
        <v>6</v>
      </c>
      <c r="C340" t="s">
        <v>5</v>
      </c>
    </row>
    <row r="341" spans="1:3" x14ac:dyDescent="0.25">
      <c r="A341" s="1">
        <v>0.33621527777777777</v>
      </c>
      <c r="B341" t="s">
        <v>7</v>
      </c>
      <c r="C341" t="s">
        <v>8</v>
      </c>
    </row>
    <row r="342" spans="1:3" x14ac:dyDescent="0.25">
      <c r="A342" s="1">
        <v>0.33622685185185186</v>
      </c>
      <c r="B342" t="s">
        <v>4</v>
      </c>
      <c r="C342" t="s">
        <v>5</v>
      </c>
    </row>
    <row r="343" spans="1:3" x14ac:dyDescent="0.25">
      <c r="A343" s="1">
        <v>0.3362384259259259</v>
      </c>
      <c r="B343" t="s">
        <v>7</v>
      </c>
      <c r="C343" t="s">
        <v>5</v>
      </c>
    </row>
    <row r="344" spans="1:3" x14ac:dyDescent="0.25">
      <c r="A344" s="1">
        <v>0.33624999999999999</v>
      </c>
      <c r="B344" t="s">
        <v>6</v>
      </c>
      <c r="C344" t="s">
        <v>5</v>
      </c>
    </row>
    <row r="345" spans="1:3" x14ac:dyDescent="0.25">
      <c r="A345" s="1">
        <v>0.33626157407407403</v>
      </c>
      <c r="B345" t="s">
        <v>7</v>
      </c>
      <c r="C345" t="s">
        <v>5</v>
      </c>
    </row>
    <row r="346" spans="1:3" x14ac:dyDescent="0.25">
      <c r="A346" s="1">
        <v>0.33627314814814818</v>
      </c>
      <c r="B346" t="s">
        <v>6</v>
      </c>
      <c r="C346" t="s">
        <v>5</v>
      </c>
    </row>
    <row r="347" spans="1:3" x14ac:dyDescent="0.25">
      <c r="A347" s="1">
        <v>0.33628472222222222</v>
      </c>
      <c r="B347" t="s">
        <v>4</v>
      </c>
      <c r="C347" t="s">
        <v>5</v>
      </c>
    </row>
    <row r="348" spans="1:3" x14ac:dyDescent="0.25">
      <c r="A348" s="1">
        <v>0.33629629629629632</v>
      </c>
      <c r="B348" t="s">
        <v>6</v>
      </c>
      <c r="C348" t="s">
        <v>5</v>
      </c>
    </row>
    <row r="349" spans="1:3" x14ac:dyDescent="0.25">
      <c r="A349" s="1">
        <v>0.33630787037037035</v>
      </c>
      <c r="B349" t="s">
        <v>4</v>
      </c>
      <c r="C349" t="s">
        <v>5</v>
      </c>
    </row>
    <row r="350" spans="1:3" x14ac:dyDescent="0.25">
      <c r="A350" s="1">
        <v>0.33633101851851849</v>
      </c>
      <c r="B350" t="s">
        <v>7</v>
      </c>
      <c r="C350" t="s">
        <v>5</v>
      </c>
    </row>
    <row r="351" spans="1:3" x14ac:dyDescent="0.25">
      <c r="A351" s="1">
        <v>0.33633101851851849</v>
      </c>
      <c r="B351" t="s">
        <v>6</v>
      </c>
      <c r="C351" t="s">
        <v>5</v>
      </c>
    </row>
    <row r="352" spans="1:3" x14ac:dyDescent="0.25">
      <c r="A352" s="1">
        <v>0.33634259259259264</v>
      </c>
      <c r="B352" t="s">
        <v>4</v>
      </c>
      <c r="C352" t="s">
        <v>5</v>
      </c>
    </row>
    <row r="353" spans="1:3" x14ac:dyDescent="0.25">
      <c r="A353" s="1">
        <v>0.33635416666666668</v>
      </c>
      <c r="B353" t="s">
        <v>6</v>
      </c>
      <c r="C353" t="s">
        <v>5</v>
      </c>
    </row>
    <row r="354" spans="1:3" x14ac:dyDescent="0.25">
      <c r="A354" s="1">
        <v>0.33636574074074077</v>
      </c>
      <c r="B354" t="s">
        <v>4</v>
      </c>
      <c r="C354" t="s">
        <v>5</v>
      </c>
    </row>
    <row r="355" spans="1:3" x14ac:dyDescent="0.25">
      <c r="A355" s="1">
        <v>0.33636574074074077</v>
      </c>
      <c r="B355" t="s">
        <v>7</v>
      </c>
      <c r="C355" t="s">
        <v>5</v>
      </c>
    </row>
    <row r="356" spans="1:3" x14ac:dyDescent="0.25">
      <c r="A356" s="1">
        <v>0.33637731481481481</v>
      </c>
      <c r="B356" t="s">
        <v>4</v>
      </c>
      <c r="C356" t="s">
        <v>5</v>
      </c>
    </row>
    <row r="357" spans="1:3" x14ac:dyDescent="0.25">
      <c r="A357" s="1">
        <v>0.3363888888888889</v>
      </c>
      <c r="B357" t="s">
        <v>4</v>
      </c>
      <c r="C357" t="s">
        <v>5</v>
      </c>
    </row>
    <row r="358" spans="1:3" x14ac:dyDescent="0.25">
      <c r="A358" s="1">
        <v>0.3363888888888889</v>
      </c>
      <c r="B358" t="s">
        <v>4</v>
      </c>
      <c r="C358" t="s">
        <v>8</v>
      </c>
    </row>
    <row r="359" spans="1:3" x14ac:dyDescent="0.25">
      <c r="A359" s="1">
        <v>0.33641203703703698</v>
      </c>
      <c r="B359" t="s">
        <v>6</v>
      </c>
      <c r="C359" t="s">
        <v>5</v>
      </c>
    </row>
    <row r="360" spans="1:3" x14ac:dyDescent="0.25">
      <c r="A360" s="1">
        <v>0.33641203703703698</v>
      </c>
      <c r="B360" t="s">
        <v>7</v>
      </c>
      <c r="C360" t="s">
        <v>5</v>
      </c>
    </row>
    <row r="361" spans="1:3" x14ac:dyDescent="0.25">
      <c r="A361" s="1">
        <v>0.33642361111111113</v>
      </c>
      <c r="B361" t="s">
        <v>6</v>
      </c>
      <c r="C361" t="s">
        <v>5</v>
      </c>
    </row>
    <row r="362" spans="1:3" x14ac:dyDescent="0.25">
      <c r="A362" s="1">
        <v>0.33642361111111113</v>
      </c>
      <c r="B362" t="s">
        <v>4</v>
      </c>
      <c r="C362" t="s">
        <v>8</v>
      </c>
    </row>
    <row r="363" spans="1:3" x14ac:dyDescent="0.25">
      <c r="A363" s="1">
        <v>0.33643518518518517</v>
      </c>
      <c r="B363" t="s">
        <v>7</v>
      </c>
      <c r="C363" t="s">
        <v>5</v>
      </c>
    </row>
    <row r="364" spans="1:3" x14ac:dyDescent="0.25">
      <c r="A364" s="1">
        <v>0.33643518518518517</v>
      </c>
      <c r="B364" t="s">
        <v>6</v>
      </c>
      <c r="C364" t="s">
        <v>5</v>
      </c>
    </row>
    <row r="365" spans="1:3" x14ac:dyDescent="0.25">
      <c r="A365" s="1">
        <v>0.3364583333333333</v>
      </c>
      <c r="B365" t="s">
        <v>4</v>
      </c>
      <c r="C365" t="s">
        <v>5</v>
      </c>
    </row>
    <row r="366" spans="1:3" x14ac:dyDescent="0.25">
      <c r="A366" s="1">
        <v>0.3364583333333333</v>
      </c>
      <c r="B366" t="s">
        <v>6</v>
      </c>
      <c r="C366" t="s">
        <v>8</v>
      </c>
    </row>
    <row r="367" spans="1:3" x14ac:dyDescent="0.25">
      <c r="A367" s="1">
        <v>0.3364699074074074</v>
      </c>
      <c r="B367" t="s">
        <v>4</v>
      </c>
      <c r="C367" t="s">
        <v>5</v>
      </c>
    </row>
    <row r="368" spans="1:3" x14ac:dyDescent="0.25">
      <c r="A368" s="1">
        <v>0.3364699074074074</v>
      </c>
      <c r="B368" t="s">
        <v>7</v>
      </c>
      <c r="C368" t="s">
        <v>8</v>
      </c>
    </row>
    <row r="369" spans="1:3" x14ac:dyDescent="0.25">
      <c r="A369" s="1">
        <v>0.33648148148148144</v>
      </c>
      <c r="B369" t="s">
        <v>6</v>
      </c>
      <c r="C369" t="s">
        <v>5</v>
      </c>
    </row>
    <row r="370" spans="1:3" x14ac:dyDescent="0.25">
      <c r="A370" s="1">
        <v>0.33648148148148144</v>
      </c>
      <c r="B370" t="s">
        <v>4</v>
      </c>
      <c r="C370" t="s">
        <v>8</v>
      </c>
    </row>
    <row r="371" spans="1:3" x14ac:dyDescent="0.25">
      <c r="A371" s="1">
        <v>0.33649305555555559</v>
      </c>
      <c r="B371" t="s">
        <v>7</v>
      </c>
      <c r="C371" t="s">
        <v>5</v>
      </c>
    </row>
    <row r="372" spans="1:3" x14ac:dyDescent="0.25">
      <c r="A372" s="1">
        <v>0.33651620370370372</v>
      </c>
      <c r="B372" t="s">
        <v>7</v>
      </c>
      <c r="C372" t="s">
        <v>5</v>
      </c>
    </row>
    <row r="373" spans="1:3" x14ac:dyDescent="0.25">
      <c r="A373" s="1">
        <v>0.33651620370370372</v>
      </c>
      <c r="B373" t="s">
        <v>4</v>
      </c>
      <c r="C373" t="s">
        <v>5</v>
      </c>
    </row>
    <row r="374" spans="1:3" x14ac:dyDescent="0.25">
      <c r="A374" s="1">
        <v>0.33652777777777776</v>
      </c>
      <c r="B374" t="s">
        <v>6</v>
      </c>
      <c r="C374" t="s">
        <v>5</v>
      </c>
    </row>
    <row r="375" spans="1:3" x14ac:dyDescent="0.25">
      <c r="A375" s="1">
        <v>0.33656250000000004</v>
      </c>
      <c r="B375" t="s">
        <v>6</v>
      </c>
      <c r="C375" t="s">
        <v>5</v>
      </c>
    </row>
    <row r="376" spans="1:3" x14ac:dyDescent="0.25">
      <c r="A376" s="1">
        <v>0.33657407407407408</v>
      </c>
      <c r="B376" t="s">
        <v>7</v>
      </c>
      <c r="C376" t="s">
        <v>5</v>
      </c>
    </row>
    <row r="377" spans="1:3" x14ac:dyDescent="0.25">
      <c r="A377" s="1">
        <v>0.33657407407407408</v>
      </c>
      <c r="B377" t="s">
        <v>4</v>
      </c>
      <c r="C377" t="s">
        <v>5</v>
      </c>
    </row>
    <row r="378" spans="1:3" x14ac:dyDescent="0.25">
      <c r="A378" s="1">
        <v>0.33657407407407408</v>
      </c>
      <c r="B378" t="s">
        <v>4</v>
      </c>
      <c r="C378" t="s">
        <v>8</v>
      </c>
    </row>
    <row r="379" spans="1:3" x14ac:dyDescent="0.25">
      <c r="A379" s="1">
        <v>0.33657407407407408</v>
      </c>
      <c r="B379" t="s">
        <v>6</v>
      </c>
      <c r="C379" t="s">
        <v>5</v>
      </c>
    </row>
    <row r="380" spans="1:3" x14ac:dyDescent="0.25">
      <c r="A380" s="1">
        <v>0.33658564814814818</v>
      </c>
      <c r="B380" t="s">
        <v>7</v>
      </c>
      <c r="C380" t="s">
        <v>5</v>
      </c>
    </row>
    <row r="381" spans="1:3" x14ac:dyDescent="0.25">
      <c r="A381" s="1">
        <v>0.33658564814814818</v>
      </c>
      <c r="B381" t="s">
        <v>4</v>
      </c>
      <c r="C381" t="s">
        <v>5</v>
      </c>
    </row>
    <row r="382" spans="1:3" x14ac:dyDescent="0.25">
      <c r="A382" s="1">
        <v>0.33659722222222221</v>
      </c>
      <c r="B382" t="s">
        <v>6</v>
      </c>
      <c r="C382" t="s">
        <v>5</v>
      </c>
    </row>
    <row r="383" spans="1:3" x14ac:dyDescent="0.25">
      <c r="A383" s="1">
        <v>0.33660879629629631</v>
      </c>
      <c r="B383" t="s">
        <v>4</v>
      </c>
      <c r="C383" t="s">
        <v>5</v>
      </c>
    </row>
    <row r="384" spans="1:3" x14ac:dyDescent="0.25">
      <c r="A384" s="1">
        <v>0.33664351851851854</v>
      </c>
      <c r="B384" t="s">
        <v>6</v>
      </c>
      <c r="C384" t="s">
        <v>5</v>
      </c>
    </row>
    <row r="385" spans="1:3" x14ac:dyDescent="0.25">
      <c r="A385" s="1">
        <v>0.33667824074074071</v>
      </c>
      <c r="B385" t="s">
        <v>4</v>
      </c>
      <c r="C385" t="s">
        <v>5</v>
      </c>
    </row>
    <row r="386" spans="1:3" x14ac:dyDescent="0.25">
      <c r="A386" s="1">
        <v>0.33667824074074071</v>
      </c>
      <c r="B386" t="s">
        <v>4</v>
      </c>
      <c r="C386" t="s">
        <v>5</v>
      </c>
    </row>
    <row r="387" spans="1:3" x14ac:dyDescent="0.25">
      <c r="A387" s="1">
        <v>0.33671296296296299</v>
      </c>
      <c r="B387" t="s">
        <v>7</v>
      </c>
      <c r="C387" t="s">
        <v>5</v>
      </c>
    </row>
    <row r="388" spans="1:3" x14ac:dyDescent="0.25">
      <c r="A388" s="1">
        <v>0.33674768518518516</v>
      </c>
      <c r="B388" t="s">
        <v>4</v>
      </c>
      <c r="C388" t="s">
        <v>5</v>
      </c>
    </row>
    <row r="389" spans="1:3" x14ac:dyDescent="0.25">
      <c r="A389" s="1">
        <v>0.33674768518518516</v>
      </c>
      <c r="B389" t="s">
        <v>6</v>
      </c>
      <c r="C389" t="s">
        <v>5</v>
      </c>
    </row>
    <row r="390" spans="1:3" x14ac:dyDescent="0.25">
      <c r="A390" s="1">
        <v>0.33678240740740745</v>
      </c>
      <c r="B390" t="s">
        <v>6</v>
      </c>
      <c r="C390" t="s">
        <v>5</v>
      </c>
    </row>
    <row r="391" spans="1:3" x14ac:dyDescent="0.25">
      <c r="A391" s="1">
        <v>0.33681712962962962</v>
      </c>
      <c r="B391" t="s">
        <v>7</v>
      </c>
      <c r="C391" t="s">
        <v>5</v>
      </c>
    </row>
    <row r="392" spans="1:3" x14ac:dyDescent="0.25">
      <c r="A392" s="1">
        <v>0.33681712962962962</v>
      </c>
      <c r="B392" t="s">
        <v>4</v>
      </c>
      <c r="C392" t="s">
        <v>5</v>
      </c>
    </row>
    <row r="393" spans="1:3" x14ac:dyDescent="0.25">
      <c r="A393" s="1">
        <v>0.33681712962962962</v>
      </c>
      <c r="B393" t="s">
        <v>7</v>
      </c>
      <c r="C393" t="s">
        <v>5</v>
      </c>
    </row>
    <row r="394" spans="1:3" x14ac:dyDescent="0.25">
      <c r="A394" s="1">
        <v>0.33682870370370371</v>
      </c>
      <c r="B394" t="s">
        <v>4</v>
      </c>
      <c r="C394" t="s">
        <v>5</v>
      </c>
    </row>
    <row r="395" spans="1:3" x14ac:dyDescent="0.25">
      <c r="A395" s="1">
        <v>0.3368518518518519</v>
      </c>
      <c r="B395" t="s">
        <v>6</v>
      </c>
      <c r="C395" t="s">
        <v>5</v>
      </c>
    </row>
    <row r="396" spans="1:3" x14ac:dyDescent="0.25">
      <c r="A396" s="1">
        <v>0.33686342592592594</v>
      </c>
      <c r="B396" t="s">
        <v>7</v>
      </c>
      <c r="C396" t="s">
        <v>5</v>
      </c>
    </row>
    <row r="397" spans="1:3" x14ac:dyDescent="0.25">
      <c r="A397" s="1">
        <v>0.33689814814814811</v>
      </c>
      <c r="B397" t="s">
        <v>4</v>
      </c>
      <c r="C397" t="s">
        <v>5</v>
      </c>
    </row>
    <row r="398" spans="1:3" x14ac:dyDescent="0.25">
      <c r="A398" s="1">
        <v>0.33689814814814811</v>
      </c>
      <c r="B398" t="s">
        <v>7</v>
      </c>
      <c r="C398" t="s">
        <v>5</v>
      </c>
    </row>
    <row r="399" spans="1:3" x14ac:dyDescent="0.25">
      <c r="A399" s="1">
        <v>0.33690972222222221</v>
      </c>
      <c r="B399" t="s">
        <v>6</v>
      </c>
      <c r="C399" t="s">
        <v>5</v>
      </c>
    </row>
    <row r="400" spans="1:3" x14ac:dyDescent="0.25">
      <c r="A400" s="1">
        <v>0.33692129629629625</v>
      </c>
      <c r="B400" t="s">
        <v>7</v>
      </c>
      <c r="C400" t="s">
        <v>5</v>
      </c>
    </row>
    <row r="401" spans="1:3" x14ac:dyDescent="0.25">
      <c r="A401" s="1">
        <v>0.33692129629629625</v>
      </c>
      <c r="B401" t="s">
        <v>6</v>
      </c>
      <c r="C401" t="s">
        <v>5</v>
      </c>
    </row>
    <row r="402" spans="1:3" x14ac:dyDescent="0.25">
      <c r="A402" s="1">
        <v>0.3369328703703704</v>
      </c>
      <c r="B402" t="s">
        <v>4</v>
      </c>
      <c r="C402" t="s">
        <v>5</v>
      </c>
    </row>
    <row r="403" spans="1:3" x14ac:dyDescent="0.25">
      <c r="A403" s="1">
        <v>0.33694444444444444</v>
      </c>
      <c r="B403" t="s">
        <v>7</v>
      </c>
      <c r="C403" t="s">
        <v>5</v>
      </c>
    </row>
    <row r="404" spans="1:3" x14ac:dyDescent="0.25">
      <c r="A404" s="1">
        <v>0.33695601851851853</v>
      </c>
      <c r="B404" t="s">
        <v>6</v>
      </c>
      <c r="C404" t="s">
        <v>5</v>
      </c>
    </row>
    <row r="405" spans="1:3" x14ac:dyDescent="0.25">
      <c r="A405" s="1">
        <v>0.33695601851851853</v>
      </c>
      <c r="B405" t="s">
        <v>4</v>
      </c>
      <c r="C405" t="s">
        <v>5</v>
      </c>
    </row>
    <row r="406" spans="1:3" x14ac:dyDescent="0.25">
      <c r="A406" s="1">
        <v>0.33696759259259257</v>
      </c>
      <c r="B406" t="s">
        <v>7</v>
      </c>
      <c r="C406" t="s">
        <v>5</v>
      </c>
    </row>
    <row r="407" spans="1:3" x14ac:dyDescent="0.25">
      <c r="A407" s="1">
        <v>0.3369907407407407</v>
      </c>
      <c r="B407" t="s">
        <v>4</v>
      </c>
      <c r="C407" t="s">
        <v>5</v>
      </c>
    </row>
    <row r="408" spans="1:3" x14ac:dyDescent="0.25">
      <c r="A408" s="1">
        <v>0.3369907407407407</v>
      </c>
      <c r="B408" t="s">
        <v>6</v>
      </c>
      <c r="C408" t="s">
        <v>5</v>
      </c>
    </row>
    <row r="409" spans="1:3" x14ac:dyDescent="0.25">
      <c r="A409" s="1">
        <v>0.33700231481481485</v>
      </c>
      <c r="B409" t="s">
        <v>7</v>
      </c>
      <c r="C409" t="s">
        <v>5</v>
      </c>
    </row>
    <row r="410" spans="1:3" x14ac:dyDescent="0.25">
      <c r="A410" s="1">
        <v>0.33701388888888889</v>
      </c>
      <c r="B410" t="s">
        <v>4</v>
      </c>
      <c r="C410" t="s">
        <v>5</v>
      </c>
    </row>
    <row r="411" spans="1:3" x14ac:dyDescent="0.25">
      <c r="A411" s="1">
        <v>0.33702546296296299</v>
      </c>
      <c r="B411" t="s">
        <v>4</v>
      </c>
      <c r="C411" t="s">
        <v>5</v>
      </c>
    </row>
    <row r="412" spans="1:3" x14ac:dyDescent="0.25">
      <c r="A412" s="1">
        <v>0.33703703703703702</v>
      </c>
      <c r="B412" t="s">
        <v>7</v>
      </c>
      <c r="C412" t="s">
        <v>5</v>
      </c>
    </row>
    <row r="413" spans="1:3" x14ac:dyDescent="0.25">
      <c r="A413" s="1">
        <v>0.33703703703703702</v>
      </c>
      <c r="B413" t="s">
        <v>6</v>
      </c>
      <c r="C413" t="s">
        <v>5</v>
      </c>
    </row>
    <row r="414" spans="1:3" x14ac:dyDescent="0.25">
      <c r="A414" s="1">
        <v>0.33706018518518516</v>
      </c>
      <c r="B414" t="s">
        <v>6</v>
      </c>
      <c r="C414" t="s">
        <v>5</v>
      </c>
    </row>
    <row r="415" spans="1:3" x14ac:dyDescent="0.25">
      <c r="A415" s="1">
        <v>0.33707175925925931</v>
      </c>
      <c r="B415" t="s">
        <v>4</v>
      </c>
      <c r="C415" t="s">
        <v>5</v>
      </c>
    </row>
    <row r="416" spans="1:3" x14ac:dyDescent="0.25">
      <c r="A416" s="1">
        <v>0.33708333333333335</v>
      </c>
      <c r="B416" t="s">
        <v>7</v>
      </c>
      <c r="C416" t="s">
        <v>5</v>
      </c>
    </row>
    <row r="417" spans="1:3" x14ac:dyDescent="0.25">
      <c r="A417" s="1">
        <v>0.33708333333333335</v>
      </c>
      <c r="B417" t="s">
        <v>4</v>
      </c>
      <c r="C417" t="s">
        <v>5</v>
      </c>
    </row>
    <row r="418" spans="1:3" x14ac:dyDescent="0.25">
      <c r="A418" s="1">
        <v>0.33709490740740744</v>
      </c>
      <c r="B418" t="s">
        <v>7</v>
      </c>
      <c r="C418" t="s">
        <v>5</v>
      </c>
    </row>
    <row r="419" spans="1:3" x14ac:dyDescent="0.25">
      <c r="A419" s="1">
        <v>0.33709490740740744</v>
      </c>
      <c r="B419" t="s">
        <v>6</v>
      </c>
      <c r="C419" t="s">
        <v>8</v>
      </c>
    </row>
    <row r="420" spans="1:3" x14ac:dyDescent="0.25">
      <c r="A420" s="1">
        <v>0.33710648148148148</v>
      </c>
      <c r="B420" t="s">
        <v>4</v>
      </c>
      <c r="C420" t="s">
        <v>5</v>
      </c>
    </row>
    <row r="421" spans="1:3" x14ac:dyDescent="0.25">
      <c r="A421" s="1">
        <v>0.33710648148148148</v>
      </c>
      <c r="B421" t="s">
        <v>4</v>
      </c>
      <c r="C421" t="s">
        <v>5</v>
      </c>
    </row>
    <row r="422" spans="1:3" x14ac:dyDescent="0.25">
      <c r="A422" s="1">
        <v>0.33711805555555557</v>
      </c>
      <c r="B422" t="s">
        <v>7</v>
      </c>
      <c r="C422" t="s">
        <v>5</v>
      </c>
    </row>
    <row r="423" spans="1:3" x14ac:dyDescent="0.25">
      <c r="A423" s="1">
        <v>0.33712962962962961</v>
      </c>
      <c r="B423" t="s">
        <v>6</v>
      </c>
      <c r="C423" t="s">
        <v>5</v>
      </c>
    </row>
    <row r="424" spans="1:3" x14ac:dyDescent="0.25">
      <c r="A424" s="1">
        <v>0.33712962962962961</v>
      </c>
      <c r="B424" t="s">
        <v>6</v>
      </c>
      <c r="C424" t="s">
        <v>5</v>
      </c>
    </row>
    <row r="425" spans="1:3" x14ac:dyDescent="0.25">
      <c r="A425" s="1">
        <v>0.33714120370370365</v>
      </c>
      <c r="B425" t="s">
        <v>4</v>
      </c>
      <c r="C425" t="s">
        <v>5</v>
      </c>
    </row>
    <row r="426" spans="1:3" x14ac:dyDescent="0.25">
      <c r="A426" s="1">
        <v>0.3371527777777778</v>
      </c>
      <c r="B426" t="s">
        <v>7</v>
      </c>
      <c r="C426" t="s">
        <v>5</v>
      </c>
    </row>
    <row r="427" spans="1:3" x14ac:dyDescent="0.25">
      <c r="A427" s="1">
        <v>0.33716435185185184</v>
      </c>
      <c r="B427" t="s">
        <v>7</v>
      </c>
      <c r="C427" t="s">
        <v>5</v>
      </c>
    </row>
    <row r="428" spans="1:3" x14ac:dyDescent="0.25">
      <c r="A428" s="1">
        <v>0.33716435185185184</v>
      </c>
      <c r="B428" t="s">
        <v>7</v>
      </c>
      <c r="C428" t="s">
        <v>5</v>
      </c>
    </row>
    <row r="429" spans="1:3" x14ac:dyDescent="0.25">
      <c r="A429" s="1">
        <v>0.33717592592592593</v>
      </c>
      <c r="B429" t="s">
        <v>7</v>
      </c>
      <c r="C429" t="s">
        <v>5</v>
      </c>
    </row>
    <row r="430" spans="1:3" x14ac:dyDescent="0.25">
      <c r="A430" s="1">
        <v>0.33718749999999997</v>
      </c>
      <c r="B430" t="s">
        <v>4</v>
      </c>
      <c r="C430" t="s">
        <v>5</v>
      </c>
    </row>
    <row r="431" spans="1:3" x14ac:dyDescent="0.25">
      <c r="A431" s="1">
        <v>0.33719907407407407</v>
      </c>
      <c r="B431" t="s">
        <v>4</v>
      </c>
      <c r="C431" t="s">
        <v>5</v>
      </c>
    </row>
    <row r="432" spans="1:3" x14ac:dyDescent="0.25">
      <c r="A432" s="1">
        <v>0.33722222222222226</v>
      </c>
      <c r="B432" t="s">
        <v>6</v>
      </c>
      <c r="C432" t="s">
        <v>5</v>
      </c>
    </row>
    <row r="433" spans="1:3" x14ac:dyDescent="0.25">
      <c r="A433" s="1">
        <v>0.3372337962962963</v>
      </c>
      <c r="B433" t="s">
        <v>7</v>
      </c>
      <c r="C433" t="s">
        <v>5</v>
      </c>
    </row>
    <row r="434" spans="1:3" x14ac:dyDescent="0.25">
      <c r="A434" s="1">
        <v>0.33724537037037039</v>
      </c>
      <c r="B434" t="s">
        <v>6</v>
      </c>
      <c r="C434" t="s">
        <v>5</v>
      </c>
    </row>
    <row r="435" spans="1:3" x14ac:dyDescent="0.25">
      <c r="A435" s="1">
        <v>0.33725694444444443</v>
      </c>
      <c r="B435" t="s">
        <v>6</v>
      </c>
      <c r="C435" t="s">
        <v>5</v>
      </c>
    </row>
    <row r="436" spans="1:3" x14ac:dyDescent="0.25">
      <c r="A436" s="1">
        <v>0.33728009259259256</v>
      </c>
      <c r="B436" t="s">
        <v>4</v>
      </c>
      <c r="C436" t="s">
        <v>5</v>
      </c>
    </row>
    <row r="437" spans="1:3" x14ac:dyDescent="0.25">
      <c r="A437" s="1">
        <v>0.33729166666666671</v>
      </c>
      <c r="B437" t="s">
        <v>7</v>
      </c>
      <c r="C437" t="s">
        <v>5</v>
      </c>
    </row>
    <row r="438" spans="1:3" x14ac:dyDescent="0.25">
      <c r="A438" s="1">
        <v>0.33729166666666671</v>
      </c>
      <c r="B438" t="s">
        <v>4</v>
      </c>
      <c r="C438" t="s">
        <v>5</v>
      </c>
    </row>
    <row r="439" spans="1:3" x14ac:dyDescent="0.25">
      <c r="A439" s="1">
        <v>0.33729166666666671</v>
      </c>
      <c r="B439" t="s">
        <v>7</v>
      </c>
      <c r="C439" t="s">
        <v>5</v>
      </c>
    </row>
    <row r="440" spans="1:3" x14ac:dyDescent="0.25">
      <c r="A440" s="1">
        <v>0.33732638888888888</v>
      </c>
      <c r="B440" t="s">
        <v>7</v>
      </c>
      <c r="C440" t="s">
        <v>5</v>
      </c>
    </row>
    <row r="441" spans="1:3" x14ac:dyDescent="0.25">
      <c r="A441" s="1">
        <v>0.33733796296296298</v>
      </c>
      <c r="B441" t="s">
        <v>7</v>
      </c>
      <c r="C441" t="s">
        <v>5</v>
      </c>
    </row>
    <row r="442" spans="1:3" x14ac:dyDescent="0.25">
      <c r="A442" s="1">
        <v>0.33733796296296298</v>
      </c>
      <c r="B442" t="s">
        <v>7</v>
      </c>
      <c r="C442" t="s">
        <v>5</v>
      </c>
    </row>
    <row r="443" spans="1:3" x14ac:dyDescent="0.25">
      <c r="A443" s="1">
        <v>0.33733796296296298</v>
      </c>
      <c r="B443" t="s">
        <v>4</v>
      </c>
      <c r="C443" t="s">
        <v>5</v>
      </c>
    </row>
    <row r="444" spans="1:3" x14ac:dyDescent="0.25">
      <c r="A444" s="1">
        <v>0.33734953703703702</v>
      </c>
      <c r="B444" t="s">
        <v>7</v>
      </c>
      <c r="C444" t="s">
        <v>5</v>
      </c>
    </row>
    <row r="445" spans="1:3" x14ac:dyDescent="0.25">
      <c r="A445" s="1">
        <v>0.33736111111111106</v>
      </c>
      <c r="B445" t="s">
        <v>4</v>
      </c>
      <c r="C445" t="s">
        <v>5</v>
      </c>
    </row>
    <row r="446" spans="1:3" x14ac:dyDescent="0.25">
      <c r="A446" s="1">
        <v>0.33737268518518521</v>
      </c>
      <c r="B446" t="s">
        <v>6</v>
      </c>
      <c r="C446" t="s">
        <v>5</v>
      </c>
    </row>
    <row r="447" spans="1:3" x14ac:dyDescent="0.25">
      <c r="A447" s="1">
        <v>0.33739583333333334</v>
      </c>
      <c r="B447" t="s">
        <v>4</v>
      </c>
      <c r="C447" t="s">
        <v>5</v>
      </c>
    </row>
    <row r="448" spans="1:3" x14ac:dyDescent="0.25">
      <c r="A448" s="1">
        <v>0.33740740740740738</v>
      </c>
      <c r="B448" t="s">
        <v>6</v>
      </c>
      <c r="C448" t="s">
        <v>5</v>
      </c>
    </row>
    <row r="449" spans="1:3" x14ac:dyDescent="0.25">
      <c r="A449" s="1">
        <v>0.33740740740740738</v>
      </c>
      <c r="B449" t="s">
        <v>7</v>
      </c>
      <c r="C449" t="s">
        <v>5</v>
      </c>
    </row>
    <row r="450" spans="1:3" x14ac:dyDescent="0.25">
      <c r="A450" s="1">
        <v>0.33741898148148147</v>
      </c>
      <c r="B450" t="s">
        <v>6</v>
      </c>
      <c r="C450" t="s">
        <v>5</v>
      </c>
    </row>
    <row r="451" spans="1:3" x14ac:dyDescent="0.25">
      <c r="A451" s="1">
        <v>0.33741898148148147</v>
      </c>
      <c r="B451" t="s">
        <v>4</v>
      </c>
      <c r="C451" t="s">
        <v>5</v>
      </c>
    </row>
    <row r="452" spans="1:3" x14ac:dyDescent="0.25">
      <c r="A452" s="1">
        <v>0.33743055555555551</v>
      </c>
      <c r="B452" t="s">
        <v>6</v>
      </c>
      <c r="C452" t="s">
        <v>5</v>
      </c>
    </row>
    <row r="453" spans="1:3" x14ac:dyDescent="0.25">
      <c r="A453" s="1">
        <v>0.33744212962962966</v>
      </c>
      <c r="B453" t="s">
        <v>4</v>
      </c>
      <c r="C453" t="s">
        <v>5</v>
      </c>
    </row>
    <row r="454" spans="1:3" x14ac:dyDescent="0.25">
      <c r="A454" s="1">
        <v>0.33744212962962966</v>
      </c>
      <c r="B454" t="s">
        <v>6</v>
      </c>
      <c r="C454" t="s">
        <v>5</v>
      </c>
    </row>
    <row r="455" spans="1:3" x14ac:dyDescent="0.25">
      <c r="A455" s="1">
        <v>0.33744212962962966</v>
      </c>
      <c r="B455" t="s">
        <v>7</v>
      </c>
      <c r="C455" t="s">
        <v>8</v>
      </c>
    </row>
    <row r="456" spans="1:3" x14ac:dyDescent="0.25">
      <c r="A456" s="1">
        <v>0.3374537037037037</v>
      </c>
      <c r="B456" t="s">
        <v>4</v>
      </c>
      <c r="C456" t="s">
        <v>5</v>
      </c>
    </row>
    <row r="457" spans="1:3" x14ac:dyDescent="0.25">
      <c r="A457" s="1">
        <v>0.33746527777777779</v>
      </c>
      <c r="B457" t="s">
        <v>7</v>
      </c>
      <c r="C457" t="s">
        <v>5</v>
      </c>
    </row>
    <row r="458" spans="1:3" x14ac:dyDescent="0.25">
      <c r="A458" s="1">
        <v>0.33747685185185183</v>
      </c>
      <c r="B458" t="s">
        <v>7</v>
      </c>
      <c r="C458" t="s">
        <v>5</v>
      </c>
    </row>
    <row r="459" spans="1:3" x14ac:dyDescent="0.25">
      <c r="A459" s="1">
        <v>0.33748842592592593</v>
      </c>
      <c r="B459" t="s">
        <v>4</v>
      </c>
      <c r="C459" t="s">
        <v>5</v>
      </c>
    </row>
    <row r="460" spans="1:3" x14ac:dyDescent="0.25">
      <c r="A460" s="1">
        <v>0.33748842592592593</v>
      </c>
      <c r="B460" t="s">
        <v>6</v>
      </c>
      <c r="C460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arwbdv3DS2</vt:lpstr>
      <vt:lpstr>arwbdv3DS1</vt:lpstr>
      <vt:lpstr>arwbdv2DS2</vt:lpstr>
      <vt:lpstr>arwbdv2DS1</vt:lpstr>
      <vt:lpstr>arwbdv1DS2</vt:lpstr>
      <vt:lpstr>arwbdv1DS1</vt:lpstr>
      <vt:lpstr>wbdv3DS2</vt:lpstr>
      <vt:lpstr>wbdv3DS1</vt:lpstr>
      <vt:lpstr>wbdv2DS2</vt:lpstr>
      <vt:lpstr>wbdv2DS1</vt:lpstr>
      <vt:lpstr>wbdv1DS2</vt:lpstr>
      <vt:lpstr>wbdv1DS1</vt:lpstr>
      <vt:lpstr>WebDeal v1 by 10 seconds</vt:lpstr>
      <vt:lpstr>WebDeal v2 by 10 Seconds</vt:lpstr>
      <vt:lpstr>WebDeal v3 by 10 Seconds</vt:lpstr>
      <vt:lpstr>TradeData</vt:lpstr>
      <vt:lpstr>Graphs</vt:lpstr>
      <vt:lpstr>Breakdown of stats</vt:lpstr>
      <vt:lpstr>Breakdown</vt:lpstr>
    </vt:vector>
  </TitlesOfParts>
  <Company>Interactive Investor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 Ralph</dc:creator>
  <cp:lastModifiedBy>Dean Ralph</cp:lastModifiedBy>
  <dcterms:created xsi:type="dcterms:W3CDTF">2020-02-28T10:29:18Z</dcterms:created>
  <dcterms:modified xsi:type="dcterms:W3CDTF">2020-03-04T14:49:51Z</dcterms:modified>
</cp:coreProperties>
</file>