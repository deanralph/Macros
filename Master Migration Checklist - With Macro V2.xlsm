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51196F13-6AD0-C1B8-E2B4-A1F9AE17003E}"/>
  <workbookPr codeName="ThisWorkbook" defaultThemeVersion="124226"/>
  <bookViews>
    <workbookView xWindow="0" yWindow="0" windowWidth="20490" windowHeight="7455" firstSheet="1" activeTab="1"/>
  </bookViews>
  <sheets>
    <sheet name="Control" sheetId="13" state="hidden" r:id="rId1"/>
    <sheet name="Day 0 Analyst tasks" sheetId="4" r:id="rId2"/>
    <sheet name="Reconciliation" sheetId="17" r:id="rId3"/>
  </sheets>
  <calcPr calcId="145621" concurrentCalc="0"/>
</workbook>
</file>

<file path=xl/calcChain.xml><?xml version="1.0" encoding="utf-8"?>
<calcChain xmlns="http://schemas.openxmlformats.org/spreadsheetml/2006/main">
  <c r="N124" i="17" l="1"/>
  <c r="N125" i="17"/>
  <c r="N126" i="17"/>
  <c r="N127" i="17"/>
  <c r="N128" i="17"/>
  <c r="N129" i="17"/>
  <c r="N130" i="17"/>
  <c r="N131" i="17"/>
  <c r="N132" i="17"/>
  <c r="N133" i="17"/>
  <c r="N134" i="17"/>
  <c r="N135" i="17"/>
  <c r="N136" i="17"/>
  <c r="N137" i="17"/>
  <c r="N138" i="17"/>
  <c r="N123" i="17"/>
  <c r="M124" i="17"/>
  <c r="M125" i="17"/>
  <c r="M126" i="17"/>
  <c r="M127" i="17"/>
  <c r="M128" i="17"/>
  <c r="M129" i="17"/>
  <c r="M130" i="17"/>
  <c r="M131" i="17"/>
  <c r="M132" i="17"/>
  <c r="M133" i="17"/>
  <c r="M134" i="17"/>
  <c r="M135" i="17"/>
  <c r="M136" i="17"/>
  <c r="M137" i="17"/>
  <c r="M138" i="17"/>
  <c r="M123" i="17"/>
  <c r="M119" i="17"/>
  <c r="M120" i="17"/>
  <c r="M118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19" i="17"/>
  <c r="L120" i="17"/>
  <c r="L118" i="17"/>
  <c r="L121" i="17"/>
  <c r="M139" i="17"/>
  <c r="D154" i="17"/>
  <c r="C154" i="17"/>
  <c r="B154" i="17"/>
  <c r="E153" i="17"/>
  <c r="E152" i="17"/>
  <c r="E151" i="17"/>
  <c r="E150" i="17"/>
  <c r="E149" i="17"/>
  <c r="F146" i="17"/>
  <c r="E142" i="17"/>
  <c r="K139" i="17"/>
  <c r="J139" i="17"/>
  <c r="I139" i="17"/>
  <c r="H139" i="17"/>
  <c r="G139" i="17"/>
  <c r="F139" i="17"/>
  <c r="E139" i="17"/>
  <c r="D139" i="17"/>
  <c r="C139" i="17"/>
  <c r="B139" i="17"/>
  <c r="K121" i="17"/>
  <c r="J121" i="17"/>
  <c r="I121" i="17"/>
  <c r="H121" i="17"/>
  <c r="G121" i="17"/>
  <c r="F121" i="17"/>
  <c r="E121" i="17"/>
  <c r="D121" i="17"/>
  <c r="C121" i="17"/>
  <c r="B121" i="17"/>
  <c r="N120" i="17"/>
  <c r="N119" i="17"/>
  <c r="N118" i="17"/>
  <c r="H114" i="17"/>
  <c r="G114" i="17"/>
  <c r="F114" i="17"/>
  <c r="E114" i="17"/>
  <c r="D114" i="17"/>
  <c r="C114" i="17"/>
  <c r="B114" i="17"/>
  <c r="D96" i="17"/>
  <c r="C96" i="17"/>
  <c r="B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1" i="17"/>
  <c r="E78" i="17"/>
  <c r="G75" i="17"/>
  <c r="F75" i="17"/>
  <c r="E75" i="17"/>
  <c r="D75" i="17"/>
  <c r="C75" i="17"/>
  <c r="B75" i="17"/>
  <c r="I74" i="17"/>
  <c r="H74" i="17"/>
  <c r="I73" i="17"/>
  <c r="H73" i="17"/>
  <c r="I72" i="17"/>
  <c r="H72" i="17"/>
  <c r="I71" i="17"/>
  <c r="H71" i="17"/>
  <c r="I70" i="17"/>
  <c r="H70" i="17"/>
  <c r="I69" i="17"/>
  <c r="H69" i="17"/>
  <c r="I68" i="17"/>
  <c r="H68" i="17"/>
  <c r="I67" i="17"/>
  <c r="H67" i="17"/>
  <c r="I66" i="17"/>
  <c r="H66" i="17"/>
  <c r="I65" i="17"/>
  <c r="H65" i="17"/>
  <c r="I64" i="17"/>
  <c r="H64" i="17"/>
  <c r="I63" i="17"/>
  <c r="H63" i="17"/>
  <c r="I62" i="17"/>
  <c r="H62" i="17"/>
  <c r="I61" i="17"/>
  <c r="H61" i="17"/>
  <c r="I60" i="17"/>
  <c r="H60" i="17"/>
  <c r="I59" i="17"/>
  <c r="H59" i="17"/>
  <c r="I58" i="17"/>
  <c r="H58" i="17"/>
  <c r="I57" i="17"/>
  <c r="H57" i="17"/>
  <c r="I56" i="17"/>
  <c r="H56" i="17"/>
  <c r="I55" i="17"/>
  <c r="H55" i="17"/>
  <c r="I54" i="17"/>
  <c r="H54" i="17"/>
  <c r="E50" i="17"/>
  <c r="E47" i="17"/>
  <c r="E46" i="17"/>
  <c r="E45" i="17"/>
  <c r="D42" i="17"/>
  <c r="C42" i="17"/>
  <c r="B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21" i="17"/>
  <c r="E20" i="17"/>
  <c r="E19" i="17"/>
  <c r="E18" i="17"/>
  <c r="E17" i="17"/>
  <c r="E16" i="17"/>
  <c r="E15" i="17"/>
  <c r="E14" i="17"/>
  <c r="E13" i="17"/>
  <c r="D10" i="17"/>
  <c r="C10" i="17"/>
  <c r="B10" i="17"/>
  <c r="E9" i="17"/>
  <c r="E8" i="17"/>
  <c r="E7" i="17"/>
  <c r="E6" i="17"/>
  <c r="E3" i="17"/>
  <c r="J103" i="17"/>
  <c r="H75" i="17"/>
  <c r="I103" i="17"/>
  <c r="E42" i="17"/>
  <c r="I75" i="17"/>
  <c r="E10" i="17"/>
  <c r="L139" i="17"/>
  <c r="E154" i="17"/>
  <c r="N139" i="17"/>
  <c r="E96" i="17"/>
  <c r="N121" i="17"/>
  <c r="M121" i="17"/>
  <c r="F3" i="4"/>
  <c r="G3" i="4"/>
  <c r="H3" i="4"/>
  <c r="E3" i="4"/>
  <c r="D18" i="13"/>
  <c r="E18" i="13"/>
  <c r="F18" i="13"/>
  <c r="D28" i="13"/>
  <c r="E28" i="13"/>
  <c r="F28" i="13"/>
  <c r="D33" i="13"/>
  <c r="E33" i="13"/>
  <c r="F33" i="13"/>
  <c r="D35" i="13"/>
  <c r="E35" i="13"/>
  <c r="F35" i="13"/>
  <c r="D36" i="13"/>
  <c r="E36" i="13"/>
  <c r="F36" i="13"/>
  <c r="D37" i="13"/>
  <c r="E37" i="13"/>
  <c r="F37" i="13"/>
  <c r="D43" i="13"/>
  <c r="E43" i="13"/>
  <c r="F43" i="13"/>
  <c r="D44" i="13"/>
  <c r="E44" i="13"/>
  <c r="F44" i="13"/>
  <c r="D45" i="13"/>
  <c r="E45" i="13"/>
  <c r="F45" i="13"/>
  <c r="D46" i="13"/>
  <c r="E46" i="13"/>
  <c r="F46" i="13"/>
  <c r="D76" i="13"/>
  <c r="E76" i="13"/>
  <c r="F76" i="13"/>
  <c r="C76" i="13"/>
  <c r="C46" i="13"/>
  <c r="C45" i="13"/>
  <c r="C44" i="13"/>
  <c r="C43" i="13"/>
  <c r="C37" i="13"/>
  <c r="C36" i="13"/>
  <c r="C35" i="13"/>
  <c r="C33" i="13"/>
  <c r="C28" i="13"/>
  <c r="C18" i="13"/>
</calcChain>
</file>

<file path=xl/sharedStrings.xml><?xml version="1.0" encoding="utf-8"?>
<sst xmlns="http://schemas.openxmlformats.org/spreadsheetml/2006/main" count="525" uniqueCount="268">
  <si>
    <t>System</t>
  </si>
  <si>
    <t>Task</t>
  </si>
  <si>
    <t>Action</t>
  </si>
  <si>
    <t>Set migration date</t>
  </si>
  <si>
    <t>ICON</t>
  </si>
  <si>
    <t>Review outstanding incidents for branch</t>
  </si>
  <si>
    <t>N/A</t>
  </si>
  <si>
    <t>Confirm branch actions complete</t>
  </si>
  <si>
    <t xml:space="preserve">Mark branch as ICON trading branch </t>
  </si>
  <si>
    <t>Set local printer</t>
  </si>
  <si>
    <t>Master Menu &gt; Branch Files &gt; Enter branch number (or change branch) &gt; Change Printer &gt; Select ‘Migration Reports’ &gt; Exit</t>
  </si>
  <si>
    <t>Start Migration Procedure</t>
  </si>
  <si>
    <t xml:space="preserve">Confirm migration steps complete </t>
  </si>
  <si>
    <t>Print migration log</t>
  </si>
  <si>
    <t>Check EOD for errors</t>
  </si>
  <si>
    <t>Verify site are trading successfully</t>
  </si>
  <si>
    <t>Enable Inter-branch trading</t>
  </si>
  <si>
    <t>Update IBT supplier account</t>
  </si>
  <si>
    <t>Add Branch to switcher</t>
  </si>
  <si>
    <t>Y</t>
  </si>
  <si>
    <t>N</t>
  </si>
  <si>
    <t>Tally</t>
  </si>
  <si>
    <t>S</t>
  </si>
  <si>
    <t>CR</t>
  </si>
  <si>
    <t>QT</t>
  </si>
  <si>
    <t>SL</t>
  </si>
  <si>
    <t>A</t>
  </si>
  <si>
    <t>C</t>
  </si>
  <si>
    <t>D</t>
  </si>
  <si>
    <t>M</t>
  </si>
  <si>
    <t>X</t>
  </si>
  <si>
    <t>p</t>
  </si>
  <si>
    <t>HX</t>
  </si>
  <si>
    <t>I</t>
  </si>
  <si>
    <t>Total</t>
  </si>
  <si>
    <t>O</t>
  </si>
  <si>
    <t>P</t>
  </si>
  <si>
    <t>R</t>
  </si>
  <si>
    <t>T</t>
  </si>
  <si>
    <t>W</t>
  </si>
  <si>
    <t xml:space="preserve">HX </t>
  </si>
  <si>
    <t>Diff</t>
  </si>
  <si>
    <t>No of Products</t>
  </si>
  <si>
    <t>Stock Value</t>
  </si>
  <si>
    <t>No extracted</t>
  </si>
  <si>
    <t>V</t>
  </si>
  <si>
    <t>Orders</t>
  </si>
  <si>
    <t>Value</t>
  </si>
  <si>
    <t xml:space="preserve">Orders </t>
  </si>
  <si>
    <t>No of records</t>
  </si>
  <si>
    <t>No of lines</t>
  </si>
  <si>
    <t xml:space="preserve">Goods </t>
  </si>
  <si>
    <t>VAT</t>
  </si>
  <si>
    <t>Adv Goods</t>
  </si>
  <si>
    <t>Adv VAT</t>
  </si>
  <si>
    <t>No of orders</t>
  </si>
  <si>
    <t>Future 1</t>
  </si>
  <si>
    <t>Future 2</t>
  </si>
  <si>
    <t>Future 3</t>
  </si>
  <si>
    <t>Transit</t>
  </si>
  <si>
    <t>Committed</t>
  </si>
  <si>
    <t>Count</t>
  </si>
  <si>
    <t>Goods</t>
  </si>
  <si>
    <t xml:space="preserve">VAT </t>
  </si>
  <si>
    <t>Deposit Left</t>
  </si>
  <si>
    <t>No of deposits</t>
  </si>
  <si>
    <t>No of Orders</t>
  </si>
  <si>
    <t>Totals</t>
  </si>
  <si>
    <t>Sub Total</t>
  </si>
  <si>
    <t>Adjust V status</t>
  </si>
  <si>
    <t>Do not complete</t>
  </si>
  <si>
    <t>Br History</t>
  </si>
  <si>
    <t>Final checkpoint - Go file, customer balances &amp; active flag</t>
  </si>
  <si>
    <t>B</t>
  </si>
  <si>
    <t>PF History Count</t>
  </si>
  <si>
    <t>Checkpoint 1 - All servers stopped, all inbound files processed, branch pre-checks etc</t>
  </si>
  <si>
    <t>Checkpoint 2 - Branch level EOD options</t>
  </si>
  <si>
    <t>Checkpoint 3 - Conversions extracts &amp; Reconcilliation reports, customer balance updates</t>
  </si>
  <si>
    <t>Order Processing &gt; Misc. options menu &gt; End of day options menu &gt; Update shared customers</t>
  </si>
  <si>
    <t>MANUALLY REBUILD CUSTOMER BALANCES IN A SECOND SESSION</t>
  </si>
  <si>
    <t>Check import successful - review number of records imported against recci sheet</t>
  </si>
  <si>
    <t>Check branch master data conversion successful - COMPLETE RECCI SHEET</t>
  </si>
  <si>
    <t>Check branch transaction conversions successful - COMPLETE RECCI SHEET</t>
  </si>
  <si>
    <t>Check tasks completed successfully - Complete customer debt recci</t>
  </si>
  <si>
    <t>Email deposit values to Martin Lamperd &amp; CC Tony Davies</t>
  </si>
  <si>
    <t>Brother Printers created</t>
  </si>
  <si>
    <t>MFP created</t>
  </si>
  <si>
    <t>Cash Drawer spooler created</t>
  </si>
  <si>
    <t>GL Tills created (Inc bank types if required)</t>
  </si>
  <si>
    <t>EFT Central Config</t>
  </si>
  <si>
    <t>EFT Branch Config</t>
  </si>
  <si>
    <t>Device Data loaded</t>
  </si>
  <si>
    <t>Week -1</t>
  </si>
  <si>
    <t>Day -1</t>
  </si>
  <si>
    <t>Disable Inter-branch trading</t>
  </si>
  <si>
    <t>Day 0</t>
  </si>
  <si>
    <t>Branch Build (inc DX update)</t>
  </si>
  <si>
    <t>Confirm no EOD invoicing issues</t>
  </si>
  <si>
    <t>Confirm no EOD PIM issues</t>
  </si>
  <si>
    <t>HX Centre</t>
  </si>
  <si>
    <t>Allocate branch to Conversion Analyst</t>
  </si>
  <si>
    <t>HX Cluster</t>
  </si>
  <si>
    <t>Is this a Tool Hire branch?</t>
  </si>
  <si>
    <t>Group 1 - Import data complete</t>
  </si>
  <si>
    <t>Group 2 - Convert branch master date complete</t>
  </si>
  <si>
    <t>Group 3 - Convert transactions complete</t>
  </si>
  <si>
    <t>Group 4 - Branch update &amp; rebuilds complete</t>
  </si>
  <si>
    <t>Day 1</t>
  </si>
  <si>
    <t>Add branches to relevant Branch Group</t>
  </si>
  <si>
    <t>JEWSON</t>
  </si>
  <si>
    <t>HX to ICON Conversion</t>
  </si>
  <si>
    <t>HX Conversion steps complete</t>
  </si>
  <si>
    <t>Latest single supplier delivery days SUPPDELDAYS.csv file copied to /k8data/ICON/DX/general/minordata</t>
  </si>
  <si>
    <t>PPI update .csv files copied to /k8data/ICON/DX/general/minordata (Filename format = bbbb_PPI.csv)</t>
  </si>
  <si>
    <t xml:space="preserve">Purchase orders tally details report </t>
  </si>
  <si>
    <t>Special Products (BR/pqery extraction )</t>
  </si>
  <si>
    <t>Additional extract CUSTOMER (BR)</t>
  </si>
  <si>
    <t>Additional extract SUPPLIER (BR)</t>
  </si>
  <si>
    <t>Additional extract STOCK (BR)</t>
  </si>
  <si>
    <t>Purchase lines by order type report</t>
  </si>
  <si>
    <t xml:space="preserve">Purchase order paragraphs report </t>
  </si>
  <si>
    <t xml:space="preserve">Sales orders by order type report </t>
  </si>
  <si>
    <t xml:space="preserve">Deposits by order category report </t>
  </si>
  <si>
    <t>Cash Advances Reconciliation (BR)
(Totals)</t>
  </si>
  <si>
    <t xml:space="preserve">Sales order lines by order status report </t>
  </si>
  <si>
    <t xml:space="preserve">Sales orders tally report </t>
  </si>
  <si>
    <t>Additional extract SO Log (BR)</t>
  </si>
  <si>
    <t>Additional extract SO Archive (BR)</t>
  </si>
  <si>
    <t>Log &amp; Archives 
(ICON - Group 5 run overnight)</t>
  </si>
  <si>
    <t xml:space="preserve">Customer Debt Totals
</t>
  </si>
  <si>
    <t xml:space="preserve">HX
(HX Branch clear down report ) </t>
  </si>
  <si>
    <t>E</t>
  </si>
  <si>
    <t>F</t>
  </si>
  <si>
    <t>G</t>
  </si>
  <si>
    <t>H</t>
  </si>
  <si>
    <t>U</t>
  </si>
  <si>
    <t>Z</t>
  </si>
  <si>
    <t>h</t>
  </si>
  <si>
    <t>n</t>
  </si>
  <si>
    <t>o</t>
  </si>
  <si>
    <t>r</t>
  </si>
  <si>
    <t>K</t>
  </si>
  <si>
    <t>L</t>
  </si>
  <si>
    <t>BI</t>
  </si>
  <si>
    <t>BO</t>
  </si>
  <si>
    <t>BT</t>
  </si>
  <si>
    <t>TC</t>
  </si>
  <si>
    <t>TD</t>
  </si>
  <si>
    <t>TH</t>
  </si>
  <si>
    <t>TR</t>
  </si>
  <si>
    <t>TW</t>
  </si>
  <si>
    <t>WO</t>
  </si>
  <si>
    <t>t</t>
  </si>
  <si>
    <t>c</t>
  </si>
  <si>
    <t>d</t>
  </si>
  <si>
    <t>Move branches into correct structural position</t>
  </si>
  <si>
    <t>ICON PRE</t>
  </si>
  <si>
    <t xml:space="preserve">ICON </t>
  </si>
  <si>
    <t>Branch 1</t>
  </si>
  <si>
    <t>Toolhire Only - Invoicing &amp; transactional data tasks</t>
  </si>
  <si>
    <t>Run pre conversion reconcilliation reports</t>
  </si>
  <si>
    <t>Update Terminal default row</t>
  </si>
  <si>
    <t>Load device data sheets</t>
  </si>
  <si>
    <t>Conversion Home workplace &gt; Conversion Tools &gt; Device Data Loads &gt; Execute &gt; select previously saved device data sheet for branch</t>
  </si>
  <si>
    <t>Conversion date - ##/##/####</t>
  </si>
  <si>
    <t>Adjust Process Orders</t>
  </si>
  <si>
    <t>NOTE: ICON PRE COLUMN IS ONLY RELEVANT FOR TOOLHIRE BRANCHES</t>
  </si>
  <si>
    <t>Toolhire Only - Confirm Tool hire ceased trading</t>
  </si>
  <si>
    <t>Toolhire Only - User updates</t>
  </si>
  <si>
    <t>Conversion Home workplace &gt; Conversion Tools &gt; Terminal Defaults &gt; View &gt; Default Values:
Till receipt requried = ticked
EFT Product to use = EFTLG03
EFT server = Select PED1 for the branch
Customer message = ticked
Supplier message = ticked
Operator login method = PAM Authentication</t>
  </si>
  <si>
    <t>Conversion Home workplace &gt; Conversion Tools &gt; Task Controller &gt; Tasks &gt; Locate Conversion Set n Group 1 &gt; Right click &gt; Run &gt; Daily</t>
  </si>
  <si>
    <t>Task Log workplace &gt; Review &amp; action errors</t>
  </si>
  <si>
    <t>Conversion Home workplace &gt; Conversion Tools &gt; Task Controller &gt; Tasks &gt; Locate Conversion Set n Group 2 &gt; Right click &gt; Run &gt; Daily</t>
  </si>
  <si>
    <t>Conversion Home workplace &gt; Conversion Tools &gt; Task Controller &gt; Tasks &gt; Locate Conversion Set n Group 3 &gt; Right click &gt; Run &gt; Daily</t>
  </si>
  <si>
    <t>Conversion Home workplace &gt; Conversion Tools &gt; Task Controller &gt; Tasks &gt; Locate Conversion Set n Group 4 &gt; Right click &gt; Run &gt; Daily</t>
  </si>
  <si>
    <t>Clear spoolers of printed invoices</t>
  </si>
  <si>
    <t>Locate branch spooler &gt; Cancel spurious cash invoices</t>
  </si>
  <si>
    <t>Conversion week - Jewson Week #</t>
  </si>
  <si>
    <t>COMMS</t>
  </si>
  <si>
    <t>Send Comms - Toolhire Branch Starting</t>
  </si>
  <si>
    <t>Add Toolhire conversion branches to CONV_TH branch group</t>
  </si>
  <si>
    <t>Toolhire Only - Confirm all toolhire interface files loaded successfully</t>
  </si>
  <si>
    <t>Confirm cease of trading/users logged off</t>
  </si>
  <si>
    <t>Send Comms - HX Branch Starting</t>
  </si>
  <si>
    <t>Add branch to relevant conversion branch group</t>
  </si>
  <si>
    <t>Tool Hire only pre reconciliation reports run</t>
  </si>
  <si>
    <t>Updated Terminal defaults - Default row</t>
  </si>
  <si>
    <t>Load device data sheets for TH branches</t>
  </si>
  <si>
    <t>Send Comms - HX Steps Complete</t>
  </si>
  <si>
    <t>HX Reconciliation values checked</t>
  </si>
  <si>
    <t>Master Data Reconciled</t>
  </si>
  <si>
    <t>Notify Trainers to leave site if no major issues in Group 3</t>
  </si>
  <si>
    <t>Transactional data reconciled</t>
  </si>
  <si>
    <t>Send Comms - Sales Order Import Complete (include issues of note)</t>
  </si>
  <si>
    <t>TEMPTASK</t>
  </si>
  <si>
    <t xml:space="preserve">GI Advances Correction DX run &amp; checked (Run from Conversions Issue Tasks Group - Conversions GI advances corrections) </t>
  </si>
  <si>
    <t>Run Create DM lines (Run from Conversions Issue Tasks Group)</t>
  </si>
  <si>
    <t>Manual order saves completed (Run from Conversions Issue Tasks Group - Un-saved orders)</t>
  </si>
  <si>
    <t>Review of GI advances completed (Run from Conversions Issue Tasks Group - Conversions GI advances)</t>
  </si>
  <si>
    <t>GI advance extract run to mark spurious entries as skipped (Run from Conversions Issue Tasks Group - Advance Extract)</t>
  </si>
  <si>
    <t>Spoolers cleared of spurious cash invoices</t>
  </si>
  <si>
    <t>Process order progress codes updated re customer debt allocation (Manually run SO_CONVWORKSCORR)</t>
  </si>
  <si>
    <t>Customer debt reconciled</t>
  </si>
  <si>
    <t xml:space="preserve">Post Group 4 -Restrict access to branch </t>
  </si>
  <si>
    <t>Send Comms - Debt Reconciliation Complete (include issues of note)</t>
  </si>
  <si>
    <t>Pre group 5 - Mark branch as fully active</t>
  </si>
  <si>
    <t>Group 5 - Update of branch groups &amp; manager restarts etc complete</t>
  </si>
  <si>
    <t>Send Comms - Conversion Complete</t>
  </si>
  <si>
    <t>Group 6 - Log file imports &amp; conversions</t>
  </si>
  <si>
    <t>Group 6 - Log files reconciled</t>
  </si>
  <si>
    <r>
      <t xml:space="preserve">Conversion Home workplace &gt; Conversion Tools &gt; Task Controller &gt; Tasks &gt; Locate "Conversion Set n TH Pre conv reccis" &gt; Right click &gt; Run &gt; Daily
</t>
    </r>
    <r>
      <rPr>
        <b/>
        <sz val="11"/>
        <color theme="1"/>
        <rFont val="Calibri"/>
        <family val="2"/>
        <scheme val="minor"/>
      </rPr>
      <t>Complete reconciliation tab</t>
    </r>
  </si>
  <si>
    <t>Confirm with controller all tasks have been completed (including Tool hire pre conversion group tasks)</t>
  </si>
  <si>
    <t>Branch 2</t>
  </si>
  <si>
    <t>Branch 3</t>
  </si>
  <si>
    <t>Branch 4</t>
  </si>
  <si>
    <t>Review Create DM lines outputs</t>
  </si>
  <si>
    <t>Migration Tasks Day 0</t>
  </si>
  <si>
    <t>HX Migration Steps</t>
  </si>
  <si>
    <t>ICON Toolhire Conversion Steps</t>
  </si>
  <si>
    <t>ICON Conversion Steps</t>
  </si>
  <si>
    <t>Branch files &gt; ICON Migration &gt; Run Migration Process &gt; Confirm correct printer is selected &amp; select Continue</t>
  </si>
  <si>
    <r>
      <t>Conversion Home workplace &gt; Conversion Tools &gt; Branch Groups &gt; Enter CONV_</t>
    </r>
    <r>
      <rPr>
        <i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(where n is your group eg CONV_SET_</t>
    </r>
    <r>
      <rPr>
        <i/>
        <sz val="12"/>
        <color theme="1"/>
        <rFont val="Calibri"/>
        <family val="2"/>
        <scheme val="minor"/>
      </rPr>
      <t>A</t>
    </r>
    <r>
      <rPr>
        <sz val="12"/>
        <color theme="1"/>
        <rFont val="Calibri"/>
        <family val="2"/>
        <scheme val="minor"/>
      </rPr>
      <t>) &gt; Amend &gt; Add/Remove branches as required &gt; Save</t>
    </r>
  </si>
  <si>
    <t xml:space="preserve">TOOLHIRE BRANCHES ONLY </t>
  </si>
  <si>
    <t>Group 1 - Import HX data into holding tables</t>
  </si>
  <si>
    <t>Group 2 - Convert branch master data &amp; create stock profile</t>
  </si>
  <si>
    <t>Group 3 - Convert branch transactions</t>
  </si>
  <si>
    <t>TEMPORARY MANUAL TASKS</t>
  </si>
  <si>
    <t>Group 4 - Update branch record &amp; run rebuilds</t>
  </si>
  <si>
    <t>Order Type</t>
  </si>
  <si>
    <t>Supplier</t>
  </si>
  <si>
    <t>Supplier Type</t>
  </si>
  <si>
    <t>Lines</t>
  </si>
  <si>
    <t>Reason</t>
  </si>
  <si>
    <t>Action Taken</t>
  </si>
  <si>
    <t xml:space="preserve">Linked SO </t>
  </si>
  <si>
    <t>PO No.</t>
  </si>
  <si>
    <t>HX Text Lines</t>
  </si>
  <si>
    <t>NO LONGER REQUIRED</t>
  </si>
  <si>
    <t>SO conversions failures (R7_ICAP0007)</t>
  </si>
  <si>
    <t>PO conversions failures (R7_ICAP0006)</t>
  </si>
  <si>
    <t>Order no</t>
  </si>
  <si>
    <t xml:space="preserve">Account </t>
  </si>
  <si>
    <t>Acc Type</t>
  </si>
  <si>
    <t>Line status</t>
  </si>
  <si>
    <t>Total line val</t>
  </si>
  <si>
    <t>Notification actioned</t>
  </si>
  <si>
    <t>Notification Cleared</t>
  </si>
  <si>
    <t>Type</t>
  </si>
  <si>
    <t>Order Cat</t>
  </si>
  <si>
    <t>Del Meth</t>
  </si>
  <si>
    <t>Total Advance</t>
  </si>
  <si>
    <t>Part No</t>
  </si>
  <si>
    <r>
      <t xml:space="preserve"> Check output reports to confirm all ok &amp; continue </t>
    </r>
    <r>
      <rPr>
        <sz val="12"/>
        <color rgb="FFFF0000"/>
        <rFont val="Calibri"/>
        <family val="2"/>
        <scheme val="minor"/>
      </rPr>
      <t>**USE HX Conversion Guidance Notes**</t>
    </r>
  </si>
  <si>
    <r>
      <t xml:space="preserve"> Check output reports to confirm all ok, run next step in 2nd session before clicking continue</t>
    </r>
    <r>
      <rPr>
        <sz val="12"/>
        <color rgb="FFFF0000"/>
        <rFont val="Calibri"/>
        <family val="2"/>
        <scheme val="minor"/>
      </rPr>
      <t xml:space="preserve"> **USE HX Conversion Guidance Notes**</t>
    </r>
  </si>
  <si>
    <r>
      <t xml:space="preserve">Migration Output Report displayed on screen &gt; Select Continue &gt; Print Details &gt; Select Yes </t>
    </r>
    <r>
      <rPr>
        <sz val="12"/>
        <color rgb="FFFF0000"/>
        <rFont val="Calibri"/>
        <family val="2"/>
        <scheme val="minor"/>
      </rPr>
      <t>**CHECK MIGRATION LOG FOR FAILURES**</t>
    </r>
  </si>
  <si>
    <r>
      <t xml:space="preserve">Task Log workplace &gt; Review &amp; action errors  </t>
    </r>
    <r>
      <rPr>
        <sz val="11"/>
        <color rgb="FFFF0000"/>
        <rFont val="Calibri"/>
        <family val="2"/>
        <scheme val="minor"/>
      </rPr>
      <t>**ENSURE NOTIFICATIONS ARE ACTIONED &amp; CLEARED**</t>
    </r>
  </si>
  <si>
    <r>
      <t xml:space="preserve">Task Log workplace &gt; Review &amp; action errors (see notifications) </t>
    </r>
    <r>
      <rPr>
        <sz val="11"/>
        <color rgb="FFFF0000"/>
        <rFont val="Calibri"/>
        <family val="2"/>
        <scheme val="minor"/>
      </rPr>
      <t>**ENSURE NOTIFICATIONS ARE ACTIONED &amp; CLEARED**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Complete reconciliation tab</t>
    </r>
  </si>
  <si>
    <t>Advise On-site Manager / FD Co-ordinator Group 3 reconcilliation has been completed and continue with manual tasks</t>
  </si>
  <si>
    <t>View via Task log 
- save any orders that failed to save. NOTE: Known issue where reports do not print - these can be ignored and further error reports actioned.</t>
  </si>
  <si>
    <t xml:space="preserve">Run "Unsaved orders" task </t>
  </si>
  <si>
    <t>Conversion Home workplace &gt; Conversion Tools &gt; Task Controller &gt; Tasks &gt; Locate Conversion Set n Group 3 &gt; Unsaved orders &gt; Right Click  &gt; Run &gt; Daily 
*This can be done as a custom run for individual branches if required*</t>
  </si>
  <si>
    <t>Manually save orders</t>
  </si>
  <si>
    <r>
      <t>Files named "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-SOP ORDERS-</t>
    </r>
    <r>
      <rPr>
        <i/>
        <sz val="11"/>
        <color theme="1"/>
        <rFont val="Calibri"/>
        <family val="2"/>
        <scheme val="minor"/>
      </rPr>
      <t>hh:mm:ss</t>
    </r>
    <r>
      <rPr>
        <sz val="11"/>
        <color theme="1"/>
        <rFont val="Calibri"/>
        <family val="2"/>
        <scheme val="minor"/>
      </rPr>
      <t>.csv" can be accessed via the migration spooler (http://10.211.108.35:8090/html/K8_</t>
    </r>
    <r>
      <rPr>
        <i/>
        <sz val="11"/>
        <color theme="1"/>
        <rFont val="Calibri"/>
        <family val="2"/>
        <scheme val="minor"/>
      </rPr>
      <t>bbbb</t>
    </r>
    <r>
      <rPr>
        <sz val="11"/>
        <color theme="1"/>
        <rFont val="Calibri"/>
        <family val="2"/>
        <scheme val="minor"/>
      </rPr>
      <t>.html) 
Enter sales order &amp; save. Bypass warnings unless presented with cash window. Record any issues.</t>
    </r>
  </si>
  <si>
    <t>Run "GI correction tasks"</t>
  </si>
  <si>
    <t>Conversion Home workplace &gt; Conversion Tools &gt; Task Controller &gt; Tasks &gt; Locate Conversion Set n Group 3 &gt; GI Correction tasks &gt; Right Click  &gt; Run &gt; Daily 
*This can be done as a custom run for individual branches if required*</t>
  </si>
  <si>
    <t>Check correction tasks have run successfully</t>
  </si>
  <si>
    <t>Task Log workplace &gt; Review &amp; report errors to FD / Manager</t>
  </si>
  <si>
    <t>Advise On-site Manager / FD Co-ordinator that manual tasks have been completed and await further instruction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</si>
</sst>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70ABE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5757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4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0" fontId="0" fillId="0" borderId="1" xfId="0" applyBorder="1" applyAlignment="1">
      <alignment horizontal="left" vertical="center" wrapText="1" indent="1"/>
    </xf>
    <xf numFmtId="0" fontId="0" fillId="0" borderId="1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0" fillId="0" borderId="0" xfId="0" applyBorder="1" applyAlignment="1">
      <alignment horizontal="left" vertical="center" indent="1"/>
    </xf>
    <xf numFmtId="2" fontId="0" fillId="0" borderId="1" xfId="0" applyNumberFormat="1" applyBorder="1" applyAlignment="1">
      <alignment horizontal="left" vertical="center" indent="1"/>
    </xf>
    <xf numFmtId="2" fontId="1" fillId="3" borderId="1" xfId="0" applyNumberFormat="1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indent="1"/>
    </xf>
    <xf numFmtId="0" fontId="0" fillId="0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Border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2" fontId="0" fillId="2" borderId="1" xfId="0" applyNumberFormat="1" applyFill="1" applyBorder="1" applyAlignment="1">
      <alignment horizontal="left" vertical="center" indent="1"/>
    </xf>
    <xf numFmtId="2" fontId="0" fillId="0" borderId="0" xfId="0" applyNumberFormat="1" applyAlignment="1">
      <alignment horizontal="left" vertical="center" indent="1"/>
    </xf>
    <xf numFmtId="0" fontId="0" fillId="6" borderId="1" xfId="0" applyFill="1" applyBorder="1" applyAlignment="1">
      <alignment horizontal="center" vertical="center"/>
    </xf>
    <xf numFmtId="0" fontId="0" fillId="0" borderId="3" xfId="0" applyFont="1" applyFill="1" applyBorder="1" applyAlignment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1" xfId="0" applyFont="1" applyFill="1" applyBorder="1"/>
    <xf numFmtId="0" fontId="0" fillId="0" borderId="1" xfId="0" applyFont="1" applyBorder="1" applyAlignment="1">
      <alignment wrapText="1"/>
    </xf>
    <xf numFmtId="0" fontId="1" fillId="3" borderId="1" xfId="0" applyFont="1" applyFill="1" applyBorder="1" applyAlignment="1">
      <alignment horizontal="left" vertical="center" indent="1"/>
    </xf>
    <xf numFmtId="0" fontId="1" fillId="3" borderId="6" xfId="0" applyFont="1" applyFill="1" applyBorder="1" applyAlignment="1">
      <alignment horizontal="left" vertical="center" indent="1"/>
    </xf>
    <xf numFmtId="2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 wrapText="1"/>
    </xf>
    <xf numFmtId="0" fontId="6" fillId="10" borderId="1" xfId="0" applyFont="1" applyFill="1" applyBorder="1" applyAlignment="1">
      <alignment horizontal="left" vertical="center" indent="1"/>
    </xf>
    <xf numFmtId="0" fontId="6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indent="1"/>
    </xf>
    <xf numFmtId="2" fontId="1" fillId="8" borderId="1" xfId="0" applyNumberFormat="1" applyFont="1" applyFill="1" applyBorder="1" applyAlignment="1">
      <alignment horizontal="left" vertical="center" indent="1"/>
    </xf>
    <xf numFmtId="0" fontId="1" fillId="8" borderId="1" xfId="0" applyFont="1" applyFill="1" applyBorder="1" applyAlignment="1">
      <alignment horizontal="left" vertical="center" wrapText="1" indent="1"/>
    </xf>
    <xf numFmtId="2" fontId="0" fillId="0" borderId="1" xfId="0" applyNumberFormat="1" applyFont="1" applyFill="1" applyBorder="1" applyAlignment="1">
      <alignment horizontal="left" vertical="center" indent="1"/>
    </xf>
    <xf numFmtId="2" fontId="0" fillId="0" borderId="6" xfId="0" applyNumberFormat="1" applyBorder="1" applyAlignment="1">
      <alignment horizontal="left" vertical="center" indent="1"/>
    </xf>
    <xf numFmtId="0" fontId="9" fillId="0" borderId="0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11" borderId="1" xfId="0" applyFont="1" applyFill="1" applyBorder="1" applyAlignment="1">
      <alignment vertical="center"/>
    </xf>
    <xf numFmtId="0" fontId="0" fillId="11" borderId="1" xfId="0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 vertical="center" indent="1"/>
    </xf>
    <xf numFmtId="0" fontId="8" fillId="0" borderId="1" xfId="0" applyFont="1" applyFill="1" applyBorder="1" applyAlignment="1">
      <alignment horizontal="center" vertical="center"/>
    </xf>
    <xf numFmtId="1" fontId="1" fillId="9" borderId="1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11" borderId="1" xfId="0" applyFont="1" applyFill="1" applyBorder="1" applyAlignment="1">
      <alignment wrapText="1"/>
    </xf>
    <xf numFmtId="0" fontId="0" fillId="11" borderId="1" xfId="0" applyFont="1" applyFill="1" applyBorder="1"/>
    <xf numFmtId="0" fontId="0" fillId="11" borderId="1" xfId="0" applyFont="1" applyFill="1" applyBorder="1" applyAlignment="1">
      <alignment horizontal="left" vertical="center" wrapText="1"/>
    </xf>
    <xf numFmtId="0" fontId="0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 wrapText="1"/>
    </xf>
    <xf numFmtId="0" fontId="0" fillId="11" borderId="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3" fillId="10" borderId="1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wrapText="1"/>
    </xf>
    <xf numFmtId="0" fontId="2" fillId="0" borderId="0" xfId="0" applyFont="1" applyBorder="1" applyAlignment="1"/>
    <xf numFmtId="0" fontId="3" fillId="7" borderId="4" xfId="0" applyFont="1" applyFill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0" fillId="0" borderId="4" xfId="0" applyFont="1" applyBorder="1" applyAlignment="1">
      <alignment horizontal="center" wrapText="1"/>
    </xf>
    <xf numFmtId="0" fontId="0" fillId="8" borderId="1" xfId="0" applyFont="1" applyFill="1" applyBorder="1"/>
    <xf numFmtId="0" fontId="0" fillId="8" borderId="1" xfId="0" applyFont="1" applyFill="1" applyBorder="1" applyAlignment="1">
      <alignment wrapText="1"/>
    </xf>
    <xf numFmtId="0" fontId="0" fillId="12" borderId="1" xfId="0" applyFont="1" applyFill="1" applyBorder="1"/>
    <xf numFmtId="0" fontId="0" fillId="12" borderId="1" xfId="0" applyFont="1" applyFill="1" applyBorder="1" applyAlignment="1">
      <alignment wrapText="1"/>
    </xf>
    <xf numFmtId="0" fontId="3" fillId="10" borderId="9" xfId="0" applyFont="1" applyFill="1" applyBorder="1" applyAlignment="1">
      <alignment horizontal="center" vertical="center" wrapText="1"/>
    </xf>
    <xf numFmtId="0" fontId="7" fillId="0" borderId="0" xfId="0" applyFont="1" applyFill="1"/>
    <xf numFmtId="0" fontId="0" fillId="0" borderId="4" xfId="0" applyFont="1" applyBorder="1" applyAlignment="1">
      <alignment horizontal="left" wrapText="1"/>
    </xf>
    <xf numFmtId="0" fontId="14" fillId="0" borderId="0" xfId="0" applyFont="1"/>
    <xf numFmtId="0" fontId="0" fillId="0" borderId="0" xfId="0" applyFont="1" applyFill="1" applyBorder="1" applyAlignment="1">
      <alignment horizontal="left" vertical="center" wrapText="1"/>
    </xf>
    <xf numFmtId="0" fontId="0" fillId="0" borderId="0" xfId="0" applyFill="1" applyBorder="1"/>
    <xf numFmtId="0" fontId="15" fillId="0" borderId="0" xfId="0" applyFont="1" applyAlignment="1">
      <alignment horizontal="left" vertical="center"/>
    </xf>
    <xf numFmtId="0" fontId="0" fillId="13" borderId="1" xfId="0" applyFill="1" applyBorder="1" applyAlignment="1">
      <alignment vertical="center" wrapText="1"/>
    </xf>
    <xf numFmtId="0" fontId="0" fillId="13" borderId="1" xfId="0" applyFont="1" applyFill="1" applyBorder="1" applyAlignment="1">
      <alignment vertical="center" wrapText="1"/>
    </xf>
    <xf numFmtId="0" fontId="0" fillId="17" borderId="1" xfId="0" applyFont="1" applyFill="1" applyBorder="1" applyAlignment="1">
      <alignment vertical="center" wrapText="1"/>
    </xf>
    <xf numFmtId="0" fontId="0" fillId="8" borderId="1" xfId="0" applyFont="1" applyFill="1" applyBorder="1" applyAlignment="1">
      <alignment vertical="center" wrapText="1"/>
    </xf>
    <xf numFmtId="0" fontId="0" fillId="8" borderId="1" xfId="0" applyFill="1" applyBorder="1" applyAlignment="1">
      <alignment horizontal="center" vertical="center"/>
    </xf>
    <xf numFmtId="0" fontId="0" fillId="17" borderId="1" xfId="0" applyFont="1" applyFill="1" applyBorder="1" applyAlignment="1">
      <alignment horizontal="center" vertical="center" wrapText="1"/>
    </xf>
    <xf numFmtId="0" fontId="0" fillId="17" borderId="3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3" borderId="1" xfId="0" applyFont="1" applyFill="1" applyBorder="1" applyAlignment="1">
      <alignment wrapText="1"/>
    </xf>
    <xf numFmtId="0" fontId="6" fillId="10" borderId="1" xfId="0" applyFont="1" applyFill="1" applyBorder="1" applyAlignment="1">
      <alignment horizontal="left" vertical="center" wrapText="1" indent="1"/>
    </xf>
    <xf numFmtId="0" fontId="1" fillId="3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9" fillId="15" borderId="1" xfId="0" applyFont="1" applyFill="1" applyBorder="1" applyAlignment="1">
      <alignment vertical="center"/>
    </xf>
    <xf numFmtId="0" fontId="19" fillId="15" borderId="1" xfId="0" applyFont="1" applyFill="1" applyBorder="1" applyAlignment="1">
      <alignment vertical="center" wrapText="1"/>
    </xf>
    <xf numFmtId="0" fontId="19" fillId="0" borderId="0" xfId="0" applyFont="1"/>
    <xf numFmtId="0" fontId="20" fillId="5" borderId="1" xfId="0" applyFont="1" applyFill="1" applyBorder="1" applyAlignment="1">
      <alignment vertical="center" wrapText="1"/>
    </xf>
    <xf numFmtId="0" fontId="19" fillId="5" borderId="1" xfId="0" applyFont="1" applyFill="1" applyBorder="1" applyAlignment="1">
      <alignment vertical="center"/>
    </xf>
    <xf numFmtId="0" fontId="19" fillId="0" borderId="0" xfId="0" applyFont="1" applyFill="1"/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 wrapText="1"/>
    </xf>
    <xf numFmtId="0" fontId="19" fillId="0" borderId="0" xfId="0" applyFont="1" applyFill="1" applyBorder="1"/>
    <xf numFmtId="0" fontId="19" fillId="15" borderId="13" xfId="0" applyFont="1" applyFill="1" applyBorder="1" applyAlignment="1">
      <alignment vertical="center"/>
    </xf>
    <xf numFmtId="0" fontId="19" fillId="15" borderId="14" xfId="0" applyFont="1" applyFill="1" applyBorder="1" applyAlignment="1">
      <alignment vertical="center"/>
    </xf>
    <xf numFmtId="0" fontId="20" fillId="5" borderId="13" xfId="0" applyFont="1" applyFill="1" applyBorder="1" applyAlignment="1">
      <alignment vertical="center"/>
    </xf>
    <xf numFmtId="0" fontId="19" fillId="5" borderId="14" xfId="0" applyFont="1" applyFill="1" applyBorder="1" applyAlignment="1">
      <alignment vertical="center"/>
    </xf>
    <xf numFmtId="0" fontId="19" fillId="15" borderId="17" xfId="0" applyFont="1" applyFill="1" applyBorder="1" applyAlignment="1">
      <alignment vertical="center"/>
    </xf>
    <xf numFmtId="0" fontId="19" fillId="15" borderId="18" xfId="0" applyFont="1" applyFill="1" applyBorder="1" applyAlignment="1">
      <alignment vertical="center" wrapText="1"/>
    </xf>
    <xf numFmtId="0" fontId="19" fillId="15" borderId="18" xfId="0" applyFont="1" applyFill="1" applyBorder="1" applyAlignment="1">
      <alignment vertical="center"/>
    </xf>
    <xf numFmtId="0" fontId="19" fillId="15" borderId="19" xfId="0" applyFont="1" applyFill="1" applyBorder="1" applyAlignment="1">
      <alignment vertical="center"/>
    </xf>
    <xf numFmtId="0" fontId="19" fillId="19" borderId="17" xfId="0" applyFont="1" applyFill="1" applyBorder="1" applyAlignment="1">
      <alignment vertical="center"/>
    </xf>
    <xf numFmtId="0" fontId="19" fillId="19" borderId="18" xfId="0" applyFont="1" applyFill="1" applyBorder="1" applyAlignment="1">
      <alignment vertical="center" wrapText="1"/>
    </xf>
    <xf numFmtId="0" fontId="19" fillId="19" borderId="18" xfId="0" applyFont="1" applyFill="1" applyBorder="1" applyAlignment="1">
      <alignment vertical="center"/>
    </xf>
    <xf numFmtId="0" fontId="19" fillId="19" borderId="19" xfId="0" applyFont="1" applyFill="1" applyBorder="1" applyAlignment="1">
      <alignment vertical="center"/>
    </xf>
    <xf numFmtId="0" fontId="0" fillId="13" borderId="13" xfId="0" applyFont="1" applyFill="1" applyBorder="1" applyAlignment="1">
      <alignment vertical="center"/>
    </xf>
    <xf numFmtId="0" fontId="0" fillId="13" borderId="14" xfId="0" applyFont="1" applyFill="1" applyBorder="1" applyAlignment="1">
      <alignment wrapText="1"/>
    </xf>
    <xf numFmtId="0" fontId="0" fillId="0" borderId="0" xfId="0" applyFill="1" applyBorder="1" applyAlignment="1">
      <alignment horizontal="left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17" borderId="13" xfId="0" applyFont="1" applyFill="1" applyBorder="1" applyAlignment="1">
      <alignment vertical="center"/>
    </xf>
    <xf numFmtId="0" fontId="0" fillId="17" borderId="23" xfId="0" applyFill="1" applyBorder="1" applyAlignment="1">
      <alignment horizontal="center" vertical="center"/>
    </xf>
    <xf numFmtId="0" fontId="0" fillId="17" borderId="14" xfId="0" applyFill="1" applyBorder="1" applyAlignment="1">
      <alignment horizontal="center" vertical="center"/>
    </xf>
    <xf numFmtId="0" fontId="0" fillId="8" borderId="13" xfId="0" applyFont="1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0" fillId="17" borderId="13" xfId="0" applyFont="1" applyFill="1" applyBorder="1" applyAlignment="1">
      <alignment vertical="center" wrapText="1"/>
    </xf>
    <xf numFmtId="0" fontId="0" fillId="17" borderId="14" xfId="0" applyFont="1" applyFill="1" applyBorder="1" applyAlignment="1">
      <alignment horizontal="center" vertical="center" wrapText="1"/>
    </xf>
    <xf numFmtId="0" fontId="0" fillId="17" borderId="17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vertical="center" wrapText="1"/>
    </xf>
    <xf numFmtId="0" fontId="0" fillId="17" borderId="18" xfId="0" applyFont="1" applyFill="1" applyBorder="1" applyAlignment="1">
      <alignment horizontal="center" vertical="center" wrapText="1"/>
    </xf>
    <xf numFmtId="0" fontId="0" fillId="17" borderId="19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 textRotation="90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18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left" vertical="center" textRotation="90"/>
    </xf>
    <xf numFmtId="0" fontId="4" fillId="2" borderId="19" xfId="0" applyFont="1" applyFill="1" applyBorder="1" applyAlignment="1">
      <alignment horizontal="left" vertical="center" textRotation="90"/>
    </xf>
    <xf numFmtId="0" fontId="0" fillId="0" borderId="0" xfId="0" applyFill="1" applyBorder="1" applyAlignment="1">
      <alignment wrapText="1"/>
    </xf>
    <xf numFmtId="0" fontId="0" fillId="0" borderId="0" xfId="0" applyFill="1" applyBorder="1" applyAlignment="1">
      <alignment vertical="center" wrapText="1"/>
    </xf>
    <xf numFmtId="0" fontId="1" fillId="9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2" fontId="0" fillId="0" borderId="0" xfId="0" applyNumberFormat="1" applyBorder="1" applyAlignment="1">
      <alignment horizontal="left" vertical="center" indent="1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left" vertical="center" indent="1"/>
    </xf>
    <xf numFmtId="2" fontId="1" fillId="0" borderId="0" xfId="0" applyNumberFormat="1" applyFont="1" applyFill="1" applyBorder="1" applyAlignment="1">
      <alignment horizontal="left" vertical="center" indent="1"/>
    </xf>
    <xf numFmtId="2" fontId="0" fillId="0" borderId="0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 indent="1"/>
    </xf>
    <xf numFmtId="0" fontId="0" fillId="0" borderId="1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2" fontId="0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" fillId="8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left" vertical="center" indent="1"/>
    </xf>
    <xf numFmtId="0" fontId="1" fillId="0" borderId="1" xfId="0" applyFont="1" applyBorder="1" applyAlignment="1">
      <alignment horizontal="left" vertical="center" indent="1"/>
    </xf>
    <xf numFmtId="0" fontId="1" fillId="20" borderId="13" xfId="0" applyFont="1" applyFill="1" applyBorder="1" applyAlignment="1">
      <alignment horizontal="center" vertical="center"/>
    </xf>
    <xf numFmtId="0" fontId="1" fillId="20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left" vertical="center" indent="1"/>
    </xf>
    <xf numFmtId="0" fontId="0" fillId="0" borderId="14" xfId="0" applyFont="1" applyBorder="1" applyAlignment="1">
      <alignment horizontal="left" vertical="center" indent="1"/>
    </xf>
    <xf numFmtId="0" fontId="0" fillId="0" borderId="14" xfId="0" applyBorder="1" applyAlignment="1">
      <alignment horizontal="left" vertical="center" indent="1"/>
    </xf>
    <xf numFmtId="0" fontId="0" fillId="0" borderId="17" xfId="0" applyBorder="1" applyAlignment="1">
      <alignment horizontal="left" vertical="center" indent="1"/>
    </xf>
    <xf numFmtId="0" fontId="0" fillId="0" borderId="18" xfId="0" applyBorder="1" applyAlignment="1">
      <alignment horizontal="left" vertical="center" indent="1"/>
    </xf>
    <xf numFmtId="0" fontId="0" fillId="0" borderId="19" xfId="0" applyBorder="1" applyAlignment="1">
      <alignment horizontal="left" vertical="center" indent="1"/>
    </xf>
    <xf numFmtId="0" fontId="0" fillId="0" borderId="13" xfId="0" applyFont="1" applyBorder="1" applyAlignment="1">
      <alignment horizontal="left" vertical="center" indent="1"/>
    </xf>
    <xf numFmtId="2" fontId="0" fillId="0" borderId="18" xfId="0" applyNumberFormat="1" applyBorder="1" applyAlignment="1">
      <alignment horizontal="left" vertical="center" indent="1"/>
    </xf>
    <xf numFmtId="0" fontId="1" fillId="0" borderId="14" xfId="0" applyFont="1" applyBorder="1" applyAlignment="1">
      <alignment horizontal="left" vertical="center" indent="1"/>
    </xf>
    <xf numFmtId="0" fontId="2" fillId="0" borderId="8" xfId="0" applyFont="1" applyBorder="1" applyAlignment="1">
      <alignment horizontal="left"/>
    </xf>
    <xf numFmtId="0" fontId="5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2" fillId="0" borderId="0" xfId="0" applyFont="1" applyBorder="1" applyAlignment="1">
      <alignment horizontal="left"/>
    </xf>
    <xf numFmtId="0" fontId="2" fillId="18" borderId="15" xfId="0" applyFont="1" applyFill="1" applyBorder="1" applyAlignment="1">
      <alignment horizontal="left" wrapText="1"/>
    </xf>
    <xf numFmtId="0" fontId="2" fillId="18" borderId="5" xfId="0" applyFont="1" applyFill="1" applyBorder="1" applyAlignment="1">
      <alignment horizontal="left" wrapText="1"/>
    </xf>
    <xf numFmtId="0" fontId="2" fillId="18" borderId="16" xfId="0" applyFont="1" applyFill="1" applyBorder="1" applyAlignment="1">
      <alignment horizontal="left" wrapText="1"/>
    </xf>
    <xf numFmtId="0" fontId="16" fillId="2" borderId="10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6" fillId="2" borderId="12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left" vertical="center" wrapText="1"/>
    </xf>
    <xf numFmtId="0" fontId="17" fillId="14" borderId="21" xfId="0" applyFont="1" applyFill="1" applyBorder="1" applyAlignment="1">
      <alignment horizontal="left" vertical="center" wrapText="1"/>
    </xf>
    <xf numFmtId="0" fontId="17" fillId="14" borderId="22" xfId="0" applyFont="1" applyFill="1" applyBorder="1" applyAlignment="1">
      <alignment horizontal="left" vertical="center" wrapText="1"/>
    </xf>
    <xf numFmtId="0" fontId="13" fillId="9" borderId="15" xfId="0" applyFont="1" applyFill="1" applyBorder="1" applyAlignment="1">
      <alignment horizontal="left" vertical="center" wrapText="1"/>
    </xf>
    <xf numFmtId="0" fontId="13" fillId="9" borderId="5" xfId="0" applyFont="1" applyFill="1" applyBorder="1" applyAlignment="1">
      <alignment horizontal="left" vertical="center" wrapText="1"/>
    </xf>
    <xf numFmtId="0" fontId="13" fillId="9" borderId="16" xfId="0" applyFont="1" applyFill="1" applyBorder="1" applyAlignment="1">
      <alignment horizontal="left" vertical="center" wrapText="1"/>
    </xf>
    <xf numFmtId="0" fontId="13" fillId="16" borderId="20" xfId="0" applyFont="1" applyFill="1" applyBorder="1" applyAlignment="1">
      <alignment horizontal="left" vertical="center" wrapText="1"/>
    </xf>
    <xf numFmtId="0" fontId="13" fillId="16" borderId="21" xfId="0" applyFont="1" applyFill="1" applyBorder="1" applyAlignment="1">
      <alignment horizontal="left" vertical="center" wrapText="1"/>
    </xf>
    <xf numFmtId="0" fontId="13" fillId="16" borderId="22" xfId="0" applyFont="1" applyFill="1" applyBorder="1" applyAlignment="1">
      <alignment horizontal="left" vertical="center" wrapText="1"/>
    </xf>
    <xf numFmtId="0" fontId="13" fillId="9" borderId="20" xfId="0" applyFont="1" applyFill="1" applyBorder="1" applyAlignment="1">
      <alignment horizontal="left" vertical="center" wrapText="1"/>
    </xf>
    <xf numFmtId="0" fontId="13" fillId="9" borderId="21" xfId="0" applyFont="1" applyFill="1" applyBorder="1" applyAlignment="1">
      <alignment horizontal="left" vertical="center" wrapText="1"/>
    </xf>
    <xf numFmtId="0" fontId="13" fillId="9" borderId="22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horizontal="center" vertical="top" wrapText="1"/>
    </xf>
    <xf numFmtId="0" fontId="1" fillId="8" borderId="1" xfId="0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 vertical="center"/>
    </xf>
    <xf numFmtId="2" fontId="0" fillId="2" borderId="6" xfId="0" applyNumberForma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/>
    </xf>
    <xf numFmtId="0" fontId="1" fillId="9" borderId="5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/>
    </xf>
    <xf numFmtId="0" fontId="1" fillId="20" borderId="24" xfId="0" applyFont="1" applyFill="1" applyBorder="1" applyAlignment="1">
      <alignment horizontal="left" vertical="center" indent="1"/>
    </xf>
    <xf numFmtId="0" fontId="1" fillId="20" borderId="25" xfId="0" applyFont="1" applyFill="1" applyBorder="1" applyAlignment="1">
      <alignment horizontal="left" vertical="center" indent="1"/>
    </xf>
    <xf numFmtId="0" fontId="1" fillId="20" borderId="26" xfId="0" applyFont="1" applyFill="1" applyBorder="1" applyAlignment="1">
      <alignment horizontal="left" vertical="center" indent="1"/>
    </xf>
    <xf numFmtId="0" fontId="1" fillId="20" borderId="20" xfId="0" applyFont="1" applyFill="1" applyBorder="1" applyAlignment="1">
      <alignment horizontal="left" vertical="center" indent="1"/>
    </xf>
    <xf numFmtId="0" fontId="1" fillId="20" borderId="21" xfId="0" applyFont="1" applyFill="1" applyBorder="1" applyAlignment="1">
      <alignment horizontal="left" vertical="center" indent="1"/>
    </xf>
    <xf numFmtId="0" fontId="1" fillId="20" borderId="22" xfId="0" applyFont="1" applyFill="1" applyBorder="1" applyAlignment="1">
      <alignment horizontal="left" vertical="center" indent="1"/>
    </xf>
    <xf numFmtId="0" fontId="1" fillId="9" borderId="6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6" xfId="0" applyFont="1" applyFill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7" xfId="0" applyNumberFormat="1" applyFont="1" applyBorder="1" applyAlignment="1">
      <alignment horizontal="center" vertical="center"/>
    </xf>
    <xf numFmtId="2" fontId="1" fillId="0" borderId="3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left" vertical="center" wrapText="1" indent="1"/>
    </xf>
    <xf numFmtId="0" fontId="10" fillId="0" borderId="8" xfId="0" applyFont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left" vertical="center" wrapText="1" indent="1"/>
    </xf>
    <xf numFmtId="0" fontId="6" fillId="10" borderId="3" xfId="0" applyFont="1" applyFill="1" applyBorder="1" applyAlignment="1">
      <alignment horizontal="left" vertical="center" wrapText="1" indent="1"/>
    </xf>
    <xf numFmtId="0" fontId="1" fillId="3" borderId="4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</cellXfs>
  <cellStyles count="1">
    <cellStyle name="Normal" xfId="0" builtinId="0"/>
  </cellStyles>
  <dxfs count="4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757"/>
      <color rgb="FFCCFFFF"/>
      <color rgb="FF99CCFF"/>
      <color rgb="FF00CCFF"/>
      <color rgb="FF70ABEC"/>
      <color rgb="FF140AE6"/>
      <color rgb="FFFF9900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314325</xdr:rowOff>
        </xdr:from>
        <xdr:to>
          <xdr:col>6</xdr:col>
          <xdr:colOff>800100</xdr:colOff>
          <xdr:row>0</xdr:row>
          <xdr:rowOff>981075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Begin HX Recci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314325</xdr:rowOff>
        </xdr:from>
        <xdr:to>
          <xdr:col>8</xdr:col>
          <xdr:colOff>590550</xdr:colOff>
          <xdr:row>0</xdr:row>
          <xdr:rowOff>981075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Begin K8 Recci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bduksharepoint.saint-gobain.com/projects/ICON/datacapture/ppidata/Lists/PPI/AllItems.asp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88"/>
  <sheetViews>
    <sheetView zoomScale="85" zoomScaleNormal="85" workbookViewId="0">
      <selection activeCell="B62" sqref="B62"/>
    </sheetView>
  </sheetViews>
  <sheetFormatPr defaultRowHeight="15" x14ac:dyDescent="0.25"/>
  <cols>
    <col min="1" max="1" width="10.42578125" style="20" bestFit="1" customWidth="1"/>
    <col min="2" max="2" width="116.28515625" style="20" bestFit="1" customWidth="1"/>
    <col min="3" max="3" width="11.28515625" style="1" bestFit="1" customWidth="1"/>
    <col min="4" max="6" width="11.28515625" style="20" bestFit="1" customWidth="1"/>
    <col min="7" max="16384" width="9.140625" style="20"/>
  </cols>
  <sheetData>
    <row r="1" spans="1:6" ht="23.25" customHeight="1" x14ac:dyDescent="0.25">
      <c r="A1" s="187" t="s">
        <v>109</v>
      </c>
      <c r="B1" s="187"/>
      <c r="C1" s="187"/>
    </row>
    <row r="2" spans="1:6" ht="18.75" customHeight="1" x14ac:dyDescent="0.3">
      <c r="A2" s="188" t="s">
        <v>110</v>
      </c>
      <c r="B2" s="188"/>
      <c r="C2" s="188"/>
    </row>
    <row r="3" spans="1:6" ht="18.75" customHeight="1" x14ac:dyDescent="0.3">
      <c r="A3" s="188" t="s">
        <v>177</v>
      </c>
      <c r="B3" s="188"/>
      <c r="C3" s="188"/>
    </row>
    <row r="4" spans="1:6" ht="18.75" customHeight="1" x14ac:dyDescent="0.3">
      <c r="A4" s="188" t="s">
        <v>164</v>
      </c>
      <c r="B4" s="188"/>
      <c r="C4" s="188"/>
    </row>
    <row r="5" spans="1:6" s="2" customFormat="1" ht="23.25" x14ac:dyDescent="0.35">
      <c r="A5" s="186" t="s">
        <v>92</v>
      </c>
      <c r="B5" s="186"/>
      <c r="C5" s="68"/>
      <c r="D5" s="68"/>
      <c r="E5" s="68"/>
      <c r="F5" s="68"/>
    </row>
    <row r="6" spans="1:6" s="72" customFormat="1" ht="21.75" customHeight="1" x14ac:dyDescent="0.25">
      <c r="A6" s="69" t="s">
        <v>0</v>
      </c>
      <c r="B6" s="70" t="s">
        <v>2</v>
      </c>
      <c r="C6" s="71" t="s">
        <v>158</v>
      </c>
      <c r="D6" s="71" t="s">
        <v>212</v>
      </c>
      <c r="E6" s="71" t="s">
        <v>213</v>
      </c>
      <c r="F6" s="71" t="s">
        <v>214</v>
      </c>
    </row>
    <row r="7" spans="1:6" s="48" customFormat="1" x14ac:dyDescent="0.25">
      <c r="A7" s="47" t="s">
        <v>6</v>
      </c>
      <c r="B7" s="47" t="s">
        <v>102</v>
      </c>
      <c r="C7" s="73" t="s">
        <v>20</v>
      </c>
      <c r="D7" s="73" t="s">
        <v>20</v>
      </c>
      <c r="E7" s="73" t="s">
        <v>20</v>
      </c>
      <c r="F7" s="73" t="s">
        <v>20</v>
      </c>
    </row>
    <row r="8" spans="1:6" x14ac:dyDescent="0.25">
      <c r="A8" s="24" t="s">
        <v>4</v>
      </c>
      <c r="B8" s="24" t="s">
        <v>96</v>
      </c>
      <c r="C8" s="46"/>
      <c r="D8" s="46"/>
      <c r="E8" s="46"/>
      <c r="F8" s="46"/>
    </row>
    <row r="9" spans="1:6" x14ac:dyDescent="0.25">
      <c r="A9" s="24" t="s">
        <v>4</v>
      </c>
      <c r="B9" s="24" t="s">
        <v>86</v>
      </c>
      <c r="C9" s="46"/>
      <c r="D9" s="46"/>
      <c r="E9" s="46"/>
      <c r="F9" s="46"/>
    </row>
    <row r="10" spans="1:6" x14ac:dyDescent="0.25">
      <c r="A10" s="24" t="s">
        <v>4</v>
      </c>
      <c r="B10" s="24" t="s">
        <v>85</v>
      </c>
      <c r="C10" s="46"/>
      <c r="D10" s="46"/>
      <c r="E10" s="46"/>
      <c r="F10" s="46"/>
    </row>
    <row r="11" spans="1:6" x14ac:dyDescent="0.25">
      <c r="A11" s="24" t="s">
        <v>4</v>
      </c>
      <c r="B11" s="28" t="s">
        <v>87</v>
      </c>
      <c r="C11" s="46"/>
      <c r="D11" s="46"/>
      <c r="E11" s="46"/>
      <c r="F11" s="46"/>
    </row>
    <row r="12" spans="1:6" x14ac:dyDescent="0.25">
      <c r="A12" s="24" t="s">
        <v>4</v>
      </c>
      <c r="B12" s="24" t="s">
        <v>88</v>
      </c>
      <c r="C12" s="46"/>
      <c r="D12" s="46"/>
      <c r="E12" s="46"/>
      <c r="F12" s="46"/>
    </row>
    <row r="13" spans="1:6" x14ac:dyDescent="0.25">
      <c r="A13" s="24" t="s">
        <v>4</v>
      </c>
      <c r="B13" s="24" t="s">
        <v>89</v>
      </c>
      <c r="C13" s="46"/>
      <c r="D13" s="46"/>
      <c r="E13" s="46"/>
      <c r="F13" s="46"/>
    </row>
    <row r="14" spans="1:6" x14ac:dyDescent="0.25">
      <c r="A14" s="24" t="s">
        <v>4</v>
      </c>
      <c r="B14" s="28" t="s">
        <v>90</v>
      </c>
      <c r="C14" s="46"/>
      <c r="D14" s="46"/>
      <c r="E14" s="46"/>
      <c r="F14" s="46"/>
    </row>
    <row r="15" spans="1:6" x14ac:dyDescent="0.25">
      <c r="A15" s="24" t="s">
        <v>4</v>
      </c>
      <c r="B15" s="24" t="s">
        <v>91</v>
      </c>
      <c r="C15" s="46"/>
      <c r="D15" s="46"/>
      <c r="E15" s="46"/>
      <c r="F15" s="46"/>
    </row>
    <row r="16" spans="1:6" x14ac:dyDescent="0.25">
      <c r="D16" s="1"/>
      <c r="E16" s="1"/>
      <c r="F16" s="1"/>
    </row>
    <row r="17" spans="1:6" ht="23.25" x14ac:dyDescent="0.35">
      <c r="A17" s="189" t="s">
        <v>93</v>
      </c>
      <c r="B17" s="189"/>
      <c r="C17" s="75"/>
      <c r="D17" s="75"/>
      <c r="E17" s="75"/>
      <c r="F17" s="75"/>
    </row>
    <row r="18" spans="1:6" s="22" customFormat="1" ht="21.75" customHeight="1" x14ac:dyDescent="0.25">
      <c r="A18" s="27" t="s">
        <v>0</v>
      </c>
      <c r="B18" s="76" t="s">
        <v>2</v>
      </c>
      <c r="C18" s="77" t="str">
        <f>C$6</f>
        <v>Branch 1</v>
      </c>
      <c r="D18" s="77" t="str">
        <f t="shared" ref="D18:F18" si="0">D$6</f>
        <v>Branch 2</v>
      </c>
      <c r="E18" s="77" t="str">
        <f t="shared" si="0"/>
        <v>Branch 3</v>
      </c>
      <c r="F18" s="77" t="str">
        <f t="shared" si="0"/>
        <v>Branch 4</v>
      </c>
    </row>
    <row r="19" spans="1:6" x14ac:dyDescent="0.25">
      <c r="A19" s="24" t="s">
        <v>6</v>
      </c>
      <c r="B19" s="24" t="s">
        <v>5</v>
      </c>
      <c r="C19" s="45"/>
      <c r="D19" s="45"/>
      <c r="E19" s="45"/>
      <c r="F19" s="45"/>
    </row>
    <row r="20" spans="1:6" x14ac:dyDescent="0.25">
      <c r="A20" s="24" t="s">
        <v>99</v>
      </c>
      <c r="B20" s="24" t="s">
        <v>94</v>
      </c>
      <c r="C20" s="45"/>
      <c r="D20" s="45"/>
      <c r="E20" s="45"/>
      <c r="F20" s="45"/>
    </row>
    <row r="21" spans="1:6" x14ac:dyDescent="0.25">
      <c r="A21" s="24" t="s">
        <v>99</v>
      </c>
      <c r="B21" s="24" t="s">
        <v>3</v>
      </c>
      <c r="C21" s="45"/>
      <c r="D21" s="45"/>
      <c r="E21" s="45"/>
      <c r="F21" s="45"/>
    </row>
    <row r="22" spans="1:6" x14ac:dyDescent="0.25">
      <c r="A22" s="24" t="s">
        <v>4</v>
      </c>
      <c r="B22" s="24" t="s">
        <v>3</v>
      </c>
      <c r="C22" s="45"/>
      <c r="D22" s="45"/>
      <c r="E22" s="45"/>
      <c r="F22" s="45"/>
    </row>
    <row r="23" spans="1:6" x14ac:dyDescent="0.25">
      <c r="A23" s="24" t="s">
        <v>4</v>
      </c>
      <c r="B23" s="24" t="s">
        <v>94</v>
      </c>
      <c r="C23" s="85"/>
      <c r="D23" s="85"/>
      <c r="E23" s="85"/>
      <c r="F23" s="45"/>
    </row>
    <row r="24" spans="1:6" x14ac:dyDescent="0.25">
      <c r="A24" s="28" t="s">
        <v>4</v>
      </c>
      <c r="B24" s="28" t="s">
        <v>113</v>
      </c>
      <c r="C24" s="45"/>
      <c r="D24" s="45"/>
      <c r="E24" s="45"/>
      <c r="F24" s="45"/>
    </row>
    <row r="25" spans="1:6" x14ac:dyDescent="0.25">
      <c r="A25" s="28" t="s">
        <v>4</v>
      </c>
      <c r="B25" s="28" t="s">
        <v>112</v>
      </c>
      <c r="C25" s="78"/>
      <c r="D25" s="78"/>
      <c r="E25" s="78"/>
      <c r="F25" s="45"/>
    </row>
    <row r="26" spans="1:6" x14ac:dyDescent="0.25">
      <c r="D26" s="1"/>
      <c r="E26" s="1"/>
      <c r="F26" s="1"/>
    </row>
    <row r="27" spans="1:6" ht="23.25" x14ac:dyDescent="0.35">
      <c r="A27" s="186" t="s">
        <v>95</v>
      </c>
      <c r="B27" s="186"/>
      <c r="C27" s="75"/>
      <c r="D27" s="75"/>
      <c r="E27" s="75"/>
      <c r="F27" s="75"/>
    </row>
    <row r="28" spans="1:6" s="22" customFormat="1" ht="21.75" customHeight="1" x14ac:dyDescent="0.25">
      <c r="A28" s="27" t="s">
        <v>0</v>
      </c>
      <c r="B28" s="27" t="s">
        <v>2</v>
      </c>
      <c r="C28" s="77" t="str">
        <f t="shared" ref="C28:F28" si="1">C6</f>
        <v>Branch 1</v>
      </c>
      <c r="D28" s="77" t="str">
        <f t="shared" si="1"/>
        <v>Branch 2</v>
      </c>
      <c r="E28" s="77" t="str">
        <f t="shared" si="1"/>
        <v>Branch 3</v>
      </c>
      <c r="F28" s="77" t="str">
        <f t="shared" si="1"/>
        <v>Branch 4</v>
      </c>
    </row>
    <row r="29" spans="1:6" x14ac:dyDescent="0.25">
      <c r="A29" s="24" t="s">
        <v>6</v>
      </c>
      <c r="B29" s="24" t="s">
        <v>5</v>
      </c>
      <c r="C29" s="74"/>
      <c r="D29" s="74"/>
      <c r="E29" s="74"/>
      <c r="F29" s="74"/>
    </row>
    <row r="30" spans="1:6" x14ac:dyDescent="0.25">
      <c r="A30" s="24" t="s">
        <v>99</v>
      </c>
      <c r="B30" s="24" t="s">
        <v>97</v>
      </c>
      <c r="C30" s="45"/>
      <c r="D30" s="45"/>
      <c r="E30" s="45"/>
      <c r="F30" s="45"/>
    </row>
    <row r="31" spans="1:6" x14ac:dyDescent="0.25">
      <c r="A31" s="24" t="s">
        <v>99</v>
      </c>
      <c r="B31" s="24" t="s">
        <v>98</v>
      </c>
      <c r="C31" s="45"/>
      <c r="D31" s="45"/>
      <c r="E31" s="45"/>
      <c r="F31" s="45"/>
    </row>
    <row r="32" spans="1:6" x14ac:dyDescent="0.25">
      <c r="A32" s="24" t="s">
        <v>99</v>
      </c>
      <c r="B32" s="29" t="s">
        <v>8</v>
      </c>
      <c r="C32" s="45"/>
      <c r="D32" s="45"/>
      <c r="E32" s="45"/>
      <c r="F32" s="45"/>
    </row>
    <row r="33" spans="1:6" x14ac:dyDescent="0.25">
      <c r="A33" s="63" t="s">
        <v>6</v>
      </c>
      <c r="B33" s="62" t="s">
        <v>167</v>
      </c>
      <c r="C33" s="45" t="str">
        <f>IF($C$7="Y","","N/A")</f>
        <v>N/A</v>
      </c>
      <c r="D33" s="45" t="str">
        <f t="shared" ref="D33:F33" si="2">IF($C$7="Y","","N/A")</f>
        <v>N/A</v>
      </c>
      <c r="E33" s="45" t="str">
        <f t="shared" si="2"/>
        <v>N/A</v>
      </c>
      <c r="F33" s="45" t="str">
        <f t="shared" si="2"/>
        <v>N/A</v>
      </c>
    </row>
    <row r="34" spans="1:6" x14ac:dyDescent="0.25">
      <c r="A34" s="79" t="s">
        <v>178</v>
      </c>
      <c r="B34" s="80" t="s">
        <v>179</v>
      </c>
      <c r="C34" s="45"/>
      <c r="D34" s="45"/>
      <c r="E34" s="45"/>
      <c r="F34" s="45"/>
    </row>
    <row r="35" spans="1:6" x14ac:dyDescent="0.25">
      <c r="A35" s="63" t="s">
        <v>4</v>
      </c>
      <c r="B35" s="64" t="s">
        <v>180</v>
      </c>
      <c r="C35" s="45" t="str">
        <f t="shared" ref="C35:F37" si="3">IF(C$7="Y","","N/A")</f>
        <v>N/A</v>
      </c>
      <c r="D35" s="45" t="str">
        <f t="shared" si="3"/>
        <v>N/A</v>
      </c>
      <c r="E35" s="45" t="str">
        <f t="shared" si="3"/>
        <v>N/A</v>
      </c>
      <c r="F35" s="45" t="str">
        <f t="shared" si="3"/>
        <v>N/A</v>
      </c>
    </row>
    <row r="36" spans="1:6" x14ac:dyDescent="0.25">
      <c r="A36" s="63" t="s">
        <v>4</v>
      </c>
      <c r="B36" s="64" t="s">
        <v>159</v>
      </c>
      <c r="C36" s="45" t="str">
        <f t="shared" si="3"/>
        <v>N/A</v>
      </c>
      <c r="D36" s="45" t="str">
        <f t="shared" si="3"/>
        <v>N/A</v>
      </c>
      <c r="E36" s="45" t="str">
        <f t="shared" si="3"/>
        <v>N/A</v>
      </c>
      <c r="F36" s="45" t="str">
        <f t="shared" si="3"/>
        <v>N/A</v>
      </c>
    </row>
    <row r="37" spans="1:6" x14ac:dyDescent="0.25">
      <c r="A37" s="63" t="s">
        <v>4</v>
      </c>
      <c r="B37" s="63" t="s">
        <v>181</v>
      </c>
      <c r="C37" s="45" t="str">
        <f t="shared" si="3"/>
        <v>N/A</v>
      </c>
      <c r="D37" s="45" t="str">
        <f t="shared" si="3"/>
        <v>N/A</v>
      </c>
      <c r="E37" s="45" t="str">
        <f t="shared" si="3"/>
        <v>N/A</v>
      </c>
      <c r="F37" s="45" t="str">
        <f t="shared" si="3"/>
        <v>N/A</v>
      </c>
    </row>
    <row r="38" spans="1:6" x14ac:dyDescent="0.25">
      <c r="A38" s="24" t="s">
        <v>6</v>
      </c>
      <c r="B38" s="29" t="s">
        <v>7</v>
      </c>
      <c r="C38" s="45"/>
      <c r="D38" s="45"/>
      <c r="E38" s="45"/>
      <c r="F38" s="45"/>
    </row>
    <row r="39" spans="1:6" x14ac:dyDescent="0.25">
      <c r="A39" s="24" t="s">
        <v>6</v>
      </c>
      <c r="B39" s="29" t="s">
        <v>182</v>
      </c>
      <c r="C39" s="45"/>
      <c r="D39" s="45"/>
      <c r="E39" s="45"/>
      <c r="F39" s="45"/>
    </row>
    <row r="40" spans="1:6" x14ac:dyDescent="0.25">
      <c r="A40" s="79" t="s">
        <v>178</v>
      </c>
      <c r="B40" s="80" t="s">
        <v>183</v>
      </c>
      <c r="C40" s="45"/>
      <c r="D40" s="45"/>
      <c r="E40" s="45"/>
      <c r="F40" s="45"/>
    </row>
    <row r="41" spans="1:6" s="1" customFormat="1" x14ac:dyDescent="0.25">
      <c r="A41" s="29" t="s">
        <v>6</v>
      </c>
      <c r="B41" s="29" t="s">
        <v>100</v>
      </c>
      <c r="C41" s="29"/>
      <c r="D41" s="29"/>
      <c r="E41" s="29"/>
      <c r="F41" s="29"/>
    </row>
    <row r="42" spans="1:6" s="23" customFormat="1" x14ac:dyDescent="0.25">
      <c r="A42" s="28" t="s">
        <v>4</v>
      </c>
      <c r="B42" s="28" t="s">
        <v>184</v>
      </c>
      <c r="C42" s="45"/>
      <c r="D42" s="45"/>
      <c r="E42" s="45"/>
      <c r="F42" s="45"/>
    </row>
    <row r="43" spans="1:6" s="23" customFormat="1" x14ac:dyDescent="0.25">
      <c r="A43" s="49" t="s">
        <v>4</v>
      </c>
      <c r="B43" s="50" t="s">
        <v>185</v>
      </c>
      <c r="C43" s="45" t="str">
        <f t="shared" ref="C43:F46" si="4">IF(C$7="Y","","N/A")</f>
        <v>N/A</v>
      </c>
      <c r="D43" s="45" t="str">
        <f t="shared" si="4"/>
        <v>N/A</v>
      </c>
      <c r="E43" s="45" t="str">
        <f t="shared" si="4"/>
        <v>N/A</v>
      </c>
      <c r="F43" s="45" t="str">
        <f t="shared" si="4"/>
        <v>N/A</v>
      </c>
    </row>
    <row r="44" spans="1:6" s="23" customFormat="1" x14ac:dyDescent="0.25">
      <c r="A44" s="49" t="s">
        <v>4</v>
      </c>
      <c r="B44" s="50" t="s">
        <v>186</v>
      </c>
      <c r="C44" s="45" t="str">
        <f t="shared" si="4"/>
        <v>N/A</v>
      </c>
      <c r="D44" s="45" t="str">
        <f t="shared" si="4"/>
        <v>N/A</v>
      </c>
      <c r="E44" s="45" t="str">
        <f t="shared" si="4"/>
        <v>N/A</v>
      </c>
      <c r="F44" s="45" t="str">
        <f t="shared" si="4"/>
        <v>N/A</v>
      </c>
    </row>
    <row r="45" spans="1:6" s="23" customFormat="1" x14ac:dyDescent="0.25">
      <c r="A45" s="49" t="s">
        <v>4</v>
      </c>
      <c r="B45" s="50" t="s">
        <v>187</v>
      </c>
      <c r="C45" s="45" t="str">
        <f t="shared" si="4"/>
        <v>N/A</v>
      </c>
      <c r="D45" s="45" t="str">
        <f t="shared" si="4"/>
        <v>N/A</v>
      </c>
      <c r="E45" s="45" t="str">
        <f t="shared" si="4"/>
        <v>N/A</v>
      </c>
      <c r="F45" s="45" t="str">
        <f t="shared" si="4"/>
        <v>N/A</v>
      </c>
    </row>
    <row r="46" spans="1:6" s="23" customFormat="1" x14ac:dyDescent="0.25">
      <c r="A46" s="24" t="s">
        <v>101</v>
      </c>
      <c r="B46" s="24" t="s">
        <v>111</v>
      </c>
      <c r="C46" s="45" t="str">
        <f t="shared" si="4"/>
        <v>N/A</v>
      </c>
      <c r="D46" s="45" t="str">
        <f t="shared" si="4"/>
        <v>N/A</v>
      </c>
      <c r="E46" s="45" t="str">
        <f t="shared" si="4"/>
        <v>N/A</v>
      </c>
      <c r="F46" s="45" t="str">
        <f t="shared" si="4"/>
        <v>N/A</v>
      </c>
    </row>
    <row r="47" spans="1:6" x14ac:dyDescent="0.25">
      <c r="A47" s="79" t="s">
        <v>178</v>
      </c>
      <c r="B47" s="80" t="s">
        <v>188</v>
      </c>
      <c r="C47" s="45"/>
      <c r="D47" s="45"/>
      <c r="E47" s="45"/>
      <c r="F47" s="45"/>
    </row>
    <row r="48" spans="1:6" x14ac:dyDescent="0.25">
      <c r="A48" s="24" t="s">
        <v>6</v>
      </c>
      <c r="B48" s="24" t="s">
        <v>189</v>
      </c>
      <c r="C48" s="45"/>
      <c r="D48" s="45"/>
      <c r="E48" s="45"/>
      <c r="F48" s="45"/>
    </row>
    <row r="49" spans="1:6" x14ac:dyDescent="0.25">
      <c r="A49" s="24" t="s">
        <v>4</v>
      </c>
      <c r="B49" s="24" t="s">
        <v>103</v>
      </c>
      <c r="C49" s="45"/>
      <c r="D49" s="45"/>
      <c r="E49" s="45"/>
      <c r="F49" s="45"/>
    </row>
    <row r="50" spans="1:6" x14ac:dyDescent="0.25">
      <c r="A50" s="24" t="s">
        <v>4</v>
      </c>
      <c r="B50" s="24" t="s">
        <v>104</v>
      </c>
      <c r="C50" s="45"/>
      <c r="D50" s="45"/>
      <c r="E50" s="45"/>
      <c r="F50" s="45"/>
    </row>
    <row r="51" spans="1:6" x14ac:dyDescent="0.25">
      <c r="A51" s="24" t="s">
        <v>6</v>
      </c>
      <c r="B51" s="24" t="s">
        <v>190</v>
      </c>
      <c r="C51" s="45"/>
      <c r="D51" s="45"/>
      <c r="E51" s="45"/>
      <c r="F51" s="45"/>
    </row>
    <row r="52" spans="1:6" x14ac:dyDescent="0.25">
      <c r="A52" s="24" t="s">
        <v>4</v>
      </c>
      <c r="B52" s="24" t="s">
        <v>105</v>
      </c>
      <c r="C52" s="45"/>
      <c r="D52" s="45"/>
      <c r="E52" s="45"/>
      <c r="F52" s="45"/>
    </row>
    <row r="53" spans="1:6" x14ac:dyDescent="0.25">
      <c r="A53" s="79" t="s">
        <v>178</v>
      </c>
      <c r="B53" s="80" t="s">
        <v>191</v>
      </c>
      <c r="C53" s="45"/>
      <c r="D53" s="45"/>
      <c r="E53" s="45"/>
      <c r="F53" s="45"/>
    </row>
    <row r="54" spans="1:6" x14ac:dyDescent="0.25">
      <c r="A54" s="24" t="s">
        <v>6</v>
      </c>
      <c r="B54" s="24" t="s">
        <v>192</v>
      </c>
      <c r="C54" s="45"/>
      <c r="D54" s="45"/>
      <c r="E54" s="45"/>
      <c r="F54" s="45"/>
    </row>
    <row r="55" spans="1:6" x14ac:dyDescent="0.25">
      <c r="A55" s="79" t="s">
        <v>178</v>
      </c>
      <c r="B55" s="80" t="s">
        <v>193</v>
      </c>
      <c r="C55" s="45"/>
      <c r="D55" s="45"/>
      <c r="E55" s="45"/>
      <c r="F55" s="45"/>
    </row>
    <row r="56" spans="1:6" x14ac:dyDescent="0.25">
      <c r="A56" s="81" t="s">
        <v>194</v>
      </c>
      <c r="B56" s="82" t="s">
        <v>195</v>
      </c>
      <c r="C56" s="45"/>
      <c r="D56" s="45"/>
      <c r="E56" s="45"/>
      <c r="F56" s="45"/>
    </row>
    <row r="57" spans="1:6" x14ac:dyDescent="0.25">
      <c r="A57" s="81" t="s">
        <v>194</v>
      </c>
      <c r="B57" s="82" t="s">
        <v>196</v>
      </c>
      <c r="C57" s="45"/>
      <c r="D57" s="45"/>
      <c r="E57" s="45"/>
      <c r="F57" s="45"/>
    </row>
    <row r="58" spans="1:6" x14ac:dyDescent="0.25">
      <c r="A58" s="81" t="s">
        <v>194</v>
      </c>
      <c r="B58" s="82" t="s">
        <v>197</v>
      </c>
      <c r="C58" s="45"/>
      <c r="D58" s="45"/>
      <c r="E58" s="45"/>
      <c r="F58" s="45"/>
    </row>
    <row r="59" spans="1:6" x14ac:dyDescent="0.25">
      <c r="A59" s="81" t="s">
        <v>194</v>
      </c>
      <c r="B59" s="82" t="s">
        <v>198</v>
      </c>
      <c r="C59" s="45"/>
      <c r="D59" s="45"/>
      <c r="E59" s="45"/>
      <c r="F59" s="45"/>
    </row>
    <row r="60" spans="1:6" x14ac:dyDescent="0.25">
      <c r="A60" s="81" t="s">
        <v>194</v>
      </c>
      <c r="B60" s="82" t="s">
        <v>199</v>
      </c>
      <c r="C60" s="45"/>
      <c r="D60" s="45"/>
      <c r="E60" s="45"/>
      <c r="F60" s="45"/>
    </row>
    <row r="61" spans="1:6" x14ac:dyDescent="0.25">
      <c r="A61" s="81" t="s">
        <v>194</v>
      </c>
      <c r="B61" s="82" t="s">
        <v>200</v>
      </c>
      <c r="C61" s="45"/>
      <c r="D61" s="45"/>
      <c r="E61" s="45"/>
      <c r="F61" s="45"/>
    </row>
    <row r="62" spans="1:6" x14ac:dyDescent="0.25">
      <c r="A62" s="81" t="s">
        <v>194</v>
      </c>
      <c r="B62" s="82" t="s">
        <v>201</v>
      </c>
      <c r="C62" s="45"/>
      <c r="D62" s="45"/>
      <c r="E62" s="45"/>
      <c r="F62" s="45"/>
    </row>
    <row r="63" spans="1:6" x14ac:dyDescent="0.25">
      <c r="A63" s="24" t="s">
        <v>4</v>
      </c>
      <c r="B63" s="24" t="s">
        <v>106</v>
      </c>
      <c r="C63" s="45"/>
      <c r="D63" s="45"/>
      <c r="E63" s="45"/>
      <c r="F63" s="45"/>
    </row>
    <row r="64" spans="1:6" x14ac:dyDescent="0.25">
      <c r="A64" s="24" t="s">
        <v>6</v>
      </c>
      <c r="B64" s="24" t="s">
        <v>202</v>
      </c>
      <c r="C64" s="45"/>
      <c r="D64" s="45"/>
      <c r="E64" s="45"/>
      <c r="F64" s="45"/>
    </row>
    <row r="65" spans="1:6" x14ac:dyDescent="0.25">
      <c r="A65" s="81" t="s">
        <v>194</v>
      </c>
      <c r="B65" s="82" t="s">
        <v>203</v>
      </c>
      <c r="C65" s="45"/>
      <c r="D65" s="45"/>
      <c r="E65" s="45"/>
      <c r="F65" s="45"/>
    </row>
    <row r="66" spans="1:6" x14ac:dyDescent="0.25">
      <c r="A66" s="79" t="s">
        <v>178</v>
      </c>
      <c r="B66" s="80" t="s">
        <v>204</v>
      </c>
      <c r="C66" s="45"/>
      <c r="D66" s="45"/>
      <c r="E66" s="45"/>
      <c r="F66" s="45"/>
    </row>
    <row r="67" spans="1:6" x14ac:dyDescent="0.25">
      <c r="A67" s="81" t="s">
        <v>194</v>
      </c>
      <c r="B67" s="82" t="s">
        <v>205</v>
      </c>
      <c r="C67" s="45"/>
      <c r="D67" s="45"/>
      <c r="E67" s="45"/>
      <c r="F67" s="45"/>
    </row>
    <row r="68" spans="1:6" x14ac:dyDescent="0.25">
      <c r="A68" s="65" t="s">
        <v>6</v>
      </c>
      <c r="B68" s="66" t="s">
        <v>18</v>
      </c>
      <c r="C68" s="45"/>
      <c r="D68" s="45"/>
      <c r="E68" s="45"/>
      <c r="F68" s="45"/>
    </row>
    <row r="69" spans="1:6" x14ac:dyDescent="0.25">
      <c r="A69" s="65" t="s">
        <v>4</v>
      </c>
      <c r="B69" s="66" t="s">
        <v>155</v>
      </c>
      <c r="C69" s="45"/>
      <c r="D69" s="45"/>
      <c r="E69" s="45"/>
      <c r="F69" s="45"/>
    </row>
    <row r="70" spans="1:6" x14ac:dyDescent="0.25">
      <c r="A70" s="67" t="s">
        <v>4</v>
      </c>
      <c r="B70" s="50" t="s">
        <v>168</v>
      </c>
      <c r="C70" s="45"/>
      <c r="D70" s="45"/>
      <c r="E70" s="45"/>
      <c r="F70" s="45"/>
    </row>
    <row r="71" spans="1:6" x14ac:dyDescent="0.25">
      <c r="A71" s="65" t="s">
        <v>4</v>
      </c>
      <c r="B71" s="66" t="s">
        <v>206</v>
      </c>
      <c r="C71" s="45"/>
      <c r="D71" s="45"/>
      <c r="E71" s="45"/>
      <c r="F71" s="45"/>
    </row>
    <row r="72" spans="1:6" x14ac:dyDescent="0.25">
      <c r="A72" s="79" t="s">
        <v>178</v>
      </c>
      <c r="B72" s="80" t="s">
        <v>207</v>
      </c>
      <c r="C72" s="45"/>
      <c r="D72" s="45"/>
      <c r="E72" s="45"/>
      <c r="F72" s="45"/>
    </row>
    <row r="73" spans="1:6" x14ac:dyDescent="0.25">
      <c r="A73" s="65" t="s">
        <v>4</v>
      </c>
      <c r="B73" s="66" t="s">
        <v>208</v>
      </c>
      <c r="C73" s="45"/>
      <c r="D73" s="45"/>
      <c r="E73" s="45"/>
      <c r="F73" s="45"/>
    </row>
    <row r="74" spans="1:6" x14ac:dyDescent="0.25">
      <c r="D74" s="1"/>
      <c r="E74" s="1"/>
      <c r="F74" s="1"/>
    </row>
    <row r="75" spans="1:6" ht="23.25" x14ac:dyDescent="0.35">
      <c r="A75" s="186" t="s">
        <v>107</v>
      </c>
      <c r="B75" s="186"/>
      <c r="C75" s="75"/>
      <c r="D75" s="75"/>
      <c r="E75" s="75"/>
      <c r="F75" s="75"/>
    </row>
    <row r="76" spans="1:6" s="84" customFormat="1" ht="18.75" x14ac:dyDescent="0.25">
      <c r="A76" s="69" t="s">
        <v>0</v>
      </c>
      <c r="B76" s="69" t="s">
        <v>2</v>
      </c>
      <c r="C76" s="83" t="str">
        <f t="shared" ref="C76:F76" si="5">C6</f>
        <v>Branch 1</v>
      </c>
      <c r="D76" s="83" t="str">
        <f t="shared" si="5"/>
        <v>Branch 2</v>
      </c>
      <c r="E76" s="83" t="str">
        <f t="shared" si="5"/>
        <v>Branch 3</v>
      </c>
      <c r="F76" s="83" t="str">
        <f t="shared" si="5"/>
        <v>Branch 4</v>
      </c>
    </row>
    <row r="77" spans="1:6" x14ac:dyDescent="0.25">
      <c r="A77" s="24" t="s">
        <v>6</v>
      </c>
      <c r="B77" s="25" t="s">
        <v>84</v>
      </c>
      <c r="C77" s="74"/>
      <c r="D77" s="74"/>
      <c r="E77" s="74"/>
      <c r="F77" s="74"/>
    </row>
    <row r="78" spans="1:6" x14ac:dyDescent="0.25">
      <c r="A78" s="24" t="s">
        <v>4</v>
      </c>
      <c r="B78" s="26" t="s">
        <v>14</v>
      </c>
      <c r="C78" s="45"/>
      <c r="D78" s="45"/>
      <c r="E78" s="45"/>
      <c r="F78" s="45"/>
    </row>
    <row r="79" spans="1:6" x14ac:dyDescent="0.25">
      <c r="A79" s="65" t="s">
        <v>4</v>
      </c>
      <c r="B79" s="66" t="s">
        <v>209</v>
      </c>
      <c r="C79" s="45"/>
      <c r="D79" s="45"/>
      <c r="E79" s="45"/>
      <c r="F79" s="45"/>
    </row>
    <row r="80" spans="1:6" s="22" customFormat="1" x14ac:dyDescent="0.25">
      <c r="A80" s="24" t="s">
        <v>6</v>
      </c>
      <c r="B80" s="26" t="s">
        <v>15</v>
      </c>
      <c r="C80" s="45"/>
      <c r="D80" s="45"/>
      <c r="E80" s="45"/>
      <c r="F80" s="45"/>
    </row>
    <row r="81" spans="1:6" x14ac:dyDescent="0.25">
      <c r="A81" s="24" t="s">
        <v>4</v>
      </c>
      <c r="B81" s="26" t="s">
        <v>16</v>
      </c>
      <c r="C81" s="45"/>
      <c r="D81" s="45"/>
      <c r="E81" s="45"/>
      <c r="F81" s="45"/>
    </row>
    <row r="82" spans="1:6" x14ac:dyDescent="0.25">
      <c r="A82" s="24" t="s">
        <v>99</v>
      </c>
      <c r="B82" s="25" t="s">
        <v>14</v>
      </c>
      <c r="C82" s="45"/>
      <c r="D82" s="45"/>
      <c r="E82" s="45"/>
      <c r="F82" s="45"/>
    </row>
    <row r="83" spans="1:6" x14ac:dyDescent="0.25">
      <c r="A83" s="24" t="s">
        <v>99</v>
      </c>
      <c r="B83" s="25" t="s">
        <v>16</v>
      </c>
      <c r="C83" s="45"/>
      <c r="D83" s="45"/>
      <c r="E83" s="45"/>
      <c r="F83" s="45"/>
    </row>
    <row r="84" spans="1:6" x14ac:dyDescent="0.25">
      <c r="A84" s="24" t="s">
        <v>99</v>
      </c>
      <c r="B84" s="25" t="s">
        <v>17</v>
      </c>
      <c r="C84" s="45"/>
      <c r="D84" s="45"/>
      <c r="E84" s="45"/>
      <c r="F84" s="45"/>
    </row>
    <row r="85" spans="1:6" x14ac:dyDescent="0.25">
      <c r="A85" s="24" t="s">
        <v>4</v>
      </c>
      <c r="B85" s="26" t="s">
        <v>16</v>
      </c>
      <c r="C85" s="45"/>
      <c r="D85" s="45"/>
      <c r="E85" s="45"/>
      <c r="F85" s="45"/>
    </row>
    <row r="86" spans="1:6" x14ac:dyDescent="0.25">
      <c r="A86" s="24" t="s">
        <v>99</v>
      </c>
      <c r="B86" s="25" t="s">
        <v>14</v>
      </c>
      <c r="C86" s="45"/>
      <c r="D86" s="45"/>
      <c r="E86" s="45"/>
      <c r="F86" s="45"/>
    </row>
    <row r="87" spans="1:6" x14ac:dyDescent="0.25">
      <c r="A87" s="24" t="s">
        <v>99</v>
      </c>
      <c r="B87" s="25" t="s">
        <v>16</v>
      </c>
      <c r="C87" s="45"/>
      <c r="D87" s="45"/>
      <c r="E87" s="45"/>
      <c r="F87" s="45"/>
    </row>
    <row r="88" spans="1:6" x14ac:dyDescent="0.25">
      <c r="A88" s="24" t="s">
        <v>99</v>
      </c>
      <c r="B88" s="25" t="s">
        <v>17</v>
      </c>
      <c r="C88" s="45"/>
      <c r="D88" s="45"/>
      <c r="E88" s="45"/>
      <c r="F88" s="45"/>
    </row>
  </sheetData>
  <mergeCells count="8">
    <mergeCell ref="A75:B75"/>
    <mergeCell ref="A1:C1"/>
    <mergeCell ref="A2:C2"/>
    <mergeCell ref="A3:C3"/>
    <mergeCell ref="A4:C4"/>
    <mergeCell ref="A5:B5"/>
    <mergeCell ref="A17:B17"/>
    <mergeCell ref="A27:B27"/>
  </mergeCells>
  <conditionalFormatting sqref="A17 A85:B88 C74:F74 A26:F26 C21:E22 C28:F32 C76:F77 A6:F7 A11:F16 A18:F19 C80:F88 C37:F38 C67:F67 C53:F54 A20:E20 A24:E25 F20:F25">
    <cfRule type="expression" dxfId="46" priority="85">
      <formula>A7=Y</formula>
    </cfRule>
  </conditionalFormatting>
  <conditionalFormatting sqref="C19:F19 C29:F73 C8:F15 C24:E25 C77:F88 C20:E20 F20:F25">
    <cfRule type="cellIs" dxfId="45" priority="84" operator="equal">
      <formula>"Y"</formula>
    </cfRule>
  </conditionalFormatting>
  <conditionalFormatting sqref="C40:F40 B22:E22 A8:F9 C78:F78 C47:F47 C49:F52 C72:F72">
    <cfRule type="expression" dxfId="44" priority="86">
      <formula>A10=Y</formula>
    </cfRule>
  </conditionalFormatting>
  <conditionalFormatting sqref="C37:F37 C33:F35">
    <cfRule type="expression" dxfId="43" priority="87">
      <formula>#REF!=Y</formula>
    </cfRule>
  </conditionalFormatting>
  <conditionalFormatting sqref="C43:F46">
    <cfRule type="expression" dxfId="42" priority="82">
      <formula>#REF!=Y</formula>
    </cfRule>
  </conditionalFormatting>
  <conditionalFormatting sqref="C43:F46 C71:F71 C61:F64">
    <cfRule type="expression" dxfId="41" priority="88">
      <formula>#REF!=Y</formula>
    </cfRule>
  </conditionalFormatting>
  <conditionalFormatting sqref="C35:F36 C70:F70 C55:F57 C48:F48">
    <cfRule type="expression" dxfId="40" priority="89">
      <formula>C38=Y</formula>
    </cfRule>
  </conditionalFormatting>
  <conditionalFormatting sqref="C36:F36">
    <cfRule type="expression" dxfId="39" priority="78">
      <formula>#REF!=Y</formula>
    </cfRule>
  </conditionalFormatting>
  <conditionalFormatting sqref="C43:F46">
    <cfRule type="expression" dxfId="38" priority="90">
      <formula>C49=Y</formula>
    </cfRule>
  </conditionalFormatting>
  <conditionalFormatting sqref="C42:F42">
    <cfRule type="expression" dxfId="37" priority="91">
      <formula>C47=Y</formula>
    </cfRule>
  </conditionalFormatting>
  <conditionalFormatting sqref="C58:F59">
    <cfRule type="expression" dxfId="36" priority="92">
      <formula>C67=Y</formula>
    </cfRule>
  </conditionalFormatting>
  <conditionalFormatting sqref="C68:F69 C66:F66">
    <cfRule type="expression" dxfId="35" priority="93">
      <formula>#REF!=Y</formula>
    </cfRule>
  </conditionalFormatting>
  <conditionalFormatting sqref="C65:F65">
    <cfRule type="expression" dxfId="34" priority="94">
      <formula>#REF!=Y</formula>
    </cfRule>
  </conditionalFormatting>
  <conditionalFormatting sqref="C60:F60">
    <cfRule type="expression" dxfId="33" priority="97">
      <formula>C70=Y</formula>
    </cfRule>
  </conditionalFormatting>
  <conditionalFormatting sqref="A10:F10 C73:F73">
    <cfRule type="expression" dxfId="32" priority="98">
      <formula>A9=Y</formula>
    </cfRule>
  </conditionalFormatting>
  <conditionalFormatting sqref="C79:F79">
    <cfRule type="expression" dxfId="31" priority="73">
      <formula>C77=Y</formula>
    </cfRule>
  </conditionalFormatting>
  <conditionalFormatting sqref="C17:F17">
    <cfRule type="expression" dxfId="30" priority="71">
      <formula>C18=Y</formula>
    </cfRule>
  </conditionalFormatting>
  <conditionalFormatting sqref="C27:F27">
    <cfRule type="expression" dxfId="29" priority="70">
      <formula>C28=Y</formula>
    </cfRule>
  </conditionalFormatting>
  <conditionalFormatting sqref="C75:F75">
    <cfRule type="expression" dxfId="28" priority="69">
      <formula>C76=Y</formula>
    </cfRule>
  </conditionalFormatting>
  <conditionalFormatting sqref="C5:F5">
    <cfRule type="expression" dxfId="27" priority="38">
      <formula>C6=Y</formula>
    </cfRule>
  </conditionalFormatting>
  <conditionalFormatting sqref="A23:E23">
    <cfRule type="expression" dxfId="26" priority="19">
      <formula>A24=Y</formula>
    </cfRule>
  </conditionalFormatting>
  <conditionalFormatting sqref="C21:E23">
    <cfRule type="cellIs" dxfId="25" priority="18" operator="equal">
      <formula>"Y"</formula>
    </cfRule>
  </conditionalFormatting>
  <conditionalFormatting sqref="A21:B21">
    <cfRule type="expression" dxfId="24" priority="20">
      <formula>A23=Y</formula>
    </cfRule>
  </conditionalFormatting>
  <conditionalFormatting sqref="A22">
    <cfRule type="expression" dxfId="23" priority="17">
      <formula>A23=Y</formula>
    </cfRule>
  </conditionalFormatting>
  <conditionalFormatting sqref="A74:B74 A37:B38 A41:B41 A63:B63 A48:B51 A27 A75 A28:B32 A76:B77 A80:B84">
    <cfRule type="expression" dxfId="22" priority="11">
      <formula>A28=Y</formula>
    </cfRule>
  </conditionalFormatting>
  <conditionalFormatting sqref="A39:B39 A46:B46 A52:B52 A78:B78">
    <cfRule type="expression" dxfId="21" priority="12">
      <formula>A41=Y</formula>
    </cfRule>
  </conditionalFormatting>
  <conditionalFormatting sqref="A64:B64 A33:B34">
    <cfRule type="expression" dxfId="20" priority="13">
      <formula>#REF!=Y</formula>
    </cfRule>
  </conditionalFormatting>
  <conditionalFormatting sqref="A35">
    <cfRule type="expression" dxfId="19" priority="14">
      <formula>#REF!=Y</formula>
    </cfRule>
  </conditionalFormatting>
  <conditionalFormatting sqref="A40:B40">
    <cfRule type="expression" dxfId="18" priority="10">
      <formula>#REF!=Y</formula>
    </cfRule>
  </conditionalFormatting>
  <conditionalFormatting sqref="A47:B47">
    <cfRule type="expression" dxfId="17" priority="9">
      <formula>#REF!=Y</formula>
    </cfRule>
  </conditionalFormatting>
  <conditionalFormatting sqref="A55:B62">
    <cfRule type="expression" dxfId="16" priority="8">
      <formula>#REF!=Y</formula>
    </cfRule>
  </conditionalFormatting>
  <conditionalFormatting sqref="A66:B66">
    <cfRule type="expression" dxfId="15" priority="7">
      <formula>#REF!=Y</formula>
    </cfRule>
  </conditionalFormatting>
  <conditionalFormatting sqref="A72:B72">
    <cfRule type="expression" dxfId="14" priority="6">
      <formula>#REF!=Y</formula>
    </cfRule>
  </conditionalFormatting>
  <conditionalFormatting sqref="A53:B53">
    <cfRule type="expression" dxfId="13" priority="5">
      <formula>#REF!=Y</formula>
    </cfRule>
  </conditionalFormatting>
  <conditionalFormatting sqref="A36">
    <cfRule type="expression" dxfId="12" priority="4">
      <formula>#REF!=Y</formula>
    </cfRule>
  </conditionalFormatting>
  <conditionalFormatting sqref="A42:B42">
    <cfRule type="expression" dxfId="11" priority="15">
      <formula>A46=Y</formula>
    </cfRule>
  </conditionalFormatting>
  <conditionalFormatting sqref="A54:B54">
    <cfRule type="expression" dxfId="10" priority="16">
      <formula>A63=Y</formula>
    </cfRule>
  </conditionalFormatting>
  <conditionalFormatting sqref="A65:B65">
    <cfRule type="expression" dxfId="9" priority="3">
      <formula>#REF!=Y</formula>
    </cfRule>
  </conditionalFormatting>
  <conditionalFormatting sqref="A67:B67">
    <cfRule type="expression" dxfId="8" priority="2">
      <formula>#REF!=Y</formula>
    </cfRule>
  </conditionalFormatting>
  <conditionalFormatting sqref="C39:F39">
    <cfRule type="expression" dxfId="7" priority="104">
      <formula>#REF!=Y</formula>
    </cfRule>
  </conditionalFormatting>
  <conditionalFormatting sqref="C41:F41">
    <cfRule type="expression" dxfId="6" priority="219">
      <formula>#REF!=Y</formula>
    </cfRule>
  </conditionalFormatting>
  <hyperlinks>
    <hyperlink ref="B24" r:id="rId1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3"/>
  <sheetViews>
    <sheetView tabSelected="1" zoomScale="85" zoomScaleNormal="85" workbookViewId="0">
      <pane ySplit="3" topLeftCell="A4" activePane="bottomLeft" state="frozen"/>
      <selection pane="bottomLeft" activeCell="D41" sqref="D41"/>
    </sheetView>
  </sheetViews>
  <sheetFormatPr defaultRowHeight="15" x14ac:dyDescent="0.25"/>
  <cols>
    <col min="1" max="1" width="1.5703125" style="20" customWidth="1"/>
    <col min="2" max="2" width="11.42578125" style="20" bestFit="1" customWidth="1"/>
    <col min="3" max="3" width="87.140625" style="1" customWidth="1"/>
    <col min="4" max="4" width="165" style="21" bestFit="1" customWidth="1"/>
    <col min="5" max="8" width="5.140625" bestFit="1" customWidth="1"/>
  </cols>
  <sheetData>
    <row r="1" spans="1:8" s="88" customFormat="1" ht="9" customHeight="1" thickBot="1" x14ac:dyDescent="0.3">
      <c r="C1" s="153"/>
      <c r="D1" s="154"/>
    </row>
    <row r="2" spans="1:8" ht="33.75" x14ac:dyDescent="0.25">
      <c r="B2" s="193" t="s">
        <v>216</v>
      </c>
      <c r="C2" s="194"/>
      <c r="D2" s="194"/>
      <c r="E2" s="194"/>
      <c r="F2" s="194"/>
      <c r="G2" s="194"/>
      <c r="H2" s="195"/>
    </row>
    <row r="3" spans="1:8" s="89" customFormat="1" ht="59.25" thickBot="1" x14ac:dyDescent="0.3">
      <c r="A3" s="147"/>
      <c r="B3" s="148" t="s">
        <v>0</v>
      </c>
      <c r="C3" s="149" t="s">
        <v>1</v>
      </c>
      <c r="D3" s="150" t="s">
        <v>2</v>
      </c>
      <c r="E3" s="151" t="str">
        <f>Control!C$6</f>
        <v>Branch 1</v>
      </c>
      <c r="F3" s="151" t="str">
        <f>Control!D$6</f>
        <v>Branch 2</v>
      </c>
      <c r="G3" s="151" t="str">
        <f>Control!E$6</f>
        <v>Branch 3</v>
      </c>
      <c r="H3" s="152" t="str">
        <f>Control!F$6</f>
        <v>Branch 4</v>
      </c>
    </row>
    <row r="4" spans="1:8" s="140" customFormat="1" ht="19.5" thickBot="1" x14ac:dyDescent="0.3">
      <c r="B4" s="141"/>
      <c r="C4" s="142"/>
      <c r="D4" s="143"/>
      <c r="E4" s="144"/>
      <c r="F4" s="144"/>
      <c r="G4" s="144"/>
      <c r="H4" s="144"/>
    </row>
    <row r="5" spans="1:8" s="103" customFormat="1" ht="23.25" x14ac:dyDescent="0.25">
      <c r="B5" s="196" t="s">
        <v>217</v>
      </c>
      <c r="C5" s="197"/>
      <c r="D5" s="197"/>
      <c r="E5" s="197"/>
      <c r="F5" s="197"/>
      <c r="G5" s="197"/>
      <c r="H5" s="198"/>
    </row>
    <row r="6" spans="1:8" s="103" customFormat="1" ht="23.25" x14ac:dyDescent="0.35">
      <c r="B6" s="190" t="s">
        <v>211</v>
      </c>
      <c r="C6" s="191"/>
      <c r="D6" s="191"/>
      <c r="E6" s="191"/>
      <c r="F6" s="191"/>
      <c r="G6" s="191"/>
      <c r="H6" s="192"/>
    </row>
    <row r="7" spans="1:8" s="106" customFormat="1" ht="15.75" x14ac:dyDescent="0.25">
      <c r="B7" s="113" t="s">
        <v>101</v>
      </c>
      <c r="C7" s="105" t="s">
        <v>9</v>
      </c>
      <c r="D7" s="105" t="s">
        <v>10</v>
      </c>
      <c r="E7" s="104"/>
      <c r="F7" s="104"/>
      <c r="G7" s="104"/>
      <c r="H7" s="114"/>
    </row>
    <row r="8" spans="1:8" s="106" customFormat="1" ht="15.75" x14ac:dyDescent="0.25">
      <c r="B8" s="113" t="s">
        <v>101</v>
      </c>
      <c r="C8" s="105" t="s">
        <v>11</v>
      </c>
      <c r="D8" s="105" t="s">
        <v>220</v>
      </c>
      <c r="E8" s="104"/>
      <c r="F8" s="104"/>
      <c r="G8" s="104"/>
      <c r="H8" s="114"/>
    </row>
    <row r="9" spans="1:8" s="106" customFormat="1" ht="15.75" x14ac:dyDescent="0.25">
      <c r="B9" s="113" t="s">
        <v>101</v>
      </c>
      <c r="C9" s="105" t="s">
        <v>75</v>
      </c>
      <c r="D9" s="105" t="s">
        <v>252</v>
      </c>
      <c r="E9" s="104"/>
      <c r="F9" s="104"/>
      <c r="G9" s="104"/>
      <c r="H9" s="114"/>
    </row>
    <row r="10" spans="1:8" s="106" customFormat="1" ht="15.75" x14ac:dyDescent="0.25">
      <c r="B10" s="113" t="s">
        <v>101</v>
      </c>
      <c r="C10" s="105" t="s">
        <v>76</v>
      </c>
      <c r="D10" s="105" t="s">
        <v>253</v>
      </c>
      <c r="E10" s="104"/>
      <c r="F10" s="104"/>
      <c r="G10" s="104"/>
      <c r="H10" s="114"/>
    </row>
    <row r="11" spans="1:8" s="106" customFormat="1" ht="15.75" x14ac:dyDescent="0.25">
      <c r="B11" s="115" t="s">
        <v>101</v>
      </c>
      <c r="C11" s="107" t="s">
        <v>79</v>
      </c>
      <c r="D11" s="107" t="s">
        <v>78</v>
      </c>
      <c r="E11" s="108"/>
      <c r="F11" s="108"/>
      <c r="G11" s="108"/>
      <c r="H11" s="116"/>
    </row>
    <row r="12" spans="1:8" s="106" customFormat="1" ht="15.75" x14ac:dyDescent="0.25">
      <c r="B12" s="113" t="s">
        <v>101</v>
      </c>
      <c r="C12" s="105" t="s">
        <v>77</v>
      </c>
      <c r="D12" s="105" t="s">
        <v>252</v>
      </c>
      <c r="E12" s="104"/>
      <c r="F12" s="104"/>
      <c r="G12" s="104"/>
      <c r="H12" s="114"/>
    </row>
    <row r="13" spans="1:8" s="106" customFormat="1" ht="15.75" x14ac:dyDescent="0.25">
      <c r="B13" s="113" t="s">
        <v>101</v>
      </c>
      <c r="C13" s="105" t="s">
        <v>72</v>
      </c>
      <c r="D13" s="105" t="s">
        <v>12</v>
      </c>
      <c r="E13" s="104"/>
      <c r="F13" s="104"/>
      <c r="G13" s="104"/>
      <c r="H13" s="114"/>
    </row>
    <row r="14" spans="1:8" s="106" customFormat="1" ht="16.5" thickBot="1" x14ac:dyDescent="0.3">
      <c r="B14" s="117" t="s">
        <v>101</v>
      </c>
      <c r="C14" s="118" t="s">
        <v>13</v>
      </c>
      <c r="D14" s="118" t="s">
        <v>254</v>
      </c>
      <c r="E14" s="119"/>
      <c r="F14" s="119"/>
      <c r="G14" s="119"/>
      <c r="H14" s="120"/>
    </row>
    <row r="15" spans="1:8" s="112" customFormat="1" ht="16.5" thickBot="1" x14ac:dyDescent="0.3">
      <c r="B15" s="110"/>
      <c r="C15" s="111"/>
      <c r="D15" s="111"/>
      <c r="E15" s="110"/>
      <c r="F15" s="110"/>
      <c r="G15" s="110"/>
      <c r="H15" s="110"/>
    </row>
    <row r="16" spans="1:8" s="109" customFormat="1" ht="18.75" x14ac:dyDescent="0.25">
      <c r="B16" s="202" t="s">
        <v>219</v>
      </c>
      <c r="C16" s="203"/>
      <c r="D16" s="203"/>
      <c r="E16" s="203"/>
      <c r="F16" s="203"/>
      <c r="G16" s="203"/>
      <c r="H16" s="204"/>
    </row>
    <row r="17" spans="2:8" s="106" customFormat="1" ht="32.25" thickBot="1" x14ac:dyDescent="0.3">
      <c r="B17" s="121" t="s">
        <v>4</v>
      </c>
      <c r="C17" s="122" t="s">
        <v>108</v>
      </c>
      <c r="D17" s="122" t="s">
        <v>221</v>
      </c>
      <c r="E17" s="123"/>
      <c r="F17" s="123"/>
      <c r="G17" s="123"/>
      <c r="H17" s="124"/>
    </row>
    <row r="18" spans="2:8" s="112" customFormat="1" ht="16.5" thickBot="1" x14ac:dyDescent="0.3">
      <c r="B18" s="110"/>
      <c r="C18" s="111"/>
      <c r="D18" s="111"/>
      <c r="E18" s="110"/>
      <c r="F18" s="110"/>
      <c r="G18" s="110"/>
      <c r="H18" s="110"/>
    </row>
    <row r="19" spans="2:8" s="20" customFormat="1" ht="18.75" customHeight="1" x14ac:dyDescent="0.25">
      <c r="B19" s="205" t="s">
        <v>218</v>
      </c>
      <c r="C19" s="206"/>
      <c r="D19" s="206"/>
      <c r="E19" s="206"/>
      <c r="F19" s="206"/>
      <c r="G19" s="206"/>
      <c r="H19" s="207"/>
    </row>
    <row r="20" spans="2:8" s="86" customFormat="1" ht="18.75" customHeight="1" x14ac:dyDescent="0.3">
      <c r="B20" s="199" t="s">
        <v>222</v>
      </c>
      <c r="C20" s="200"/>
      <c r="D20" s="200"/>
      <c r="E20" s="200"/>
      <c r="F20" s="200"/>
      <c r="G20" s="200"/>
      <c r="H20" s="201"/>
    </row>
    <row r="21" spans="2:8" ht="30" x14ac:dyDescent="0.25">
      <c r="B21" s="125" t="s">
        <v>4</v>
      </c>
      <c r="C21" s="90" t="s">
        <v>160</v>
      </c>
      <c r="D21" s="91" t="s">
        <v>210</v>
      </c>
      <c r="E21" s="98"/>
      <c r="F21" s="98"/>
      <c r="G21" s="98"/>
      <c r="H21" s="126"/>
    </row>
    <row r="22" spans="2:8" s="88" customFormat="1" ht="15.75" thickBot="1" x14ac:dyDescent="0.3">
      <c r="B22" s="145"/>
      <c r="C22" s="127"/>
      <c r="D22" s="127"/>
      <c r="E22" s="128"/>
      <c r="F22" s="128"/>
      <c r="G22" s="128"/>
      <c r="H22" s="128"/>
    </row>
    <row r="23" spans="2:8" ht="18.75" customHeight="1" x14ac:dyDescent="0.25">
      <c r="B23" s="202" t="s">
        <v>219</v>
      </c>
      <c r="C23" s="203"/>
      <c r="D23" s="203"/>
      <c r="E23" s="203"/>
      <c r="F23" s="203"/>
      <c r="G23" s="203"/>
      <c r="H23" s="204"/>
    </row>
    <row r="24" spans="2:8" s="20" customFormat="1" ht="105" x14ac:dyDescent="0.25">
      <c r="B24" s="129" t="s">
        <v>4</v>
      </c>
      <c r="C24" s="92" t="s">
        <v>161</v>
      </c>
      <c r="D24" s="92" t="s">
        <v>169</v>
      </c>
      <c r="E24" s="96"/>
      <c r="F24" s="96"/>
      <c r="G24" s="96"/>
      <c r="H24" s="130"/>
    </row>
    <row r="25" spans="2:8" s="20" customFormat="1" x14ac:dyDescent="0.25">
      <c r="B25" s="129" t="s">
        <v>4</v>
      </c>
      <c r="C25" s="92" t="s">
        <v>162</v>
      </c>
      <c r="D25" s="92" t="s">
        <v>163</v>
      </c>
      <c r="E25" s="96"/>
      <c r="F25" s="96"/>
      <c r="G25" s="96"/>
      <c r="H25" s="130"/>
    </row>
    <row r="26" spans="2:8" x14ac:dyDescent="0.25">
      <c r="B26" s="129" t="s">
        <v>4</v>
      </c>
      <c r="C26" s="92" t="s">
        <v>223</v>
      </c>
      <c r="D26" s="92" t="s">
        <v>170</v>
      </c>
      <c r="E26" s="96"/>
      <c r="F26" s="96"/>
      <c r="G26" s="96"/>
      <c r="H26" s="130"/>
    </row>
    <row r="27" spans="2:8" x14ac:dyDescent="0.25">
      <c r="B27" s="129" t="s">
        <v>4</v>
      </c>
      <c r="C27" s="92" t="s">
        <v>80</v>
      </c>
      <c r="D27" s="92" t="s">
        <v>255</v>
      </c>
      <c r="E27" s="97"/>
      <c r="F27" s="97"/>
      <c r="G27" s="97"/>
      <c r="H27" s="131"/>
    </row>
    <row r="28" spans="2:8" x14ac:dyDescent="0.25">
      <c r="B28" s="129" t="s">
        <v>4</v>
      </c>
      <c r="C28" s="92" t="s">
        <v>224</v>
      </c>
      <c r="D28" s="92" t="s">
        <v>172</v>
      </c>
      <c r="E28" s="97"/>
      <c r="F28" s="97"/>
      <c r="G28" s="97"/>
      <c r="H28" s="131"/>
    </row>
    <row r="29" spans="2:8" ht="30" x14ac:dyDescent="0.25">
      <c r="B29" s="129" t="s">
        <v>4</v>
      </c>
      <c r="C29" s="92" t="s">
        <v>81</v>
      </c>
      <c r="D29" s="92" t="s">
        <v>256</v>
      </c>
      <c r="E29" s="97"/>
      <c r="F29" s="97"/>
      <c r="G29" s="97"/>
      <c r="H29" s="131"/>
    </row>
    <row r="30" spans="2:8" x14ac:dyDescent="0.25">
      <c r="B30" s="129" t="s">
        <v>4</v>
      </c>
      <c r="C30" s="92" t="s">
        <v>225</v>
      </c>
      <c r="D30" s="92" t="s">
        <v>173</v>
      </c>
      <c r="E30" s="97"/>
      <c r="F30" s="97"/>
      <c r="G30" s="97"/>
      <c r="H30" s="131"/>
    </row>
    <row r="31" spans="2:8" ht="30" x14ac:dyDescent="0.25">
      <c r="B31" s="129" t="s">
        <v>4</v>
      </c>
      <c r="C31" s="92" t="s">
        <v>82</v>
      </c>
      <c r="D31" s="92" t="s">
        <v>256</v>
      </c>
      <c r="E31" s="97"/>
      <c r="F31" s="97"/>
      <c r="G31" s="97"/>
      <c r="H31" s="131"/>
    </row>
    <row r="32" spans="2:8" s="20" customFormat="1" ht="23.25" x14ac:dyDescent="0.35">
      <c r="B32" s="190" t="s">
        <v>257</v>
      </c>
      <c r="C32" s="191"/>
      <c r="D32" s="191"/>
      <c r="E32" s="191"/>
      <c r="F32" s="191"/>
      <c r="G32" s="191"/>
      <c r="H32" s="192"/>
    </row>
    <row r="33" spans="2:9" ht="23.25" customHeight="1" x14ac:dyDescent="0.35">
      <c r="B33" s="190" t="s">
        <v>226</v>
      </c>
      <c r="C33" s="191"/>
      <c r="D33" s="191"/>
      <c r="E33" s="191"/>
      <c r="F33" s="191"/>
      <c r="G33" s="191"/>
      <c r="H33" s="192"/>
    </row>
    <row r="34" spans="2:9" ht="30" x14ac:dyDescent="0.25">
      <c r="B34" s="132" t="s">
        <v>4</v>
      </c>
      <c r="C34" s="93" t="s">
        <v>215</v>
      </c>
      <c r="D34" s="93" t="s">
        <v>258</v>
      </c>
      <c r="E34" s="94"/>
      <c r="F34" s="94"/>
      <c r="G34" s="94"/>
      <c r="H34" s="133"/>
    </row>
    <row r="35" spans="2:9" ht="30" x14ac:dyDescent="0.25">
      <c r="B35" s="132" t="s">
        <v>4</v>
      </c>
      <c r="C35" s="93" t="s">
        <v>259</v>
      </c>
      <c r="D35" s="93" t="s">
        <v>260</v>
      </c>
      <c r="E35" s="94"/>
      <c r="F35" s="94"/>
      <c r="G35" s="94"/>
      <c r="H35" s="133"/>
    </row>
    <row r="36" spans="2:9" s="20" customFormat="1" ht="30" x14ac:dyDescent="0.25">
      <c r="B36" s="132" t="s">
        <v>4</v>
      </c>
      <c r="C36" s="93" t="s">
        <v>261</v>
      </c>
      <c r="D36" s="93" t="s">
        <v>262</v>
      </c>
      <c r="E36" s="94"/>
      <c r="F36" s="94"/>
      <c r="G36" s="94"/>
      <c r="H36" s="133"/>
    </row>
    <row r="37" spans="2:9" s="20" customFormat="1" ht="30" x14ac:dyDescent="0.25">
      <c r="B37" s="132" t="s">
        <v>4</v>
      </c>
      <c r="C37" s="93" t="s">
        <v>263</v>
      </c>
      <c r="D37" s="93" t="s">
        <v>264</v>
      </c>
      <c r="E37" s="94"/>
      <c r="F37" s="94"/>
      <c r="G37" s="94"/>
      <c r="H37" s="133"/>
    </row>
    <row r="38" spans="2:9" s="20" customFormat="1" x14ac:dyDescent="0.25">
      <c r="B38" s="132" t="s">
        <v>4</v>
      </c>
      <c r="C38" s="93" t="s">
        <v>265</v>
      </c>
      <c r="D38" s="93" t="s">
        <v>266</v>
      </c>
      <c r="E38" s="94"/>
      <c r="F38" s="94"/>
      <c r="G38" s="94"/>
      <c r="H38" s="133"/>
    </row>
    <row r="39" spans="2:9" x14ac:dyDescent="0.25">
      <c r="B39" s="132" t="s">
        <v>4</v>
      </c>
      <c r="C39" s="93" t="s">
        <v>175</v>
      </c>
      <c r="D39" s="93" t="s">
        <v>176</v>
      </c>
      <c r="E39" s="94"/>
      <c r="F39" s="94"/>
      <c r="G39" s="94"/>
      <c r="H39" s="133"/>
    </row>
    <row r="40" spans="2:9" s="20" customFormat="1" ht="23.25" x14ac:dyDescent="0.35">
      <c r="B40" s="190" t="s">
        <v>267</v>
      </c>
      <c r="C40" s="191"/>
      <c r="D40" s="191"/>
      <c r="E40" s="191"/>
      <c r="F40" s="191"/>
      <c r="G40" s="191"/>
      <c r="H40" s="192"/>
    </row>
    <row r="41" spans="2:9" x14ac:dyDescent="0.25">
      <c r="B41" s="134" t="s">
        <v>4</v>
      </c>
      <c r="C41" s="92" t="s">
        <v>227</v>
      </c>
      <c r="D41" s="92" t="s">
        <v>174</v>
      </c>
      <c r="E41" s="95"/>
      <c r="F41" s="95"/>
      <c r="G41" s="95"/>
      <c r="H41" s="135"/>
    </row>
    <row r="42" spans="2:9" ht="15.75" thickBot="1" x14ac:dyDescent="0.3">
      <c r="B42" s="136" t="s">
        <v>4</v>
      </c>
      <c r="C42" s="137" t="s">
        <v>83</v>
      </c>
      <c r="D42" s="137" t="s">
        <v>171</v>
      </c>
      <c r="E42" s="138"/>
      <c r="F42" s="138"/>
      <c r="G42" s="138"/>
      <c r="H42" s="139"/>
      <c r="I42" s="20"/>
    </row>
    <row r="43" spans="2:9" s="88" customFormat="1" x14ac:dyDescent="0.25">
      <c r="B43" s="146"/>
      <c r="C43" s="87"/>
      <c r="D43" s="87"/>
    </row>
  </sheetData>
  <mergeCells count="10">
    <mergeCell ref="B40:H40"/>
    <mergeCell ref="B2:H2"/>
    <mergeCell ref="B33:H33"/>
    <mergeCell ref="B5:H5"/>
    <mergeCell ref="B20:H20"/>
    <mergeCell ref="B23:H23"/>
    <mergeCell ref="B19:H19"/>
    <mergeCell ref="B6:H6"/>
    <mergeCell ref="B16:H16"/>
    <mergeCell ref="B32:H3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G156"/>
  <sheetViews>
    <sheetView topLeftCell="A109" zoomScaleNormal="100" workbookViewId="0">
      <selection activeCell="J129" sqref="J129"/>
    </sheetView>
  </sheetViews>
  <sheetFormatPr defaultColWidth="25.140625" defaultRowHeight="15" x14ac:dyDescent="0.25"/>
  <cols>
    <col min="1" max="1" width="37.5703125" style="3" bestFit="1" customWidth="1"/>
    <col min="2" max="2" width="13.5703125" style="3" bestFit="1" customWidth="1"/>
    <col min="3" max="3" width="14" style="3" bestFit="1" customWidth="1"/>
    <col min="4" max="4" width="12.28515625" style="3" bestFit="1" customWidth="1"/>
    <col min="5" max="5" width="13.140625" style="3" bestFit="1" customWidth="1"/>
    <col min="6" max="6" width="11.28515625" style="3" bestFit="1" customWidth="1"/>
    <col min="7" max="7" width="13.140625" style="3" bestFit="1" customWidth="1"/>
    <col min="8" max="8" width="8.7109375" style="3" bestFit="1" customWidth="1"/>
    <col min="9" max="9" width="12.28515625" style="3" bestFit="1" customWidth="1"/>
    <col min="10" max="10" width="10.85546875" style="3" bestFit="1" customWidth="1"/>
    <col min="11" max="11" width="14.140625" style="3" bestFit="1" customWidth="1"/>
    <col min="12" max="12" width="19.140625" style="3" bestFit="1" customWidth="1"/>
    <col min="13" max="13" width="18.42578125" style="3" bestFit="1" customWidth="1"/>
    <col min="14" max="14" width="14.5703125" style="3" bestFit="1" customWidth="1"/>
    <col min="15" max="15" width="12.140625" style="3" bestFit="1" customWidth="1"/>
    <col min="16" max="16" width="28.7109375" style="3" bestFit="1" customWidth="1"/>
    <col min="17" max="17" width="20.85546875" style="3" bestFit="1" customWidth="1"/>
    <col min="18" max="18" width="12.140625" style="3" bestFit="1" customWidth="1"/>
    <col min="19" max="19" width="15.85546875" style="3" bestFit="1" customWidth="1"/>
    <col min="20" max="20" width="20" style="3" bestFit="1" customWidth="1"/>
    <col min="21" max="21" width="19.140625" style="3" bestFit="1" customWidth="1"/>
    <col min="22" max="22" width="14.28515625" style="3" bestFit="1" customWidth="1"/>
    <col min="23" max="23" width="13.42578125" style="3" bestFit="1" customWidth="1"/>
    <col min="24" max="24" width="7.85546875" style="3" bestFit="1" customWidth="1"/>
    <col min="25" max="26" width="12.28515625" style="3" bestFit="1" customWidth="1"/>
    <col min="27" max="27" width="17.28515625" style="3" bestFit="1" customWidth="1"/>
    <col min="28" max="28" width="14.5703125" style="3" bestFit="1" customWidth="1"/>
    <col min="29" max="29" width="16.28515625" style="3" bestFit="1" customWidth="1"/>
    <col min="30" max="30" width="20" style="3" bestFit="1" customWidth="1"/>
    <col min="31" max="32" width="19.140625" style="3" bestFit="1" customWidth="1"/>
    <col min="33" max="16384" width="25.140625" style="3"/>
  </cols>
  <sheetData>
    <row r="1" spans="1:8" ht="90.75" customHeight="1" x14ac:dyDescent="0.25">
      <c r="A1" s="239" t="s">
        <v>166</v>
      </c>
      <c r="B1" s="239"/>
      <c r="C1" s="239"/>
      <c r="D1" s="239"/>
      <c r="E1" s="239"/>
      <c r="F1" s="61"/>
      <c r="G1" s="61"/>
      <c r="H1" s="61"/>
    </row>
    <row r="2" spans="1:8" x14ac:dyDescent="0.25">
      <c r="A2" s="34" t="s">
        <v>115</v>
      </c>
      <c r="B2" s="101" t="s">
        <v>32</v>
      </c>
      <c r="C2" s="30" t="s">
        <v>156</v>
      </c>
      <c r="D2" s="30" t="s">
        <v>157</v>
      </c>
      <c r="E2" s="38" t="s">
        <v>41</v>
      </c>
    </row>
    <row r="3" spans="1:8" x14ac:dyDescent="0.25">
      <c r="A3" s="6" t="s">
        <v>49</v>
      </c>
      <c r="B3" s="4"/>
      <c r="C3" s="4"/>
      <c r="D3" s="4"/>
      <c r="E3" s="4">
        <f>B3-D3</f>
        <v>0</v>
      </c>
    </row>
    <row r="4" spans="1:8" ht="45.75" customHeight="1" x14ac:dyDescent="0.25">
      <c r="A4" s="7"/>
      <c r="B4" s="8"/>
      <c r="C4" s="8"/>
      <c r="D4" s="8"/>
      <c r="E4" s="8"/>
    </row>
    <row r="5" spans="1:8" x14ac:dyDescent="0.25">
      <c r="A5" s="34" t="s">
        <v>116</v>
      </c>
      <c r="B5" s="101" t="s">
        <v>32</v>
      </c>
      <c r="C5" s="30" t="s">
        <v>156</v>
      </c>
      <c r="D5" s="30" t="s">
        <v>157</v>
      </c>
      <c r="E5" s="38" t="s">
        <v>41</v>
      </c>
    </row>
    <row r="6" spans="1:8" x14ac:dyDescent="0.25">
      <c r="A6" s="4" t="s">
        <v>26</v>
      </c>
      <c r="B6" s="4"/>
      <c r="C6" s="4"/>
      <c r="D6" s="4"/>
      <c r="E6" s="4">
        <f>B6-D6</f>
        <v>0</v>
      </c>
    </row>
    <row r="7" spans="1:8" x14ac:dyDescent="0.25">
      <c r="A7" s="4" t="s">
        <v>27</v>
      </c>
      <c r="B7" s="4"/>
      <c r="C7" s="4"/>
      <c r="D7" s="4"/>
      <c r="E7" s="4">
        <f t="shared" ref="E7:E9" si="0">B7-D7</f>
        <v>0</v>
      </c>
    </row>
    <row r="8" spans="1:8" x14ac:dyDescent="0.25">
      <c r="A8" s="4" t="s">
        <v>33</v>
      </c>
      <c r="B8" s="4"/>
      <c r="C8" s="4"/>
      <c r="D8" s="4"/>
      <c r="E8" s="4">
        <f t="shared" si="0"/>
        <v>0</v>
      </c>
    </row>
    <row r="9" spans="1:8" x14ac:dyDescent="0.25">
      <c r="A9" s="4" t="s">
        <v>19</v>
      </c>
      <c r="B9" s="4"/>
      <c r="C9" s="4"/>
      <c r="D9" s="4"/>
      <c r="E9" s="4">
        <f t="shared" si="0"/>
        <v>0</v>
      </c>
    </row>
    <row r="10" spans="1:8" x14ac:dyDescent="0.25">
      <c r="A10" s="37" t="s">
        <v>34</v>
      </c>
      <c r="B10" s="101">
        <f>SUM(B6:B9)</f>
        <v>0</v>
      </c>
      <c r="C10" s="30">
        <f>SUM(C6:C9)</f>
        <v>0</v>
      </c>
      <c r="D10" s="30">
        <f>SUM(D6:D9)</f>
        <v>0</v>
      </c>
      <c r="E10" s="38">
        <f>SUM(E6:E9)</f>
        <v>0</v>
      </c>
    </row>
    <row r="11" spans="1:8" ht="45.75" customHeight="1" x14ac:dyDescent="0.25"/>
    <row r="12" spans="1:8" x14ac:dyDescent="0.25">
      <c r="A12" s="34" t="s">
        <v>117</v>
      </c>
      <c r="B12" s="101" t="s">
        <v>40</v>
      </c>
      <c r="C12" s="30" t="s">
        <v>156</v>
      </c>
      <c r="D12" s="30" t="s">
        <v>4</v>
      </c>
      <c r="E12" s="38" t="s">
        <v>41</v>
      </c>
    </row>
    <row r="13" spans="1:8" x14ac:dyDescent="0.25">
      <c r="A13" s="51"/>
      <c r="B13" s="52"/>
      <c r="C13" s="11"/>
      <c r="D13" s="53"/>
      <c r="E13" s="53">
        <f>B13-D13</f>
        <v>0</v>
      </c>
    </row>
    <row r="14" spans="1:8" x14ac:dyDescent="0.25">
      <c r="A14" s="44">
        <v>1</v>
      </c>
      <c r="B14" s="44"/>
      <c r="C14" s="11"/>
      <c r="D14" s="4"/>
      <c r="E14" s="53">
        <f t="shared" ref="E14:E41" si="1">B14-D14</f>
        <v>0</v>
      </c>
    </row>
    <row r="15" spans="1:8" x14ac:dyDescent="0.25">
      <c r="A15" s="44">
        <v>2</v>
      </c>
      <c r="B15" s="44"/>
      <c r="C15" s="11"/>
      <c r="D15" s="4"/>
      <c r="E15" s="53">
        <f t="shared" si="1"/>
        <v>0</v>
      </c>
    </row>
    <row r="16" spans="1:8" x14ac:dyDescent="0.25">
      <c r="A16" s="44">
        <v>3</v>
      </c>
      <c r="B16" s="44"/>
      <c r="C16" s="11"/>
      <c r="D16" s="4"/>
      <c r="E16" s="53">
        <f t="shared" si="1"/>
        <v>0</v>
      </c>
    </row>
    <row r="17" spans="1:5" x14ac:dyDescent="0.25">
      <c r="A17" s="44">
        <v>4</v>
      </c>
      <c r="B17" s="44"/>
      <c r="C17" s="11"/>
      <c r="D17" s="4"/>
      <c r="E17" s="53">
        <f t="shared" si="1"/>
        <v>0</v>
      </c>
    </row>
    <row r="18" spans="1:5" x14ac:dyDescent="0.25">
      <c r="A18" s="44" t="s">
        <v>26</v>
      </c>
      <c r="B18" s="44"/>
      <c r="C18" s="11"/>
      <c r="D18" s="4"/>
      <c r="E18" s="53">
        <f t="shared" si="1"/>
        <v>0</v>
      </c>
    </row>
    <row r="19" spans="1:5" x14ac:dyDescent="0.25">
      <c r="A19" s="44" t="s">
        <v>28</v>
      </c>
      <c r="B19" s="44"/>
      <c r="C19" s="11"/>
      <c r="D19" s="4"/>
      <c r="E19" s="53">
        <f t="shared" si="1"/>
        <v>0</v>
      </c>
    </row>
    <row r="20" spans="1:5" x14ac:dyDescent="0.25">
      <c r="A20" s="44" t="s">
        <v>131</v>
      </c>
      <c r="B20" s="44"/>
      <c r="C20" s="11"/>
      <c r="D20" s="4"/>
      <c r="E20" s="53">
        <f t="shared" si="1"/>
        <v>0</v>
      </c>
    </row>
    <row r="21" spans="1:5" x14ac:dyDescent="0.25">
      <c r="A21" s="44" t="s">
        <v>132</v>
      </c>
      <c r="B21" s="44"/>
      <c r="C21" s="11"/>
      <c r="D21" s="4"/>
      <c r="E21" s="53">
        <f t="shared" si="1"/>
        <v>0</v>
      </c>
    </row>
    <row r="22" spans="1:5" x14ac:dyDescent="0.25">
      <c r="A22" s="44" t="s">
        <v>133</v>
      </c>
      <c r="B22" s="44"/>
      <c r="C22" s="11"/>
      <c r="D22" s="4"/>
      <c r="E22" s="53">
        <f t="shared" si="1"/>
        <v>0</v>
      </c>
    </row>
    <row r="23" spans="1:5" x14ac:dyDescent="0.25">
      <c r="A23" s="44" t="s">
        <v>134</v>
      </c>
      <c r="B23" s="44"/>
      <c r="C23" s="11"/>
      <c r="D23" s="4"/>
      <c r="E23" s="53">
        <f t="shared" si="1"/>
        <v>0</v>
      </c>
    </row>
    <row r="24" spans="1:5" x14ac:dyDescent="0.25">
      <c r="A24" s="44" t="s">
        <v>33</v>
      </c>
      <c r="B24" s="44"/>
      <c r="C24" s="11"/>
      <c r="D24" s="4"/>
      <c r="E24" s="53">
        <f t="shared" si="1"/>
        <v>0</v>
      </c>
    </row>
    <row r="25" spans="1:5" x14ac:dyDescent="0.25">
      <c r="A25" s="44" t="s">
        <v>29</v>
      </c>
      <c r="B25" s="44"/>
      <c r="C25" s="11"/>
      <c r="D25" s="4"/>
      <c r="E25" s="53">
        <f t="shared" si="1"/>
        <v>0</v>
      </c>
    </row>
    <row r="26" spans="1:5" x14ac:dyDescent="0.25">
      <c r="A26" s="44" t="s">
        <v>20</v>
      </c>
      <c r="B26" s="44"/>
      <c r="C26" s="11"/>
      <c r="D26" s="4"/>
      <c r="E26" s="53">
        <f t="shared" si="1"/>
        <v>0</v>
      </c>
    </row>
    <row r="27" spans="1:5" x14ac:dyDescent="0.25">
      <c r="A27" s="44" t="s">
        <v>35</v>
      </c>
      <c r="B27" s="44"/>
      <c r="C27" s="11"/>
      <c r="D27" s="4"/>
      <c r="E27" s="53">
        <f t="shared" si="1"/>
        <v>0</v>
      </c>
    </row>
    <row r="28" spans="1:5" x14ac:dyDescent="0.25">
      <c r="A28" s="44" t="s">
        <v>36</v>
      </c>
      <c r="B28" s="44"/>
      <c r="C28" s="11"/>
      <c r="D28" s="4"/>
      <c r="E28" s="53">
        <f t="shared" si="1"/>
        <v>0</v>
      </c>
    </row>
    <row r="29" spans="1:5" x14ac:dyDescent="0.25">
      <c r="A29" s="44" t="s">
        <v>37</v>
      </c>
      <c r="B29" s="44"/>
      <c r="C29" s="11"/>
      <c r="D29" s="4"/>
      <c r="E29" s="53">
        <f t="shared" si="1"/>
        <v>0</v>
      </c>
    </row>
    <row r="30" spans="1:5" x14ac:dyDescent="0.25">
      <c r="A30" s="44" t="s">
        <v>22</v>
      </c>
      <c r="B30" s="44"/>
      <c r="C30" s="11"/>
      <c r="D30" s="4"/>
      <c r="E30" s="53">
        <f t="shared" si="1"/>
        <v>0</v>
      </c>
    </row>
    <row r="31" spans="1:5" x14ac:dyDescent="0.25">
      <c r="A31" s="44" t="s">
        <v>38</v>
      </c>
      <c r="B31" s="44"/>
      <c r="C31" s="11"/>
      <c r="D31" s="4"/>
      <c r="E31" s="53">
        <f t="shared" si="1"/>
        <v>0</v>
      </c>
    </row>
    <row r="32" spans="1:5" x14ac:dyDescent="0.25">
      <c r="A32" s="44" t="s">
        <v>135</v>
      </c>
      <c r="B32" s="44"/>
      <c r="C32" s="11"/>
      <c r="D32" s="4"/>
      <c r="E32" s="53">
        <f t="shared" si="1"/>
        <v>0</v>
      </c>
    </row>
    <row r="33" spans="1:5" x14ac:dyDescent="0.25">
      <c r="A33" s="44" t="s">
        <v>39</v>
      </c>
      <c r="B33" s="44"/>
      <c r="C33" s="11"/>
      <c r="D33" s="4"/>
      <c r="E33" s="53">
        <f t="shared" si="1"/>
        <v>0</v>
      </c>
    </row>
    <row r="34" spans="1:5" x14ac:dyDescent="0.25">
      <c r="A34" s="44" t="s">
        <v>30</v>
      </c>
      <c r="B34" s="44"/>
      <c r="C34" s="11"/>
      <c r="D34" s="4"/>
      <c r="E34" s="53">
        <f t="shared" si="1"/>
        <v>0</v>
      </c>
    </row>
    <row r="35" spans="1:5" x14ac:dyDescent="0.25">
      <c r="A35" s="44" t="s">
        <v>19</v>
      </c>
      <c r="B35" s="44"/>
      <c r="C35" s="11"/>
      <c r="D35" s="4"/>
      <c r="E35" s="53">
        <f t="shared" si="1"/>
        <v>0</v>
      </c>
    </row>
    <row r="36" spans="1:5" x14ac:dyDescent="0.25">
      <c r="A36" s="44" t="s">
        <v>136</v>
      </c>
      <c r="B36" s="44"/>
      <c r="C36" s="11"/>
      <c r="D36" s="4"/>
      <c r="E36" s="53">
        <f t="shared" si="1"/>
        <v>0</v>
      </c>
    </row>
    <row r="37" spans="1:5" x14ac:dyDescent="0.25">
      <c r="A37" s="44" t="s">
        <v>137</v>
      </c>
      <c r="B37" s="44"/>
      <c r="C37" s="11"/>
      <c r="D37" s="4"/>
      <c r="E37" s="53">
        <f t="shared" si="1"/>
        <v>0</v>
      </c>
    </row>
    <row r="38" spans="1:5" x14ac:dyDescent="0.25">
      <c r="A38" s="44" t="s">
        <v>138</v>
      </c>
      <c r="B38" s="44"/>
      <c r="C38" s="11"/>
      <c r="D38" s="4"/>
      <c r="E38" s="53">
        <f t="shared" si="1"/>
        <v>0</v>
      </c>
    </row>
    <row r="39" spans="1:5" x14ac:dyDescent="0.25">
      <c r="A39" s="44" t="s">
        <v>139</v>
      </c>
      <c r="B39" s="44"/>
      <c r="C39" s="11"/>
      <c r="D39" s="4"/>
      <c r="E39" s="53">
        <f t="shared" si="1"/>
        <v>0</v>
      </c>
    </row>
    <row r="40" spans="1:5" x14ac:dyDescent="0.25">
      <c r="A40" s="44" t="s">
        <v>31</v>
      </c>
      <c r="B40" s="44"/>
      <c r="C40" s="11"/>
      <c r="D40" s="4"/>
      <c r="E40" s="53">
        <f t="shared" si="1"/>
        <v>0</v>
      </c>
    </row>
    <row r="41" spans="1:5" x14ac:dyDescent="0.25">
      <c r="A41" s="44" t="s">
        <v>140</v>
      </c>
      <c r="B41" s="44"/>
      <c r="C41" s="11"/>
      <c r="D41" s="4"/>
      <c r="E41" s="53">
        <f t="shared" si="1"/>
        <v>0</v>
      </c>
    </row>
    <row r="42" spans="1:5" x14ac:dyDescent="0.25">
      <c r="A42" s="54" t="s">
        <v>34</v>
      </c>
      <c r="B42" s="101">
        <f>SUM(B13:B41)</f>
        <v>0</v>
      </c>
      <c r="C42" s="30">
        <f>SUM(C13:C41)</f>
        <v>0</v>
      </c>
      <c r="D42" s="30">
        <f>SUM(D13:D41)</f>
        <v>0</v>
      </c>
      <c r="E42" s="38">
        <f>SUM(E13:E41)</f>
        <v>0</v>
      </c>
    </row>
    <row r="43" spans="1:5" ht="45" customHeight="1" x14ac:dyDescent="0.25"/>
    <row r="44" spans="1:5" x14ac:dyDescent="0.25">
      <c r="A44" s="34" t="s">
        <v>118</v>
      </c>
      <c r="B44" s="101" t="s">
        <v>32</v>
      </c>
      <c r="C44" s="30" t="s">
        <v>156</v>
      </c>
      <c r="D44" s="30" t="s">
        <v>4</v>
      </c>
      <c r="E44" s="38" t="s">
        <v>41</v>
      </c>
    </row>
    <row r="45" spans="1:5" x14ac:dyDescent="0.25">
      <c r="A45" s="4" t="s">
        <v>42</v>
      </c>
      <c r="B45" s="4"/>
      <c r="C45" s="4"/>
      <c r="D45" s="4"/>
      <c r="E45" s="4">
        <f>B45-D45</f>
        <v>0</v>
      </c>
    </row>
    <row r="46" spans="1:5" x14ac:dyDescent="0.25">
      <c r="A46" s="4" t="s">
        <v>43</v>
      </c>
      <c r="B46" s="4"/>
      <c r="C46" s="4"/>
      <c r="D46" s="4"/>
      <c r="E46" s="4">
        <f>B46-D46</f>
        <v>0</v>
      </c>
    </row>
    <row r="47" spans="1:5" x14ac:dyDescent="0.25">
      <c r="A47" s="4" t="s">
        <v>74</v>
      </c>
      <c r="B47" s="17" t="s">
        <v>6</v>
      </c>
      <c r="C47" s="4"/>
      <c r="D47" s="4"/>
      <c r="E47" s="4">
        <f>B45-D47</f>
        <v>0</v>
      </c>
    </row>
    <row r="48" spans="1:5" ht="45" customHeight="1" x14ac:dyDescent="0.25">
      <c r="A48" s="8"/>
      <c r="B48" s="8"/>
      <c r="C48" s="8"/>
      <c r="D48" s="8"/>
      <c r="E48" s="8"/>
    </row>
    <row r="49" spans="1:21" x14ac:dyDescent="0.25">
      <c r="A49" s="34" t="s">
        <v>21</v>
      </c>
      <c r="B49" s="101" t="s">
        <v>32</v>
      </c>
      <c r="C49" s="30" t="s">
        <v>156</v>
      </c>
      <c r="D49" s="30" t="s">
        <v>4</v>
      </c>
      <c r="E49" s="38" t="s">
        <v>41</v>
      </c>
    </row>
    <row r="50" spans="1:21" x14ac:dyDescent="0.25">
      <c r="A50" s="6" t="s">
        <v>44</v>
      </c>
      <c r="B50" s="4"/>
      <c r="C50" s="4"/>
      <c r="D50" s="4"/>
      <c r="E50" s="4">
        <f>B50-D50</f>
        <v>0</v>
      </c>
    </row>
    <row r="51" spans="1:21" ht="45" customHeight="1" thickBot="1" x14ac:dyDescent="0.3">
      <c r="A51" s="7"/>
      <c r="B51" s="8"/>
      <c r="C51" s="8"/>
      <c r="D51" s="8"/>
    </row>
    <row r="52" spans="1:21" x14ac:dyDescent="0.25">
      <c r="A52" s="240" t="s">
        <v>119</v>
      </c>
      <c r="B52" s="217" t="s">
        <v>32</v>
      </c>
      <c r="C52" s="217"/>
      <c r="D52" s="242" t="s">
        <v>156</v>
      </c>
      <c r="E52" s="243"/>
      <c r="F52" s="242" t="s">
        <v>4</v>
      </c>
      <c r="G52" s="243"/>
      <c r="H52" s="220" t="s">
        <v>41</v>
      </c>
      <c r="I52" s="220"/>
      <c r="K52" s="221" t="s">
        <v>239</v>
      </c>
      <c r="L52" s="222"/>
      <c r="M52" s="222"/>
      <c r="N52" s="222"/>
      <c r="O52" s="222"/>
      <c r="P52" s="222"/>
      <c r="Q52" s="222"/>
      <c r="R52" s="222"/>
      <c r="S52" s="222"/>
      <c r="T52" s="222"/>
      <c r="U52" s="223"/>
    </row>
    <row r="53" spans="1:21" x14ac:dyDescent="0.25">
      <c r="A53" s="241"/>
      <c r="B53" s="101" t="s">
        <v>46</v>
      </c>
      <c r="C53" s="101" t="s">
        <v>47</v>
      </c>
      <c r="D53" s="30" t="s">
        <v>46</v>
      </c>
      <c r="E53" s="30" t="s">
        <v>47</v>
      </c>
      <c r="F53" s="30" t="s">
        <v>46</v>
      </c>
      <c r="G53" s="30" t="s">
        <v>47</v>
      </c>
      <c r="H53" s="38" t="s">
        <v>48</v>
      </c>
      <c r="I53" s="38" t="s">
        <v>47</v>
      </c>
      <c r="K53" s="175" t="s">
        <v>228</v>
      </c>
      <c r="L53" s="159" t="s">
        <v>235</v>
      </c>
      <c r="M53" s="159" t="s">
        <v>229</v>
      </c>
      <c r="N53" s="159" t="s">
        <v>230</v>
      </c>
      <c r="O53" s="159" t="s">
        <v>231</v>
      </c>
      <c r="P53" s="159" t="s">
        <v>47</v>
      </c>
      <c r="Q53" s="159" t="s">
        <v>234</v>
      </c>
      <c r="R53" s="159" t="s">
        <v>232</v>
      </c>
      <c r="S53" s="159" t="s">
        <v>233</v>
      </c>
      <c r="T53" s="159" t="s">
        <v>245</v>
      </c>
      <c r="U53" s="176" t="s">
        <v>246</v>
      </c>
    </row>
    <row r="54" spans="1:21" s="19" customFormat="1" x14ac:dyDescent="0.25">
      <c r="A54" s="18" t="s">
        <v>73</v>
      </c>
      <c r="B54" s="11"/>
      <c r="C54" s="41"/>
      <c r="D54" s="11"/>
      <c r="E54" s="41"/>
      <c r="F54" s="11"/>
      <c r="G54" s="41"/>
      <c r="H54" s="6">
        <f>(B54+D54)-F54</f>
        <v>0</v>
      </c>
      <c r="I54" s="13">
        <f>(C54+E54)-G54</f>
        <v>0</v>
      </c>
      <c r="K54" s="183"/>
      <c r="L54" s="6"/>
      <c r="M54" s="6"/>
      <c r="N54" s="6"/>
      <c r="O54" s="6"/>
      <c r="P54" s="6"/>
      <c r="Q54" s="6"/>
      <c r="R54" s="6"/>
      <c r="S54" s="6"/>
      <c r="T54" s="6"/>
      <c r="U54" s="178"/>
    </row>
    <row r="55" spans="1:21" s="19" customFormat="1" x14ac:dyDescent="0.25">
      <c r="A55" s="18" t="s">
        <v>27</v>
      </c>
      <c r="B55" s="11"/>
      <c r="C55" s="41"/>
      <c r="D55" s="11"/>
      <c r="E55" s="41"/>
      <c r="F55" s="11"/>
      <c r="G55" s="41"/>
      <c r="H55" s="6">
        <f t="shared" ref="H55:I74" si="2">(B55+D55)-F55</f>
        <v>0</v>
      </c>
      <c r="I55" s="13">
        <f t="shared" si="2"/>
        <v>0</v>
      </c>
      <c r="K55" s="183"/>
      <c r="L55" s="6"/>
      <c r="M55" s="6"/>
      <c r="N55" s="6"/>
      <c r="O55" s="6"/>
      <c r="P55" s="6"/>
      <c r="Q55" s="6"/>
      <c r="R55" s="6"/>
      <c r="S55" s="6"/>
      <c r="T55" s="6"/>
      <c r="U55" s="178"/>
    </row>
    <row r="56" spans="1:21" s="19" customFormat="1" x14ac:dyDescent="0.25">
      <c r="A56" s="18" t="s">
        <v>28</v>
      </c>
      <c r="B56" s="11"/>
      <c r="C56" s="41"/>
      <c r="D56" s="11"/>
      <c r="E56" s="41"/>
      <c r="F56" s="11"/>
      <c r="G56" s="41"/>
      <c r="H56" s="6">
        <f t="shared" si="2"/>
        <v>0</v>
      </c>
      <c r="I56" s="13">
        <f t="shared" si="2"/>
        <v>0</v>
      </c>
      <c r="K56" s="183"/>
      <c r="L56" s="6"/>
      <c r="M56" s="6"/>
      <c r="N56" s="6"/>
      <c r="O56" s="6"/>
      <c r="P56" s="6"/>
      <c r="Q56" s="6"/>
      <c r="R56" s="6"/>
      <c r="S56" s="6"/>
      <c r="T56" s="6"/>
      <c r="U56" s="178"/>
    </row>
    <row r="57" spans="1:21" s="19" customFormat="1" x14ac:dyDescent="0.25">
      <c r="A57" s="18" t="s">
        <v>131</v>
      </c>
      <c r="B57" s="11"/>
      <c r="C57" s="41"/>
      <c r="D57" s="11"/>
      <c r="E57" s="41"/>
      <c r="F57" s="11"/>
      <c r="G57" s="41"/>
      <c r="H57" s="6">
        <f t="shared" si="2"/>
        <v>0</v>
      </c>
      <c r="I57" s="13">
        <f t="shared" si="2"/>
        <v>0</v>
      </c>
      <c r="K57" s="183"/>
      <c r="L57" s="6"/>
      <c r="M57" s="6"/>
      <c r="N57" s="6"/>
      <c r="O57" s="6"/>
      <c r="P57" s="6"/>
      <c r="Q57" s="6"/>
      <c r="R57" s="6"/>
      <c r="S57" s="6"/>
      <c r="T57" s="6"/>
      <c r="U57" s="178"/>
    </row>
    <row r="58" spans="1:21" s="19" customFormat="1" x14ac:dyDescent="0.25">
      <c r="A58" s="18" t="s">
        <v>132</v>
      </c>
      <c r="B58" s="11"/>
      <c r="C58" s="41"/>
      <c r="D58" s="11"/>
      <c r="E58" s="41"/>
      <c r="F58" s="11"/>
      <c r="G58" s="41"/>
      <c r="H58" s="6">
        <f t="shared" si="2"/>
        <v>0</v>
      </c>
      <c r="I58" s="13">
        <f t="shared" si="2"/>
        <v>0</v>
      </c>
      <c r="K58" s="183"/>
      <c r="L58" s="6"/>
      <c r="M58" s="6"/>
      <c r="N58" s="6"/>
      <c r="O58" s="6"/>
      <c r="P58" s="6"/>
      <c r="Q58" s="6"/>
      <c r="R58" s="6"/>
      <c r="S58" s="6"/>
      <c r="T58" s="6"/>
      <c r="U58" s="178"/>
    </row>
    <row r="59" spans="1:21" s="19" customFormat="1" x14ac:dyDescent="0.25">
      <c r="A59" s="18" t="s">
        <v>134</v>
      </c>
      <c r="B59" s="11"/>
      <c r="C59" s="41"/>
      <c r="D59" s="11"/>
      <c r="E59" s="41"/>
      <c r="F59" s="11"/>
      <c r="G59" s="41"/>
      <c r="H59" s="6">
        <f t="shared" si="2"/>
        <v>0</v>
      </c>
      <c r="I59" s="13">
        <f t="shared" si="2"/>
        <v>0</v>
      </c>
      <c r="K59" s="183"/>
      <c r="L59" s="6"/>
      <c r="M59" s="6"/>
      <c r="N59" s="6"/>
      <c r="O59" s="6"/>
      <c r="P59" s="6"/>
      <c r="Q59" s="6"/>
      <c r="R59" s="6"/>
      <c r="S59" s="6"/>
      <c r="T59" s="6"/>
      <c r="U59" s="178"/>
    </row>
    <row r="60" spans="1:21" s="19" customFormat="1" x14ac:dyDescent="0.25">
      <c r="A60" s="18" t="s">
        <v>33</v>
      </c>
      <c r="B60" s="11"/>
      <c r="C60" s="41"/>
      <c r="D60" s="11"/>
      <c r="E60" s="41"/>
      <c r="F60" s="11"/>
      <c r="G60" s="41"/>
      <c r="H60" s="6">
        <f t="shared" si="2"/>
        <v>0</v>
      </c>
      <c r="I60" s="13">
        <f t="shared" si="2"/>
        <v>0</v>
      </c>
      <c r="K60" s="183"/>
      <c r="L60" s="6"/>
      <c r="M60" s="6"/>
      <c r="N60" s="6"/>
      <c r="O60" s="6"/>
      <c r="P60" s="6"/>
      <c r="Q60" s="6"/>
      <c r="R60" s="6"/>
      <c r="S60" s="6"/>
      <c r="T60" s="6"/>
      <c r="U60" s="178"/>
    </row>
    <row r="61" spans="1:21" x14ac:dyDescent="0.25">
      <c r="A61" s="5" t="s">
        <v>141</v>
      </c>
      <c r="B61" s="11"/>
      <c r="C61" s="41"/>
      <c r="D61" s="4"/>
      <c r="E61" s="9"/>
      <c r="F61" s="4"/>
      <c r="G61" s="9"/>
      <c r="H61" s="6">
        <f>(D61)-F61</f>
        <v>0</v>
      </c>
      <c r="I61" s="13">
        <f>(E61)-G61</f>
        <v>0</v>
      </c>
      <c r="K61" s="177"/>
      <c r="L61" s="4"/>
      <c r="M61" s="4"/>
      <c r="N61" s="4"/>
      <c r="O61" s="4"/>
      <c r="P61" s="4"/>
      <c r="Q61" s="4"/>
      <c r="R61" s="4"/>
      <c r="S61" s="4"/>
      <c r="T61" s="4"/>
      <c r="U61" s="179"/>
    </row>
    <row r="62" spans="1:21" x14ac:dyDescent="0.25">
      <c r="A62" s="5" t="s">
        <v>142</v>
      </c>
      <c r="B62" s="11"/>
      <c r="C62" s="41"/>
      <c r="D62" s="4"/>
      <c r="E62" s="9"/>
      <c r="F62" s="4"/>
      <c r="G62" s="9"/>
      <c r="H62" s="6">
        <f>(D62)-F62</f>
        <v>0</v>
      </c>
      <c r="I62" s="13">
        <f>(E62)-G62</f>
        <v>0</v>
      </c>
      <c r="K62" s="177"/>
      <c r="L62" s="4"/>
      <c r="M62" s="4"/>
      <c r="N62" s="4"/>
      <c r="O62" s="4"/>
      <c r="P62" s="4"/>
      <c r="Q62" s="4"/>
      <c r="R62" s="4"/>
      <c r="S62" s="4"/>
      <c r="T62" s="4"/>
      <c r="U62" s="179"/>
    </row>
    <row r="63" spans="1:21" x14ac:dyDescent="0.25">
      <c r="A63" s="5" t="s">
        <v>29</v>
      </c>
      <c r="B63" s="4"/>
      <c r="C63" s="9"/>
      <c r="D63" s="4"/>
      <c r="E63" s="9"/>
      <c r="F63" s="4"/>
      <c r="G63" s="9"/>
      <c r="H63" s="6">
        <f>(B63+D63)-F63</f>
        <v>0</v>
      </c>
      <c r="I63" s="13">
        <f t="shared" si="2"/>
        <v>0</v>
      </c>
      <c r="K63" s="177"/>
      <c r="L63" s="4"/>
      <c r="M63" s="4"/>
      <c r="N63" s="4"/>
      <c r="O63" s="4"/>
      <c r="P63" s="4"/>
      <c r="Q63" s="4"/>
      <c r="R63" s="4"/>
      <c r="S63" s="4"/>
      <c r="T63" s="4"/>
      <c r="U63" s="179"/>
    </row>
    <row r="64" spans="1:21" ht="15.75" thickBot="1" x14ac:dyDescent="0.3">
      <c r="A64" s="5" t="s">
        <v>20</v>
      </c>
      <c r="B64" s="4"/>
      <c r="C64" s="9"/>
      <c r="D64" s="4"/>
      <c r="E64" s="9"/>
      <c r="F64" s="4"/>
      <c r="G64" s="9"/>
      <c r="H64" s="6">
        <f t="shared" si="2"/>
        <v>0</v>
      </c>
      <c r="I64" s="13">
        <f t="shared" si="2"/>
        <v>0</v>
      </c>
      <c r="K64" s="180"/>
      <c r="L64" s="181"/>
      <c r="M64" s="181"/>
      <c r="N64" s="181"/>
      <c r="O64" s="181"/>
      <c r="P64" s="181"/>
      <c r="Q64" s="181"/>
      <c r="R64" s="181"/>
      <c r="S64" s="181"/>
      <c r="T64" s="181"/>
      <c r="U64" s="182"/>
    </row>
    <row r="65" spans="1:9" x14ac:dyDescent="0.25">
      <c r="A65" s="5" t="s">
        <v>35</v>
      </c>
      <c r="B65" s="4"/>
      <c r="C65" s="9"/>
      <c r="D65" s="4"/>
      <c r="E65" s="9"/>
      <c r="F65" s="4"/>
      <c r="G65" s="9"/>
      <c r="H65" s="6">
        <f>(D65)-F65</f>
        <v>0</v>
      </c>
      <c r="I65" s="13">
        <f t="shared" si="2"/>
        <v>0</v>
      </c>
    </row>
    <row r="66" spans="1:9" x14ac:dyDescent="0.25">
      <c r="A66" s="5" t="s">
        <v>36</v>
      </c>
      <c r="B66" s="4"/>
      <c r="C66" s="9"/>
      <c r="D66" s="4"/>
      <c r="E66" s="9"/>
      <c r="F66" s="4"/>
      <c r="G66" s="9"/>
      <c r="H66" s="6">
        <f>(D66)-F66</f>
        <v>0</v>
      </c>
      <c r="I66" s="13">
        <f t="shared" si="2"/>
        <v>0</v>
      </c>
    </row>
    <row r="67" spans="1:9" x14ac:dyDescent="0.25">
      <c r="A67" s="5" t="s">
        <v>37</v>
      </c>
      <c r="B67" s="4"/>
      <c r="C67" s="9"/>
      <c r="D67" s="4"/>
      <c r="E67" s="9"/>
      <c r="F67" s="4"/>
      <c r="G67" s="9"/>
      <c r="H67" s="6">
        <f t="shared" si="2"/>
        <v>0</v>
      </c>
      <c r="I67" s="13">
        <f t="shared" si="2"/>
        <v>0</v>
      </c>
    </row>
    <row r="68" spans="1:9" x14ac:dyDescent="0.25">
      <c r="A68" s="5" t="s">
        <v>22</v>
      </c>
      <c r="B68" s="4"/>
      <c r="C68" s="9"/>
      <c r="D68" s="4"/>
      <c r="E68" s="9"/>
      <c r="F68" s="4"/>
      <c r="G68" s="9"/>
      <c r="H68" s="6">
        <f t="shared" si="2"/>
        <v>0</v>
      </c>
      <c r="I68" s="13">
        <f t="shared" si="2"/>
        <v>0</v>
      </c>
    </row>
    <row r="69" spans="1:9" x14ac:dyDescent="0.25">
      <c r="A69" s="5" t="s">
        <v>45</v>
      </c>
      <c r="B69" s="4"/>
      <c r="C69" s="9"/>
      <c r="D69" s="4"/>
      <c r="E69" s="9"/>
      <c r="F69" s="4"/>
      <c r="G69" s="9"/>
      <c r="H69" s="6">
        <f t="shared" si="2"/>
        <v>0</v>
      </c>
      <c r="I69" s="13">
        <f t="shared" si="2"/>
        <v>0</v>
      </c>
    </row>
    <row r="70" spans="1:9" x14ac:dyDescent="0.25">
      <c r="A70" s="5" t="s">
        <v>39</v>
      </c>
      <c r="B70" s="4"/>
      <c r="C70" s="9"/>
      <c r="D70" s="4"/>
      <c r="E70" s="9"/>
      <c r="F70" s="4"/>
      <c r="G70" s="9"/>
      <c r="H70" s="6">
        <f t="shared" si="2"/>
        <v>0</v>
      </c>
      <c r="I70" s="13">
        <f t="shared" si="2"/>
        <v>0</v>
      </c>
    </row>
    <row r="71" spans="1:9" x14ac:dyDescent="0.25">
      <c r="A71" s="5" t="s">
        <v>30</v>
      </c>
      <c r="B71" s="4"/>
      <c r="C71" s="9"/>
      <c r="D71" s="4"/>
      <c r="E71" s="9"/>
      <c r="F71" s="4"/>
      <c r="G71" s="9"/>
      <c r="H71" s="6">
        <f t="shared" si="2"/>
        <v>0</v>
      </c>
      <c r="I71" s="13">
        <f t="shared" si="2"/>
        <v>0</v>
      </c>
    </row>
    <row r="72" spans="1:9" x14ac:dyDescent="0.25">
      <c r="A72" s="5" t="s">
        <v>19</v>
      </c>
      <c r="B72" s="4"/>
      <c r="C72" s="9"/>
      <c r="D72" s="4"/>
      <c r="E72" s="9"/>
      <c r="F72" s="4"/>
      <c r="G72" s="9"/>
      <c r="H72" s="6">
        <f t="shared" si="2"/>
        <v>0</v>
      </c>
      <c r="I72" s="13">
        <f t="shared" si="2"/>
        <v>0</v>
      </c>
    </row>
    <row r="73" spans="1:9" x14ac:dyDescent="0.25">
      <c r="A73" s="5" t="s">
        <v>136</v>
      </c>
      <c r="B73" s="4"/>
      <c r="C73" s="9"/>
      <c r="D73" s="4"/>
      <c r="E73" s="9"/>
      <c r="F73" s="4"/>
      <c r="G73" s="9"/>
      <c r="H73" s="6">
        <f t="shared" si="2"/>
        <v>0</v>
      </c>
      <c r="I73" s="13">
        <f t="shared" si="2"/>
        <v>0</v>
      </c>
    </row>
    <row r="74" spans="1:9" x14ac:dyDescent="0.25">
      <c r="A74" s="5" t="s">
        <v>31</v>
      </c>
      <c r="B74" s="4"/>
      <c r="C74" s="9"/>
      <c r="D74" s="4"/>
      <c r="E74" s="9"/>
      <c r="F74" s="4"/>
      <c r="G74" s="9"/>
      <c r="H74" s="6">
        <f t="shared" si="2"/>
        <v>0</v>
      </c>
      <c r="I74" s="13">
        <f t="shared" si="2"/>
        <v>0</v>
      </c>
    </row>
    <row r="75" spans="1:9" s="22" customFormat="1" x14ac:dyDescent="0.25">
      <c r="A75" s="56" t="s">
        <v>34</v>
      </c>
      <c r="B75" s="55">
        <f>SUM(B54:B74)</f>
        <v>0</v>
      </c>
      <c r="C75" s="32">
        <f t="shared" ref="C75:I75" si="3">SUM(C54:C74)</f>
        <v>0</v>
      </c>
      <c r="D75" s="100">
        <f t="shared" si="3"/>
        <v>0</v>
      </c>
      <c r="E75" s="57">
        <f t="shared" si="3"/>
        <v>0</v>
      </c>
      <c r="F75" s="100">
        <f t="shared" si="3"/>
        <v>0</v>
      </c>
      <c r="G75" s="57">
        <f t="shared" si="3"/>
        <v>0</v>
      </c>
      <c r="H75" s="102">
        <f t="shared" si="3"/>
        <v>0</v>
      </c>
      <c r="I75" s="58">
        <f t="shared" si="3"/>
        <v>0</v>
      </c>
    </row>
    <row r="76" spans="1:9" ht="45.75" customHeight="1" x14ac:dyDescent="0.25"/>
    <row r="77" spans="1:9" x14ac:dyDescent="0.25">
      <c r="A77" s="34" t="s">
        <v>114</v>
      </c>
      <c r="B77" s="101" t="s">
        <v>32</v>
      </c>
      <c r="C77" s="30" t="s">
        <v>156</v>
      </c>
      <c r="D77" s="30" t="s">
        <v>4</v>
      </c>
      <c r="E77" s="38" t="s">
        <v>41</v>
      </c>
    </row>
    <row r="78" spans="1:9" x14ac:dyDescent="0.25">
      <c r="A78" s="4" t="s">
        <v>49</v>
      </c>
      <c r="B78" s="4"/>
      <c r="C78" s="4"/>
      <c r="D78" s="4"/>
      <c r="E78" s="4">
        <f>(B78+C78)-D78</f>
        <v>0</v>
      </c>
    </row>
    <row r="79" spans="1:9" ht="45.75" customHeight="1" x14ac:dyDescent="0.25"/>
    <row r="80" spans="1:9" x14ac:dyDescent="0.25">
      <c r="A80" s="34" t="s">
        <v>120</v>
      </c>
      <c r="B80" s="101" t="s">
        <v>32</v>
      </c>
      <c r="C80" s="30" t="s">
        <v>156</v>
      </c>
      <c r="D80" s="30" t="s">
        <v>4</v>
      </c>
      <c r="E80" s="38" t="s">
        <v>41</v>
      </c>
    </row>
    <row r="81" spans="1:5" x14ac:dyDescent="0.25">
      <c r="A81" s="4" t="s">
        <v>49</v>
      </c>
      <c r="B81" s="44"/>
      <c r="C81" s="4"/>
      <c r="D81" s="4"/>
      <c r="E81" s="4">
        <f>(B81+C81)-D81</f>
        <v>0</v>
      </c>
    </row>
    <row r="82" spans="1:5" ht="45.75" customHeight="1" x14ac:dyDescent="0.25"/>
    <row r="83" spans="1:5" x14ac:dyDescent="0.25">
      <c r="A83" s="34" t="s">
        <v>121</v>
      </c>
      <c r="B83" s="101" t="s">
        <v>32</v>
      </c>
      <c r="C83" s="30" t="s">
        <v>156</v>
      </c>
      <c r="D83" s="30" t="s">
        <v>4</v>
      </c>
      <c r="E83" s="38" t="s">
        <v>41</v>
      </c>
    </row>
    <row r="84" spans="1:5" x14ac:dyDescent="0.25">
      <c r="A84" s="4" t="s">
        <v>143</v>
      </c>
      <c r="B84" s="4"/>
      <c r="C84" s="4"/>
      <c r="D84" s="4"/>
      <c r="E84" s="4">
        <f>(B84+C84)-D84</f>
        <v>0</v>
      </c>
    </row>
    <row r="85" spans="1:5" x14ac:dyDescent="0.25">
      <c r="A85" s="4" t="s">
        <v>144</v>
      </c>
      <c r="B85" s="4"/>
      <c r="C85" s="4"/>
      <c r="D85" s="4"/>
      <c r="E85" s="4">
        <f t="shared" ref="E85:E95" si="4">(B85+C85)-D85</f>
        <v>0</v>
      </c>
    </row>
    <row r="86" spans="1:5" x14ac:dyDescent="0.25">
      <c r="A86" s="4" t="s">
        <v>145</v>
      </c>
      <c r="B86" s="4"/>
      <c r="C86" s="4"/>
      <c r="D86" s="4"/>
      <c r="E86" s="4">
        <f t="shared" si="4"/>
        <v>0</v>
      </c>
    </row>
    <row r="87" spans="1:5" x14ac:dyDescent="0.25">
      <c r="A87" s="4" t="s">
        <v>23</v>
      </c>
      <c r="B87" s="4"/>
      <c r="C87" s="4"/>
      <c r="D87" s="4"/>
      <c r="E87" s="4">
        <f t="shared" si="4"/>
        <v>0</v>
      </c>
    </row>
    <row r="88" spans="1:5" x14ac:dyDescent="0.25">
      <c r="A88" s="4" t="s">
        <v>24</v>
      </c>
      <c r="B88" s="4"/>
      <c r="C88" s="4"/>
      <c r="D88" s="4"/>
      <c r="E88" s="4">
        <f t="shared" si="4"/>
        <v>0</v>
      </c>
    </row>
    <row r="89" spans="1:5" x14ac:dyDescent="0.25">
      <c r="A89" s="4" t="s">
        <v>25</v>
      </c>
      <c r="B89" s="4"/>
      <c r="C89" s="4"/>
      <c r="D89" s="4"/>
      <c r="E89" s="4">
        <f t="shared" si="4"/>
        <v>0</v>
      </c>
    </row>
    <row r="90" spans="1:5" x14ac:dyDescent="0.25">
      <c r="A90" s="4" t="s">
        <v>146</v>
      </c>
      <c r="B90" s="4"/>
      <c r="C90" s="4"/>
      <c r="D90" s="4"/>
      <c r="E90" s="4">
        <f>(C90)-D90</f>
        <v>0</v>
      </c>
    </row>
    <row r="91" spans="1:5" x14ac:dyDescent="0.25">
      <c r="A91" s="4" t="s">
        <v>147</v>
      </c>
      <c r="B91" s="4"/>
      <c r="C91" s="4"/>
      <c r="D91" s="4"/>
      <c r="E91" s="4">
        <f t="shared" ref="E91:E94" si="5">(C91)-D91</f>
        <v>0</v>
      </c>
    </row>
    <row r="92" spans="1:5" x14ac:dyDescent="0.25">
      <c r="A92" s="4" t="s">
        <v>148</v>
      </c>
      <c r="B92" s="4"/>
      <c r="C92" s="4"/>
      <c r="D92" s="4"/>
      <c r="E92" s="4">
        <f t="shared" si="5"/>
        <v>0</v>
      </c>
    </row>
    <row r="93" spans="1:5" x14ac:dyDescent="0.25">
      <c r="A93" s="4" t="s">
        <v>149</v>
      </c>
      <c r="B93" s="4"/>
      <c r="C93" s="4"/>
      <c r="D93" s="4"/>
      <c r="E93" s="4">
        <f t="shared" si="5"/>
        <v>0</v>
      </c>
    </row>
    <row r="94" spans="1:5" x14ac:dyDescent="0.25">
      <c r="A94" s="4" t="s">
        <v>150</v>
      </c>
      <c r="B94" s="4"/>
      <c r="C94" s="4"/>
      <c r="D94" s="4"/>
      <c r="E94" s="4">
        <f t="shared" si="5"/>
        <v>0</v>
      </c>
    </row>
    <row r="95" spans="1:5" x14ac:dyDescent="0.25">
      <c r="A95" s="4" t="s">
        <v>151</v>
      </c>
      <c r="B95" s="4"/>
      <c r="C95" s="4"/>
      <c r="D95" s="4"/>
      <c r="E95" s="4">
        <f t="shared" si="4"/>
        <v>0</v>
      </c>
    </row>
    <row r="96" spans="1:5" x14ac:dyDescent="0.25">
      <c r="A96" s="37" t="s">
        <v>34</v>
      </c>
      <c r="B96" s="101">
        <f>SUM(B84:B95)</f>
        <v>0</v>
      </c>
      <c r="C96" s="30">
        <f>SUM(C84:C95)</f>
        <v>0</v>
      </c>
      <c r="D96" s="30">
        <f>SUM(D84:D95)</f>
        <v>0</v>
      </c>
      <c r="E96" s="38">
        <f>SUM(E84:E95)</f>
        <v>0</v>
      </c>
    </row>
    <row r="97" spans="1:10" ht="47.25" customHeight="1" x14ac:dyDescent="0.25"/>
    <row r="98" spans="1:10" x14ac:dyDescent="0.25">
      <c r="A98" s="215" t="s">
        <v>123</v>
      </c>
      <c r="B98" s="212" t="s">
        <v>32</v>
      </c>
      <c r="C98" s="213"/>
      <c r="D98" s="227"/>
    </row>
    <row r="99" spans="1:10" x14ac:dyDescent="0.25">
      <c r="A99" s="216"/>
      <c r="B99" s="101" t="s">
        <v>55</v>
      </c>
      <c r="C99" s="101" t="s">
        <v>53</v>
      </c>
      <c r="D99" s="101" t="s">
        <v>54</v>
      </c>
    </row>
    <row r="100" spans="1:10" x14ac:dyDescent="0.25">
      <c r="A100" s="4" t="s">
        <v>67</v>
      </c>
      <c r="B100" s="4"/>
      <c r="C100" s="9"/>
      <c r="D100" s="9"/>
    </row>
    <row r="101" spans="1:10" ht="15" customHeight="1" x14ac:dyDescent="0.25">
      <c r="A101" s="35" t="s">
        <v>122</v>
      </c>
      <c r="B101" s="101" t="s">
        <v>32</v>
      </c>
      <c r="C101" s="101"/>
      <c r="D101" s="101"/>
      <c r="E101" s="228" t="s">
        <v>156</v>
      </c>
      <c r="F101" s="229"/>
      <c r="G101" s="228" t="s">
        <v>4</v>
      </c>
      <c r="H101" s="229"/>
      <c r="I101" s="230" t="s">
        <v>41</v>
      </c>
      <c r="J101" s="231"/>
    </row>
    <row r="102" spans="1:10" x14ac:dyDescent="0.25">
      <c r="A102" s="35"/>
      <c r="B102" s="101" t="s">
        <v>47</v>
      </c>
      <c r="C102" s="101" t="s">
        <v>65</v>
      </c>
      <c r="D102" s="101" t="s">
        <v>66</v>
      </c>
      <c r="E102" s="31" t="s">
        <v>64</v>
      </c>
      <c r="F102" s="30" t="s">
        <v>61</v>
      </c>
      <c r="G102" s="31" t="s">
        <v>64</v>
      </c>
      <c r="H102" s="30" t="s">
        <v>61</v>
      </c>
      <c r="I102" s="38" t="s">
        <v>47</v>
      </c>
      <c r="J102" s="38" t="s">
        <v>46</v>
      </c>
    </row>
    <row r="103" spans="1:10" x14ac:dyDescent="0.25">
      <c r="A103" s="4" t="s">
        <v>27</v>
      </c>
      <c r="B103" s="9"/>
      <c r="C103" s="4"/>
      <c r="D103" s="4"/>
      <c r="E103" s="42"/>
      <c r="F103" s="4"/>
      <c r="G103" s="42"/>
      <c r="H103" s="4"/>
      <c r="I103" s="232">
        <f>(C100+D100+B114+E114)-G114</f>
        <v>0</v>
      </c>
      <c r="J103" s="235">
        <f>(B100+D114+F114)-H114</f>
        <v>0</v>
      </c>
    </row>
    <row r="104" spans="1:10" x14ac:dyDescent="0.25">
      <c r="A104" s="4" t="s">
        <v>28</v>
      </c>
      <c r="B104" s="9"/>
      <c r="C104" s="4"/>
      <c r="D104" s="4"/>
      <c r="E104" s="42"/>
      <c r="F104" s="4"/>
      <c r="G104" s="42"/>
      <c r="H104" s="4"/>
      <c r="I104" s="233"/>
      <c r="J104" s="236"/>
    </row>
    <row r="105" spans="1:10" x14ac:dyDescent="0.25">
      <c r="A105" s="4" t="s">
        <v>133</v>
      </c>
      <c r="B105" s="9"/>
      <c r="C105" s="4"/>
      <c r="D105" s="4"/>
      <c r="E105" s="42"/>
      <c r="F105" s="4"/>
      <c r="G105" s="42"/>
      <c r="H105" s="4"/>
      <c r="I105" s="233"/>
      <c r="J105" s="236"/>
    </row>
    <row r="106" spans="1:10" x14ac:dyDescent="0.25">
      <c r="A106" s="4" t="s">
        <v>33</v>
      </c>
      <c r="B106" s="9"/>
      <c r="C106" s="4"/>
      <c r="D106" s="4"/>
      <c r="E106" s="42"/>
      <c r="F106" s="4"/>
      <c r="G106" s="42"/>
      <c r="H106" s="4"/>
      <c r="I106" s="233"/>
      <c r="J106" s="236"/>
    </row>
    <row r="107" spans="1:10" x14ac:dyDescent="0.25">
      <c r="A107" s="4" t="s">
        <v>20</v>
      </c>
      <c r="B107" s="9"/>
      <c r="C107" s="4"/>
      <c r="D107" s="4"/>
      <c r="E107" s="42"/>
      <c r="F107" s="4"/>
      <c r="G107" s="42"/>
      <c r="H107" s="4"/>
      <c r="I107" s="233"/>
      <c r="J107" s="236"/>
    </row>
    <row r="108" spans="1:10" x14ac:dyDescent="0.25">
      <c r="A108" s="4" t="s">
        <v>37</v>
      </c>
      <c r="B108" s="9"/>
      <c r="C108" s="4"/>
      <c r="D108" s="4"/>
      <c r="E108" s="42"/>
      <c r="F108" s="4"/>
      <c r="G108" s="42"/>
      <c r="H108" s="4"/>
      <c r="I108" s="233"/>
      <c r="J108" s="236"/>
    </row>
    <row r="109" spans="1:10" x14ac:dyDescent="0.25">
      <c r="A109" s="4" t="s">
        <v>22</v>
      </c>
      <c r="B109" s="9"/>
      <c r="C109" s="4"/>
      <c r="D109" s="4"/>
      <c r="E109" s="42"/>
      <c r="F109" s="4"/>
      <c r="G109" s="42"/>
      <c r="H109" s="4"/>
      <c r="I109" s="233"/>
      <c r="J109" s="236"/>
    </row>
    <row r="110" spans="1:10" x14ac:dyDescent="0.25">
      <c r="A110" s="4" t="s">
        <v>38</v>
      </c>
      <c r="B110" s="9"/>
      <c r="C110" s="4"/>
      <c r="D110" s="4"/>
      <c r="E110" s="42"/>
      <c r="F110" s="4"/>
      <c r="G110" s="42"/>
      <c r="H110" s="4"/>
      <c r="I110" s="233"/>
      <c r="J110" s="236"/>
    </row>
    <row r="111" spans="1:10" x14ac:dyDescent="0.25">
      <c r="A111" s="4" t="s">
        <v>39</v>
      </c>
      <c r="B111" s="9"/>
      <c r="C111" s="4"/>
      <c r="D111" s="4"/>
      <c r="E111" s="42"/>
      <c r="F111" s="4"/>
      <c r="G111" s="42"/>
      <c r="H111" s="4"/>
      <c r="I111" s="233"/>
      <c r="J111" s="236"/>
    </row>
    <row r="112" spans="1:10" x14ac:dyDescent="0.25">
      <c r="A112" s="4" t="s">
        <v>19</v>
      </c>
      <c r="B112" s="9"/>
      <c r="C112" s="4"/>
      <c r="D112" s="4"/>
      <c r="E112" s="42"/>
      <c r="F112" s="4"/>
      <c r="G112" s="42"/>
      <c r="H112" s="4"/>
      <c r="I112" s="233"/>
      <c r="J112" s="236"/>
    </row>
    <row r="113" spans="1:33" x14ac:dyDescent="0.25">
      <c r="A113" s="4" t="s">
        <v>152</v>
      </c>
      <c r="B113" s="9"/>
      <c r="C113" s="4"/>
      <c r="D113" s="4"/>
      <c r="E113" s="42"/>
      <c r="F113" s="4"/>
      <c r="G113" s="42"/>
      <c r="H113" s="4"/>
      <c r="I113" s="233"/>
      <c r="J113" s="236"/>
    </row>
    <row r="114" spans="1:33" x14ac:dyDescent="0.25">
      <c r="A114" s="37" t="s">
        <v>34</v>
      </c>
      <c r="B114" s="32">
        <f t="shared" ref="B114:H114" si="6">SUM(B103:B113)</f>
        <v>0</v>
      </c>
      <c r="C114" s="101">
        <f t="shared" si="6"/>
        <v>0</v>
      </c>
      <c r="D114" s="101">
        <f t="shared" si="6"/>
        <v>0</v>
      </c>
      <c r="E114" s="59">
        <f t="shared" si="6"/>
        <v>0</v>
      </c>
      <c r="F114" s="30">
        <f t="shared" si="6"/>
        <v>0</v>
      </c>
      <c r="G114" s="59">
        <f t="shared" si="6"/>
        <v>0</v>
      </c>
      <c r="H114" s="30">
        <f t="shared" si="6"/>
        <v>0</v>
      </c>
      <c r="I114" s="234"/>
      <c r="J114" s="237"/>
    </row>
    <row r="115" spans="1:33" ht="47.25" customHeight="1" thickBot="1" x14ac:dyDescent="0.3">
      <c r="A115" s="7"/>
      <c r="B115" s="7"/>
      <c r="C115" s="7"/>
      <c r="D115" s="7"/>
    </row>
    <row r="116" spans="1:33" x14ac:dyDescent="0.25">
      <c r="A116" s="238" t="s">
        <v>124</v>
      </c>
      <c r="B116" s="212" t="s">
        <v>32</v>
      </c>
      <c r="C116" s="213"/>
      <c r="D116" s="213"/>
      <c r="E116" s="214" t="s">
        <v>156</v>
      </c>
      <c r="F116" s="214"/>
      <c r="G116" s="214"/>
      <c r="H116" s="214" t="s">
        <v>4</v>
      </c>
      <c r="I116" s="214"/>
      <c r="J116" s="214"/>
      <c r="K116" s="156" t="s">
        <v>236</v>
      </c>
      <c r="L116" s="209" t="s">
        <v>41</v>
      </c>
      <c r="M116" s="209"/>
      <c r="N116" s="209"/>
      <c r="O116" s="161"/>
      <c r="P116" s="224" t="s">
        <v>238</v>
      </c>
      <c r="Q116" s="225"/>
      <c r="R116" s="225"/>
      <c r="S116" s="225"/>
      <c r="T116" s="225"/>
      <c r="U116" s="225"/>
      <c r="V116" s="225"/>
      <c r="W116" s="225"/>
      <c r="X116" s="225"/>
      <c r="Y116" s="225"/>
      <c r="Z116" s="225"/>
      <c r="AA116" s="225"/>
      <c r="AB116" s="225"/>
      <c r="AC116" s="225"/>
      <c r="AD116" s="225"/>
      <c r="AE116" s="225"/>
      <c r="AF116" s="225"/>
      <c r="AG116" s="226"/>
    </row>
    <row r="117" spans="1:33" x14ac:dyDescent="0.25">
      <c r="A117" s="238"/>
      <c r="B117" s="155" t="s">
        <v>50</v>
      </c>
      <c r="C117" s="155" t="s">
        <v>51</v>
      </c>
      <c r="D117" s="155" t="s">
        <v>52</v>
      </c>
      <c r="E117" s="156" t="s">
        <v>61</v>
      </c>
      <c r="F117" s="156" t="s">
        <v>62</v>
      </c>
      <c r="G117" s="156" t="s">
        <v>52</v>
      </c>
      <c r="H117" s="156" t="s">
        <v>61</v>
      </c>
      <c r="I117" s="156" t="s">
        <v>62</v>
      </c>
      <c r="J117" s="156" t="s">
        <v>52</v>
      </c>
      <c r="K117" s="156" t="s">
        <v>61</v>
      </c>
      <c r="L117" s="157" t="s">
        <v>61</v>
      </c>
      <c r="M117" s="157" t="s">
        <v>62</v>
      </c>
      <c r="N117" s="157" t="s">
        <v>63</v>
      </c>
      <c r="O117" s="162"/>
      <c r="P117" s="175" t="s">
        <v>240</v>
      </c>
      <c r="Q117" s="159" t="s">
        <v>247</v>
      </c>
      <c r="R117" s="159" t="s">
        <v>248</v>
      </c>
      <c r="S117" s="159" t="s">
        <v>249</v>
      </c>
      <c r="T117" s="159" t="s">
        <v>241</v>
      </c>
      <c r="U117" s="159" t="s">
        <v>242</v>
      </c>
      <c r="V117" s="159" t="s">
        <v>251</v>
      </c>
      <c r="W117" s="159" t="s">
        <v>243</v>
      </c>
      <c r="X117" s="159" t="s">
        <v>62</v>
      </c>
      <c r="Y117" s="159" t="s">
        <v>63</v>
      </c>
      <c r="Z117" s="159" t="s">
        <v>244</v>
      </c>
      <c r="AA117" s="159" t="s">
        <v>53</v>
      </c>
      <c r="AB117" s="159" t="s">
        <v>54</v>
      </c>
      <c r="AC117" s="159" t="s">
        <v>250</v>
      </c>
      <c r="AD117" s="159" t="s">
        <v>232</v>
      </c>
      <c r="AE117" s="159" t="s">
        <v>233</v>
      </c>
      <c r="AF117" s="159" t="s">
        <v>245</v>
      </c>
      <c r="AG117" s="176" t="s">
        <v>246</v>
      </c>
    </row>
    <row r="118" spans="1:33" x14ac:dyDescent="0.25">
      <c r="A118" s="12" t="s">
        <v>22</v>
      </c>
      <c r="B118" s="167"/>
      <c r="C118" s="60"/>
      <c r="D118" s="168"/>
      <c r="E118" s="169"/>
      <c r="F118" s="170"/>
      <c r="G118" s="168"/>
      <c r="H118" s="169"/>
      <c r="I118" s="170"/>
      <c r="J118" s="168"/>
      <c r="K118" s="60"/>
      <c r="L118" s="171">
        <f>(B118+E118)-(H118+K118)</f>
        <v>0</v>
      </c>
      <c r="M118" s="60">
        <f>(C118+F118)-(I118+K118)</f>
        <v>0</v>
      </c>
      <c r="N118" s="60">
        <f>(D118+G118)-J118+K118</f>
        <v>0</v>
      </c>
      <c r="O118" s="163"/>
      <c r="P118" s="177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6"/>
      <c r="AG118" s="178"/>
    </row>
    <row r="119" spans="1:33" x14ac:dyDescent="0.25">
      <c r="A119" s="4" t="s">
        <v>33</v>
      </c>
      <c r="B119" s="44"/>
      <c r="C119" s="60"/>
      <c r="D119" s="60"/>
      <c r="E119" s="44"/>
      <c r="F119" s="60"/>
      <c r="G119" s="60"/>
      <c r="H119" s="44"/>
      <c r="I119" s="60"/>
      <c r="J119" s="60"/>
      <c r="K119" s="60"/>
      <c r="L119" s="171">
        <f t="shared" ref="L119:L138" si="7">(B119+E119)-(H119+K119)</f>
        <v>0</v>
      </c>
      <c r="M119" s="60">
        <f t="shared" ref="M119:M120" si="8">(C119+F119)-(I119+K119)</f>
        <v>0</v>
      </c>
      <c r="N119" s="60">
        <f>(D119+G119)-J119+K119</f>
        <v>0</v>
      </c>
      <c r="O119" s="163"/>
      <c r="P119" s="177"/>
      <c r="Q119" s="9"/>
      <c r="R119" s="4"/>
      <c r="S119" s="4"/>
      <c r="T119" s="4"/>
      <c r="U119" s="4"/>
      <c r="V119" s="4"/>
      <c r="W119" s="4"/>
      <c r="X119" s="4"/>
      <c r="Y119" s="9"/>
      <c r="Z119" s="9"/>
      <c r="AA119" s="9"/>
      <c r="AB119" s="9"/>
      <c r="AC119" s="9"/>
      <c r="AD119" s="9"/>
      <c r="AE119" s="9"/>
      <c r="AF119" s="6"/>
      <c r="AG119" s="178"/>
    </row>
    <row r="120" spans="1:33" x14ac:dyDescent="0.25">
      <c r="A120" s="4" t="s">
        <v>45</v>
      </c>
      <c r="B120" s="44"/>
      <c r="C120" s="60"/>
      <c r="D120" s="60"/>
      <c r="E120" s="44"/>
      <c r="F120" s="60"/>
      <c r="G120" s="60"/>
      <c r="H120" s="44"/>
      <c r="I120" s="60"/>
      <c r="J120" s="60"/>
      <c r="K120" s="60"/>
      <c r="L120" s="171">
        <f t="shared" si="7"/>
        <v>0</v>
      </c>
      <c r="M120" s="60">
        <f t="shared" si="8"/>
        <v>0</v>
      </c>
      <c r="N120" s="60">
        <f>(D120+G120)-J120+K120</f>
        <v>0</v>
      </c>
      <c r="O120" s="163"/>
      <c r="P120" s="177"/>
      <c r="Q120" s="9"/>
      <c r="R120" s="4"/>
      <c r="S120" s="4"/>
      <c r="T120" s="4"/>
      <c r="U120" s="4"/>
      <c r="V120" s="4"/>
      <c r="W120" s="4"/>
      <c r="X120" s="4"/>
      <c r="Y120" s="9"/>
      <c r="Z120" s="9"/>
      <c r="AA120" s="9"/>
      <c r="AB120" s="9"/>
      <c r="AC120" s="9"/>
      <c r="AD120" s="9"/>
      <c r="AE120" s="9"/>
      <c r="AF120" s="6"/>
      <c r="AG120" s="178"/>
    </row>
    <row r="121" spans="1:33" s="14" customFormat="1" x14ac:dyDescent="0.25">
      <c r="A121" s="37" t="s">
        <v>68</v>
      </c>
      <c r="B121" s="155">
        <f>SUM(B118:B120)</f>
        <v>0</v>
      </c>
      <c r="C121" s="32">
        <f t="shared" ref="C121:J121" si="9">SUM(C118:C120)</f>
        <v>0</v>
      </c>
      <c r="D121" s="32">
        <f t="shared" si="9"/>
        <v>0</v>
      </c>
      <c r="E121" s="156">
        <f t="shared" si="9"/>
        <v>0</v>
      </c>
      <c r="F121" s="156">
        <f t="shared" si="9"/>
        <v>0</v>
      </c>
      <c r="G121" s="156">
        <f t="shared" si="9"/>
        <v>0</v>
      </c>
      <c r="H121" s="156">
        <f t="shared" si="9"/>
        <v>0</v>
      </c>
      <c r="I121" s="156">
        <f t="shared" si="9"/>
        <v>0</v>
      </c>
      <c r="J121" s="156">
        <f t="shared" si="9"/>
        <v>0</v>
      </c>
      <c r="K121" s="57">
        <f t="shared" ref="K121" si="10">SUM(K118:K120)</f>
        <v>0</v>
      </c>
      <c r="L121" s="172">
        <f>SUM(L118:L120)</f>
        <v>0</v>
      </c>
      <c r="M121" s="58">
        <f>SUM(M118:M120)</f>
        <v>0</v>
      </c>
      <c r="N121" s="58">
        <f>SUM(N118:N120)</f>
        <v>0</v>
      </c>
      <c r="O121" s="164"/>
      <c r="P121" s="183"/>
      <c r="Q121" s="13"/>
      <c r="R121" s="6"/>
      <c r="S121" s="6"/>
      <c r="T121" s="6"/>
      <c r="U121" s="6"/>
      <c r="V121" s="6"/>
      <c r="W121" s="6"/>
      <c r="X121" s="6"/>
      <c r="Y121" s="13"/>
      <c r="Z121" s="13"/>
      <c r="AA121" s="13"/>
      <c r="AB121" s="13"/>
      <c r="AC121" s="13"/>
      <c r="AD121" s="13"/>
      <c r="AE121" s="13"/>
      <c r="AF121" s="174"/>
      <c r="AG121" s="185"/>
    </row>
    <row r="122" spans="1:33" x14ac:dyDescent="0.25">
      <c r="A122" s="4" t="s">
        <v>28</v>
      </c>
      <c r="B122" s="44"/>
      <c r="C122" s="210" t="s">
        <v>70</v>
      </c>
      <c r="D122" s="211"/>
      <c r="E122" s="44"/>
      <c r="F122" s="210" t="s">
        <v>70</v>
      </c>
      <c r="G122" s="211"/>
      <c r="H122" s="44"/>
      <c r="I122" s="210" t="s">
        <v>70</v>
      </c>
      <c r="J122" s="211"/>
      <c r="K122" s="158"/>
      <c r="L122" s="171">
        <f t="shared" si="7"/>
        <v>0</v>
      </c>
      <c r="M122" s="210" t="s">
        <v>70</v>
      </c>
      <c r="N122" s="211"/>
      <c r="O122" s="165"/>
      <c r="P122" s="177"/>
      <c r="Q122" s="9"/>
      <c r="R122" s="4"/>
      <c r="S122" s="4"/>
      <c r="T122" s="4"/>
      <c r="U122" s="4"/>
      <c r="V122" s="4"/>
      <c r="W122" s="4"/>
      <c r="X122" s="4"/>
      <c r="Y122" s="9"/>
      <c r="Z122" s="9"/>
      <c r="AA122" s="9"/>
      <c r="AB122" s="9"/>
      <c r="AC122" s="9"/>
      <c r="AD122" s="9"/>
      <c r="AE122" s="9"/>
      <c r="AF122" s="6"/>
      <c r="AG122" s="178"/>
    </row>
    <row r="123" spans="1:33" x14ac:dyDescent="0.25">
      <c r="A123" s="4" t="s">
        <v>29</v>
      </c>
      <c r="B123" s="44"/>
      <c r="C123" s="60"/>
      <c r="D123" s="60"/>
      <c r="E123" s="44"/>
      <c r="F123" s="60"/>
      <c r="G123" s="60"/>
      <c r="H123" s="44"/>
      <c r="I123" s="60"/>
      <c r="J123" s="60"/>
      <c r="K123" s="60"/>
      <c r="L123" s="171">
        <f t="shared" si="7"/>
        <v>0</v>
      </c>
      <c r="M123" s="60">
        <f>(C123+F123)-I123</f>
        <v>0</v>
      </c>
      <c r="N123" s="60">
        <f>(D123+G123)-J123</f>
        <v>0</v>
      </c>
      <c r="O123" s="160"/>
      <c r="P123" s="177"/>
      <c r="Q123" s="9"/>
      <c r="R123" s="4"/>
      <c r="S123" s="4"/>
      <c r="T123" s="4"/>
      <c r="U123" s="4"/>
      <c r="V123" s="4"/>
      <c r="W123" s="4"/>
      <c r="X123" s="4"/>
      <c r="Y123" s="9"/>
      <c r="Z123" s="9"/>
      <c r="AA123" s="9"/>
      <c r="AB123" s="9"/>
      <c r="AC123" s="9"/>
      <c r="AD123" s="9"/>
      <c r="AE123" s="9"/>
      <c r="AF123" s="6"/>
      <c r="AG123" s="178"/>
    </row>
    <row r="124" spans="1:33" x14ac:dyDescent="0.25">
      <c r="A124" s="4" t="s">
        <v>73</v>
      </c>
      <c r="B124" s="44"/>
      <c r="C124" s="60"/>
      <c r="D124" s="60"/>
      <c r="E124" s="44"/>
      <c r="F124" s="60"/>
      <c r="G124" s="60"/>
      <c r="H124" s="44"/>
      <c r="I124" s="60"/>
      <c r="J124" s="60"/>
      <c r="K124" s="60"/>
      <c r="L124" s="171">
        <f t="shared" si="7"/>
        <v>0</v>
      </c>
      <c r="M124" s="60">
        <f t="shared" ref="M124:M138" si="11">(C124+F124)-I124</f>
        <v>0</v>
      </c>
      <c r="N124" s="60">
        <f t="shared" ref="N124:N138" si="12">(D124+G124)-J124</f>
        <v>0</v>
      </c>
      <c r="O124" s="160"/>
      <c r="P124" s="177"/>
      <c r="Q124" s="9"/>
      <c r="R124" s="4"/>
      <c r="S124" s="4"/>
      <c r="T124" s="4"/>
      <c r="U124" s="4"/>
      <c r="V124" s="4"/>
      <c r="W124" s="4"/>
      <c r="X124" s="4"/>
      <c r="Y124" s="9"/>
      <c r="Z124" s="9"/>
      <c r="AA124" s="9"/>
      <c r="AB124" s="9"/>
      <c r="AC124" s="9"/>
      <c r="AD124" s="9"/>
      <c r="AE124" s="9"/>
      <c r="AF124" s="6"/>
      <c r="AG124" s="178"/>
    </row>
    <row r="125" spans="1:33" x14ac:dyDescent="0.25">
      <c r="A125" s="4" t="s">
        <v>153</v>
      </c>
      <c r="B125" s="44"/>
      <c r="C125" s="60"/>
      <c r="D125" s="60"/>
      <c r="E125" s="44"/>
      <c r="F125" s="60"/>
      <c r="G125" s="60"/>
      <c r="H125" s="44"/>
      <c r="I125" s="60"/>
      <c r="J125" s="60"/>
      <c r="K125" s="60"/>
      <c r="L125" s="171">
        <f t="shared" si="7"/>
        <v>0</v>
      </c>
      <c r="M125" s="60">
        <f t="shared" si="11"/>
        <v>0</v>
      </c>
      <c r="N125" s="60">
        <f t="shared" si="12"/>
        <v>0</v>
      </c>
      <c r="O125" s="160"/>
      <c r="P125" s="177"/>
      <c r="Q125" s="9"/>
      <c r="R125" s="4"/>
      <c r="S125" s="4"/>
      <c r="T125" s="4"/>
      <c r="U125" s="4"/>
      <c r="V125" s="4"/>
      <c r="W125" s="4"/>
      <c r="X125" s="4"/>
      <c r="Y125" s="9"/>
      <c r="Z125" s="9"/>
      <c r="AA125" s="9"/>
      <c r="AB125" s="9"/>
      <c r="AC125" s="9"/>
      <c r="AD125" s="9"/>
      <c r="AE125" s="9"/>
      <c r="AF125" s="4"/>
      <c r="AG125" s="179"/>
    </row>
    <row r="126" spans="1:33" x14ac:dyDescent="0.25">
      <c r="A126" s="4" t="s">
        <v>154</v>
      </c>
      <c r="B126" s="44"/>
      <c r="C126" s="60"/>
      <c r="D126" s="60"/>
      <c r="E126" s="44"/>
      <c r="F126" s="60"/>
      <c r="G126" s="60"/>
      <c r="H126" s="44"/>
      <c r="I126" s="60"/>
      <c r="J126" s="60"/>
      <c r="K126" s="60"/>
      <c r="L126" s="171">
        <f t="shared" si="7"/>
        <v>0</v>
      </c>
      <c r="M126" s="60">
        <f t="shared" si="11"/>
        <v>0</v>
      </c>
      <c r="N126" s="60">
        <f t="shared" si="12"/>
        <v>0</v>
      </c>
      <c r="O126" s="160"/>
      <c r="P126" s="177"/>
      <c r="Q126" s="9"/>
      <c r="R126" s="4"/>
      <c r="S126" s="4"/>
      <c r="T126" s="4"/>
      <c r="U126" s="4"/>
      <c r="V126" s="4"/>
      <c r="W126" s="4"/>
      <c r="X126" s="4"/>
      <c r="Y126" s="9"/>
      <c r="Z126" s="9"/>
      <c r="AA126" s="9"/>
      <c r="AB126" s="9"/>
      <c r="AC126" s="9"/>
      <c r="AD126" s="9"/>
      <c r="AE126" s="9"/>
      <c r="AF126" s="4"/>
      <c r="AG126" s="179"/>
    </row>
    <row r="127" spans="1:33" x14ac:dyDescent="0.25">
      <c r="A127" s="4" t="s">
        <v>131</v>
      </c>
      <c r="B127" s="44"/>
      <c r="C127" s="60"/>
      <c r="D127" s="60"/>
      <c r="E127" s="44"/>
      <c r="F127" s="60"/>
      <c r="G127" s="60"/>
      <c r="H127" s="44"/>
      <c r="I127" s="60"/>
      <c r="J127" s="60"/>
      <c r="K127" s="60"/>
      <c r="L127" s="171">
        <f t="shared" si="7"/>
        <v>0</v>
      </c>
      <c r="M127" s="60">
        <f t="shared" si="11"/>
        <v>0</v>
      </c>
      <c r="N127" s="60">
        <f t="shared" si="12"/>
        <v>0</v>
      </c>
      <c r="O127" s="160"/>
      <c r="P127" s="177"/>
      <c r="Q127" s="9"/>
      <c r="R127" s="4"/>
      <c r="S127" s="4"/>
      <c r="T127" s="4"/>
      <c r="U127" s="4"/>
      <c r="V127" s="4"/>
      <c r="W127" s="4"/>
      <c r="X127" s="4"/>
      <c r="Y127" s="9"/>
      <c r="Z127" s="9"/>
      <c r="AA127" s="9"/>
      <c r="AB127" s="9"/>
      <c r="AC127" s="9"/>
      <c r="AD127" s="9"/>
      <c r="AE127" s="9"/>
      <c r="AF127" s="4"/>
      <c r="AG127" s="179"/>
    </row>
    <row r="128" spans="1:33" ht="15.75" thickBot="1" x14ac:dyDescent="0.3">
      <c r="A128" s="4" t="s">
        <v>133</v>
      </c>
      <c r="B128" s="44"/>
      <c r="C128" s="60"/>
      <c r="D128" s="60"/>
      <c r="E128" s="44"/>
      <c r="F128" s="60"/>
      <c r="G128" s="60"/>
      <c r="H128" s="44"/>
      <c r="I128" s="60"/>
      <c r="J128" s="60"/>
      <c r="K128" s="60"/>
      <c r="L128" s="171">
        <f t="shared" si="7"/>
        <v>0</v>
      </c>
      <c r="M128" s="60">
        <f t="shared" si="11"/>
        <v>0</v>
      </c>
      <c r="N128" s="60">
        <f t="shared" si="12"/>
        <v>0</v>
      </c>
      <c r="O128" s="160"/>
      <c r="P128" s="180"/>
      <c r="Q128" s="184"/>
      <c r="R128" s="181"/>
      <c r="S128" s="181"/>
      <c r="T128" s="181"/>
      <c r="U128" s="181"/>
      <c r="V128" s="181"/>
      <c r="W128" s="181"/>
      <c r="X128" s="181"/>
      <c r="Y128" s="184"/>
      <c r="Z128" s="184"/>
      <c r="AA128" s="184"/>
      <c r="AB128" s="184"/>
      <c r="AC128" s="184"/>
      <c r="AD128" s="184"/>
      <c r="AE128" s="184"/>
      <c r="AF128" s="181"/>
      <c r="AG128" s="182"/>
    </row>
    <row r="129" spans="1:15" x14ac:dyDescent="0.25">
      <c r="A129" s="4" t="s">
        <v>141</v>
      </c>
      <c r="B129" s="44"/>
      <c r="C129" s="60"/>
      <c r="D129" s="60"/>
      <c r="E129" s="44"/>
      <c r="F129" s="60"/>
      <c r="G129" s="60"/>
      <c r="H129" s="44"/>
      <c r="I129" s="60"/>
      <c r="J129" s="60"/>
      <c r="K129" s="60"/>
      <c r="L129" s="171">
        <f t="shared" si="7"/>
        <v>0</v>
      </c>
      <c r="M129" s="60">
        <f t="shared" si="11"/>
        <v>0</v>
      </c>
      <c r="N129" s="60">
        <f t="shared" si="12"/>
        <v>0</v>
      </c>
      <c r="O129" s="160"/>
    </row>
    <row r="130" spans="1:15" x14ac:dyDescent="0.25">
      <c r="A130" s="4" t="s">
        <v>35</v>
      </c>
      <c r="B130" s="44"/>
      <c r="C130" s="60"/>
      <c r="D130" s="60"/>
      <c r="E130" s="44"/>
      <c r="F130" s="60"/>
      <c r="G130" s="60"/>
      <c r="H130" s="44"/>
      <c r="I130" s="60"/>
      <c r="J130" s="60"/>
      <c r="K130" s="60"/>
      <c r="L130" s="171">
        <f t="shared" si="7"/>
        <v>0</v>
      </c>
      <c r="M130" s="60">
        <f t="shared" si="11"/>
        <v>0</v>
      </c>
      <c r="N130" s="60">
        <f t="shared" si="12"/>
        <v>0</v>
      </c>
      <c r="O130" s="160"/>
    </row>
    <row r="131" spans="1:15" x14ac:dyDescent="0.25">
      <c r="A131" s="4" t="s">
        <v>139</v>
      </c>
      <c r="B131" s="44"/>
      <c r="C131" s="60"/>
      <c r="D131" s="60"/>
      <c r="E131" s="44"/>
      <c r="F131" s="60"/>
      <c r="G131" s="60"/>
      <c r="H131" s="44"/>
      <c r="I131" s="60"/>
      <c r="J131" s="60"/>
      <c r="K131" s="60"/>
      <c r="L131" s="171">
        <f t="shared" si="7"/>
        <v>0</v>
      </c>
      <c r="M131" s="60">
        <f t="shared" si="11"/>
        <v>0</v>
      </c>
      <c r="N131" s="60">
        <f t="shared" si="12"/>
        <v>0</v>
      </c>
      <c r="O131" s="160"/>
    </row>
    <row r="132" spans="1:15" x14ac:dyDescent="0.25">
      <c r="A132" s="4" t="s">
        <v>31</v>
      </c>
      <c r="B132" s="44"/>
      <c r="C132" s="60"/>
      <c r="D132" s="60"/>
      <c r="E132" s="44"/>
      <c r="F132" s="60"/>
      <c r="G132" s="60"/>
      <c r="H132" s="44"/>
      <c r="I132" s="60"/>
      <c r="J132" s="60"/>
      <c r="K132" s="60"/>
      <c r="L132" s="171">
        <f t="shared" si="7"/>
        <v>0</v>
      </c>
      <c r="M132" s="60">
        <f t="shared" si="11"/>
        <v>0</v>
      </c>
      <c r="N132" s="60">
        <f t="shared" si="12"/>
        <v>0</v>
      </c>
      <c r="O132" s="160"/>
    </row>
    <row r="133" spans="1:15" x14ac:dyDescent="0.25">
      <c r="A133" s="4" t="s">
        <v>36</v>
      </c>
      <c r="B133" s="44"/>
      <c r="C133" s="60"/>
      <c r="D133" s="60"/>
      <c r="E133" s="44"/>
      <c r="F133" s="60"/>
      <c r="G133" s="60"/>
      <c r="H133" s="44"/>
      <c r="I133" s="60"/>
      <c r="J133" s="60"/>
      <c r="K133" s="60"/>
      <c r="L133" s="171">
        <f t="shared" si="7"/>
        <v>0</v>
      </c>
      <c r="M133" s="60">
        <f t="shared" si="11"/>
        <v>0</v>
      </c>
      <c r="N133" s="60">
        <f t="shared" si="12"/>
        <v>0</v>
      </c>
      <c r="O133" s="160"/>
    </row>
    <row r="134" spans="1:15" x14ac:dyDescent="0.25">
      <c r="A134" s="4" t="s">
        <v>37</v>
      </c>
      <c r="B134" s="44"/>
      <c r="C134" s="60"/>
      <c r="D134" s="60"/>
      <c r="E134" s="44"/>
      <c r="F134" s="60"/>
      <c r="G134" s="60"/>
      <c r="H134" s="44"/>
      <c r="I134" s="60"/>
      <c r="J134" s="60"/>
      <c r="K134" s="60"/>
      <c r="L134" s="171">
        <f t="shared" si="7"/>
        <v>0</v>
      </c>
      <c r="M134" s="60">
        <f t="shared" si="11"/>
        <v>0</v>
      </c>
      <c r="N134" s="60">
        <f t="shared" si="12"/>
        <v>0</v>
      </c>
      <c r="O134" s="160"/>
    </row>
    <row r="135" spans="1:15" x14ac:dyDescent="0.25">
      <c r="A135" s="4" t="s">
        <v>140</v>
      </c>
      <c r="B135" s="44"/>
      <c r="C135" s="60"/>
      <c r="D135" s="60"/>
      <c r="E135" s="44"/>
      <c r="F135" s="60"/>
      <c r="G135" s="60"/>
      <c r="H135" s="44"/>
      <c r="I135" s="60"/>
      <c r="J135" s="60"/>
      <c r="K135" s="60"/>
      <c r="L135" s="171">
        <f t="shared" si="7"/>
        <v>0</v>
      </c>
      <c r="M135" s="60">
        <f t="shared" si="11"/>
        <v>0</v>
      </c>
      <c r="N135" s="60">
        <f t="shared" si="12"/>
        <v>0</v>
      </c>
      <c r="O135" s="160"/>
    </row>
    <row r="136" spans="1:15" x14ac:dyDescent="0.25">
      <c r="A136" s="4" t="s">
        <v>135</v>
      </c>
      <c r="B136" s="44"/>
      <c r="C136" s="60"/>
      <c r="D136" s="60"/>
      <c r="E136" s="44"/>
      <c r="F136" s="60"/>
      <c r="G136" s="60"/>
      <c r="H136" s="44"/>
      <c r="I136" s="60"/>
      <c r="J136" s="60"/>
      <c r="K136" s="60"/>
      <c r="L136" s="171">
        <f t="shared" si="7"/>
        <v>0</v>
      </c>
      <c r="M136" s="60">
        <f t="shared" si="11"/>
        <v>0</v>
      </c>
      <c r="N136" s="60">
        <f t="shared" si="12"/>
        <v>0</v>
      </c>
      <c r="O136" s="160"/>
    </row>
    <row r="137" spans="1:15" x14ac:dyDescent="0.25">
      <c r="A137" s="4" t="s">
        <v>39</v>
      </c>
      <c r="B137" s="44"/>
      <c r="C137" s="60"/>
      <c r="D137" s="60"/>
      <c r="E137" s="44"/>
      <c r="F137" s="60"/>
      <c r="G137" s="60"/>
      <c r="H137" s="44"/>
      <c r="I137" s="60"/>
      <c r="J137" s="60"/>
      <c r="K137" s="60"/>
      <c r="L137" s="171">
        <f t="shared" si="7"/>
        <v>0</v>
      </c>
      <c r="M137" s="60">
        <f t="shared" si="11"/>
        <v>0</v>
      </c>
      <c r="N137" s="60">
        <f t="shared" si="12"/>
        <v>0</v>
      </c>
      <c r="O137" s="160"/>
    </row>
    <row r="138" spans="1:15" x14ac:dyDescent="0.25">
      <c r="A138" s="4" t="s">
        <v>30</v>
      </c>
      <c r="B138" s="44"/>
      <c r="C138" s="60"/>
      <c r="D138" s="60"/>
      <c r="E138" s="44"/>
      <c r="F138" s="60"/>
      <c r="G138" s="60"/>
      <c r="H138" s="44"/>
      <c r="I138" s="60"/>
      <c r="J138" s="60"/>
      <c r="K138" s="60"/>
      <c r="L138" s="171">
        <f t="shared" si="7"/>
        <v>0</v>
      </c>
      <c r="M138" s="60">
        <f t="shared" si="11"/>
        <v>0</v>
      </c>
      <c r="N138" s="60">
        <f t="shared" si="12"/>
        <v>0</v>
      </c>
      <c r="O138" s="160"/>
    </row>
    <row r="139" spans="1:15" x14ac:dyDescent="0.25">
      <c r="A139" s="37" t="s">
        <v>34</v>
      </c>
      <c r="B139" s="155">
        <f t="shared" ref="B139:N139" si="13">SUM(B118+B119+B120) + SUM(B122:B138)</f>
        <v>0</v>
      </c>
      <c r="C139" s="32">
        <f t="shared" si="13"/>
        <v>0</v>
      </c>
      <c r="D139" s="32">
        <f t="shared" si="13"/>
        <v>0</v>
      </c>
      <c r="E139" s="156">
        <f t="shared" si="13"/>
        <v>0</v>
      </c>
      <c r="F139" s="57">
        <f t="shared" si="13"/>
        <v>0</v>
      </c>
      <c r="G139" s="57">
        <f t="shared" si="13"/>
        <v>0</v>
      </c>
      <c r="H139" s="156">
        <f t="shared" si="13"/>
        <v>0</v>
      </c>
      <c r="I139" s="57">
        <f t="shared" si="13"/>
        <v>0</v>
      </c>
      <c r="J139" s="57">
        <f t="shared" si="13"/>
        <v>0</v>
      </c>
      <c r="K139" s="57">
        <f t="shared" si="13"/>
        <v>0</v>
      </c>
      <c r="L139" s="172">
        <f t="shared" si="13"/>
        <v>0</v>
      </c>
      <c r="M139" s="58">
        <f t="shared" si="13"/>
        <v>0</v>
      </c>
      <c r="N139" s="58">
        <f t="shared" si="13"/>
        <v>0</v>
      </c>
      <c r="O139" s="164"/>
    </row>
    <row r="140" spans="1:15" ht="48" customHeight="1" x14ac:dyDescent="0.25">
      <c r="L140" s="166"/>
    </row>
    <row r="141" spans="1:15" x14ac:dyDescent="0.25">
      <c r="A141" s="34" t="s">
        <v>125</v>
      </c>
      <c r="B141" s="101" t="s">
        <v>32</v>
      </c>
      <c r="C141" s="36" t="s">
        <v>156</v>
      </c>
      <c r="D141" s="36" t="s">
        <v>4</v>
      </c>
      <c r="E141" s="38" t="s">
        <v>41</v>
      </c>
    </row>
    <row r="142" spans="1:15" x14ac:dyDescent="0.25">
      <c r="A142" s="34" t="s">
        <v>237</v>
      </c>
      <c r="B142" s="173"/>
      <c r="C142" s="173"/>
      <c r="D142" s="173"/>
      <c r="E142" s="173">
        <f>(B142+C142)-D142</f>
        <v>0</v>
      </c>
    </row>
    <row r="143" spans="1:15" ht="48" customHeight="1" x14ac:dyDescent="0.25"/>
    <row r="144" spans="1:15" x14ac:dyDescent="0.25">
      <c r="A144" s="215" t="s">
        <v>128</v>
      </c>
      <c r="B144" s="217" t="s">
        <v>32</v>
      </c>
      <c r="C144" s="217"/>
      <c r="D144" s="100" t="s">
        <v>156</v>
      </c>
      <c r="E144" s="100" t="s">
        <v>4</v>
      </c>
      <c r="F144" s="218" t="s">
        <v>41</v>
      </c>
    </row>
    <row r="145" spans="1:7" ht="45" x14ac:dyDescent="0.25">
      <c r="A145" s="216"/>
      <c r="B145" s="33" t="s">
        <v>126</v>
      </c>
      <c r="C145" s="33" t="s">
        <v>127</v>
      </c>
      <c r="D145" s="30" t="s">
        <v>71</v>
      </c>
      <c r="E145" s="30" t="s">
        <v>71</v>
      </c>
      <c r="F145" s="219"/>
    </row>
    <row r="146" spans="1:7" x14ac:dyDescent="0.25">
      <c r="A146" s="4" t="s">
        <v>49</v>
      </c>
      <c r="B146" s="4"/>
      <c r="C146" s="4"/>
      <c r="D146" s="4"/>
      <c r="E146" s="4"/>
      <c r="F146" s="4">
        <f>B146+C146-E146</f>
        <v>0</v>
      </c>
    </row>
    <row r="147" spans="1:7" ht="48" customHeight="1" x14ac:dyDescent="0.25"/>
    <row r="148" spans="1:7" ht="60" x14ac:dyDescent="0.25">
      <c r="A148" s="99" t="s">
        <v>129</v>
      </c>
      <c r="B148" s="33" t="s">
        <v>130</v>
      </c>
      <c r="C148" s="30" t="s">
        <v>156</v>
      </c>
      <c r="D148" s="30" t="s">
        <v>4</v>
      </c>
      <c r="E148" s="38" t="s">
        <v>41</v>
      </c>
      <c r="F148" s="40" t="s">
        <v>69</v>
      </c>
      <c r="G148" s="40" t="s">
        <v>165</v>
      </c>
    </row>
    <row r="149" spans="1:7" x14ac:dyDescent="0.25">
      <c r="A149" s="4" t="s">
        <v>60</v>
      </c>
      <c r="B149" s="13"/>
      <c r="C149" s="13"/>
      <c r="D149" s="13"/>
      <c r="E149" s="9">
        <f>(B149+C149)-(D149+F149)</f>
        <v>0</v>
      </c>
      <c r="F149" s="15"/>
      <c r="G149" s="15"/>
    </row>
    <row r="150" spans="1:7" x14ac:dyDescent="0.25">
      <c r="A150" s="4" t="s">
        <v>56</v>
      </c>
      <c r="B150" s="13"/>
      <c r="C150" s="13"/>
      <c r="D150" s="13"/>
      <c r="E150" s="9">
        <f>B150+F149-D150</f>
        <v>0</v>
      </c>
      <c r="G150" s="16"/>
    </row>
    <row r="151" spans="1:7" x14ac:dyDescent="0.25">
      <c r="A151" s="4" t="s">
        <v>57</v>
      </c>
      <c r="B151" s="13"/>
      <c r="C151" s="13"/>
      <c r="D151" s="13"/>
      <c r="E151" s="9">
        <f>B151-D151</f>
        <v>0</v>
      </c>
    </row>
    <row r="152" spans="1:7" x14ac:dyDescent="0.25">
      <c r="A152" s="4" t="s">
        <v>58</v>
      </c>
      <c r="B152" s="13"/>
      <c r="C152" s="13"/>
      <c r="D152" s="13"/>
      <c r="E152" s="9">
        <f>B152-D152</f>
        <v>0</v>
      </c>
    </row>
    <row r="153" spans="1:7" x14ac:dyDescent="0.25">
      <c r="A153" s="4" t="s">
        <v>59</v>
      </c>
      <c r="B153" s="9"/>
      <c r="C153" s="13"/>
      <c r="D153" s="13"/>
      <c r="E153" s="9">
        <f t="shared" ref="E153" si="14">B153-C153</f>
        <v>0</v>
      </c>
    </row>
    <row r="154" spans="1:7" x14ac:dyDescent="0.25">
      <c r="A154" s="34" t="s">
        <v>34</v>
      </c>
      <c r="B154" s="32">
        <f>SUM(B149:B153)</f>
        <v>0</v>
      </c>
      <c r="C154" s="10">
        <f>SUM(C149:C153)</f>
        <v>0</v>
      </c>
      <c r="D154" s="10">
        <f>SUM(D149:D153)</f>
        <v>0</v>
      </c>
      <c r="E154" s="39">
        <f>SUM(E149:E153)</f>
        <v>0</v>
      </c>
      <c r="G154" s="16"/>
    </row>
    <row r="156" spans="1:7" x14ac:dyDescent="0.25">
      <c r="A156" s="43"/>
      <c r="B156" s="208"/>
      <c r="C156" s="208"/>
      <c r="D156" s="208"/>
      <c r="E156" s="208"/>
      <c r="F156" s="208"/>
    </row>
  </sheetData>
  <mergeCells count="28">
    <mergeCell ref="A1:E1"/>
    <mergeCell ref="A52:A53"/>
    <mergeCell ref="B52:C52"/>
    <mergeCell ref="D52:E52"/>
    <mergeCell ref="F52:G52"/>
    <mergeCell ref="A144:A145"/>
    <mergeCell ref="B144:C144"/>
    <mergeCell ref="F144:F145"/>
    <mergeCell ref="H52:I52"/>
    <mergeCell ref="K52:U52"/>
    <mergeCell ref="P116:AG116"/>
    <mergeCell ref="A98:A99"/>
    <mergeCell ref="B98:D98"/>
    <mergeCell ref="E101:F101"/>
    <mergeCell ref="G101:H101"/>
    <mergeCell ref="I101:J101"/>
    <mergeCell ref="I103:I114"/>
    <mergeCell ref="J103:J114"/>
    <mergeCell ref="A116:A117"/>
    <mergeCell ref="B156:F156"/>
    <mergeCell ref="L116:N116"/>
    <mergeCell ref="C122:D122"/>
    <mergeCell ref="F122:G122"/>
    <mergeCell ref="I122:J122"/>
    <mergeCell ref="M122:N122"/>
    <mergeCell ref="B116:D116"/>
    <mergeCell ref="E116:G116"/>
    <mergeCell ref="H116:J116"/>
  </mergeCells>
  <conditionalFormatting sqref="E50 E3 E42 E6:E10 E45:E48 E84:E96 L118:O120 L122:L138 M123:O138">
    <cfRule type="cellIs" dxfId="5" priority="6" operator="notEqual">
      <formula>0</formula>
    </cfRule>
  </conditionalFormatting>
  <conditionalFormatting sqref="E78 E81 H54:I74">
    <cfRule type="cellIs" dxfId="4" priority="5" operator="notEqual">
      <formula>0</formula>
    </cfRule>
  </conditionalFormatting>
  <conditionalFormatting sqref="E142">
    <cfRule type="cellIs" dxfId="3" priority="4" operator="notEqual">
      <formula>0</formula>
    </cfRule>
  </conditionalFormatting>
  <conditionalFormatting sqref="I103:J114 F146 E150:E154">
    <cfRule type="cellIs" dxfId="2" priority="3" operator="notEqual">
      <formula>0</formula>
    </cfRule>
  </conditionalFormatting>
  <conditionalFormatting sqref="E45:E47">
    <cfRule type="cellIs" dxfId="1" priority="2" operator="notEqual">
      <formula>0</formula>
    </cfRule>
  </conditionalFormatting>
  <conditionalFormatting sqref="E14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Validate">
                <anchor moveWithCells="1" sizeWithCells="1">
                  <from>
                    <xdr:col>5</xdr:col>
                    <xdr:colOff>390525</xdr:colOff>
                    <xdr:row>0</xdr:row>
                    <xdr:rowOff>314325</xdr:rowOff>
                  </from>
                  <to>
                    <xdr:col>6</xdr:col>
                    <xdr:colOff>800100</xdr:colOff>
                    <xdr:row>0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k8Validate">
                <anchor moveWithCells="1" sizeWithCells="1">
                  <from>
                    <xdr:col>7</xdr:col>
                    <xdr:colOff>9525</xdr:colOff>
                    <xdr:row>0</xdr:row>
                    <xdr:rowOff>314325</xdr:rowOff>
                  </from>
                  <to>
                    <xdr:col>8</xdr:col>
                    <xdr:colOff>590550</xdr:colOff>
                    <xdr:row>0</xdr:row>
                    <xdr:rowOff>981075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</vt:lpstr>
      <vt:lpstr>Day 0 Analyst tasks</vt:lpstr>
      <vt:lpstr>Reconciliation</vt:lpstr>
    </vt:vector>
  </TitlesOfParts>
  <Company>SAINT-GOBAIN 1.8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Betony, Lisa</dc:creator>
  <cp:lastModifiedBy>Betony, Lisa</cp:lastModifiedBy>
  <dcterms:created xsi:type="dcterms:W3CDTF">2018-02-13T10:47:18Z</dcterms:created>
  <dcterms:modified xsi:type="dcterms:W3CDTF">2018-09-25T14:33:18Z</dcterms:modified>
</cp:coreProperties>
</file>