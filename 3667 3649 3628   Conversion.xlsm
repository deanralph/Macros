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28800" windowHeight="12300" firstSheet="1" activeTab="4"/>
  </bookViews>
  <sheets>
    <sheet name="Control" sheetId="13" state="hidden" r:id="rId1"/>
    <sheet name="Day 0 Analyst tasks" sheetId="4" r:id="rId2"/>
    <sheet name="Sheet1" sheetId="21" state="hidden" r:id="rId3"/>
    <sheet name="Lilocopy screenshots" sheetId="20" state="hidden" r:id="rId4"/>
    <sheet name="3628" sheetId="23" r:id="rId5"/>
    <sheet name="3649" sheetId="22" r:id="rId6"/>
    <sheet name="3667" sheetId="19" r:id="rId7"/>
    <sheet name="Tally Check" sheetId="18" state="hidden" r:id="rId8"/>
  </sheets>
  <calcPr calcId="162913"/>
</workbook>
</file>

<file path=xl/calcChain.xml><?xml version="1.0" encoding="utf-8"?>
<calcChain xmlns="http://schemas.openxmlformats.org/spreadsheetml/2006/main">
  <c r="C152" i="23" l="1"/>
  <c r="B152" i="23"/>
  <c r="D151" i="23"/>
  <c r="D150" i="23"/>
  <c r="D149" i="23"/>
  <c r="D148" i="23"/>
  <c r="D147" i="23"/>
  <c r="D152" i="23" s="1"/>
  <c r="D144" i="23"/>
  <c r="D143" i="23"/>
  <c r="D142" i="23"/>
  <c r="D141" i="23"/>
  <c r="D137" i="23"/>
  <c r="J134" i="23"/>
  <c r="I134" i="23"/>
  <c r="H134" i="23"/>
  <c r="E134" i="23"/>
  <c r="D134" i="23"/>
  <c r="C134" i="23"/>
  <c r="B134" i="23"/>
  <c r="K133" i="23"/>
  <c r="J133" i="23"/>
  <c r="G133" i="23"/>
  <c r="F133" i="23"/>
  <c r="K132" i="23"/>
  <c r="J132" i="23"/>
  <c r="G132" i="23"/>
  <c r="F132" i="23"/>
  <c r="K131" i="23"/>
  <c r="J131" i="23"/>
  <c r="G131" i="23"/>
  <c r="F131" i="23"/>
  <c r="K130" i="23"/>
  <c r="J130" i="23"/>
  <c r="G130" i="23"/>
  <c r="F130" i="23"/>
  <c r="K129" i="23"/>
  <c r="J129" i="23"/>
  <c r="G129" i="23"/>
  <c r="F129" i="23"/>
  <c r="K128" i="23"/>
  <c r="J128" i="23"/>
  <c r="G128" i="23"/>
  <c r="F128" i="23"/>
  <c r="K127" i="23"/>
  <c r="J127" i="23"/>
  <c r="G127" i="23"/>
  <c r="F127" i="23"/>
  <c r="K126" i="23"/>
  <c r="J126" i="23"/>
  <c r="G126" i="23"/>
  <c r="F126" i="23"/>
  <c r="K125" i="23"/>
  <c r="J125" i="23"/>
  <c r="G125" i="23"/>
  <c r="F125" i="23"/>
  <c r="K124" i="23"/>
  <c r="J124" i="23"/>
  <c r="G124" i="23"/>
  <c r="F124" i="23"/>
  <c r="K123" i="23"/>
  <c r="K134" i="23" s="1"/>
  <c r="J123" i="23"/>
  <c r="G123" i="23"/>
  <c r="G134" i="23" s="1"/>
  <c r="F123" i="23"/>
  <c r="F134" i="23" s="1"/>
  <c r="G119" i="23"/>
  <c r="F119" i="23"/>
  <c r="E119" i="23"/>
  <c r="D119" i="23"/>
  <c r="C119" i="23"/>
  <c r="B119" i="23"/>
  <c r="J118" i="23"/>
  <c r="I118" i="23"/>
  <c r="H118" i="23"/>
  <c r="J117" i="23"/>
  <c r="I117" i="23"/>
  <c r="H117" i="23"/>
  <c r="J116" i="23"/>
  <c r="I116" i="23"/>
  <c r="H116" i="23"/>
  <c r="J115" i="23"/>
  <c r="I115" i="23"/>
  <c r="H115" i="23"/>
  <c r="J114" i="23"/>
  <c r="I114" i="23"/>
  <c r="H114" i="23"/>
  <c r="J113" i="23"/>
  <c r="I113" i="23"/>
  <c r="H113" i="23"/>
  <c r="J112" i="23"/>
  <c r="I112" i="23"/>
  <c r="H112" i="23"/>
  <c r="J111" i="23"/>
  <c r="I111" i="23"/>
  <c r="H111" i="23"/>
  <c r="J110" i="23"/>
  <c r="I110" i="23"/>
  <c r="H110" i="23"/>
  <c r="J109" i="23"/>
  <c r="I109" i="23"/>
  <c r="H109" i="23"/>
  <c r="J108" i="23"/>
  <c r="I108" i="23"/>
  <c r="H108" i="23"/>
  <c r="J107" i="23"/>
  <c r="I107" i="23"/>
  <c r="H107" i="23"/>
  <c r="J106" i="23"/>
  <c r="I106" i="23"/>
  <c r="H106" i="23"/>
  <c r="J105" i="23"/>
  <c r="I105" i="23"/>
  <c r="H105" i="23"/>
  <c r="J104" i="23"/>
  <c r="I104" i="23"/>
  <c r="H104" i="23"/>
  <c r="J103" i="23"/>
  <c r="I103" i="23"/>
  <c r="H103" i="23"/>
  <c r="J102" i="23"/>
  <c r="I102" i="23"/>
  <c r="H102" i="23"/>
  <c r="J101" i="23"/>
  <c r="I101" i="23"/>
  <c r="H101" i="23"/>
  <c r="H100" i="23"/>
  <c r="J99" i="23"/>
  <c r="J119" i="23" s="1"/>
  <c r="I99" i="23"/>
  <c r="I119" i="23" s="1"/>
  <c r="H99" i="23"/>
  <c r="H119" i="23" s="1"/>
  <c r="C94" i="23"/>
  <c r="B94" i="23"/>
  <c r="D93" i="23"/>
  <c r="D92" i="23"/>
  <c r="D91" i="23"/>
  <c r="D90" i="23"/>
  <c r="D89" i="23"/>
  <c r="D88" i="23"/>
  <c r="D87" i="23"/>
  <c r="D86" i="23"/>
  <c r="D85" i="23"/>
  <c r="D84" i="23"/>
  <c r="D83" i="23"/>
  <c r="D94" i="23" s="1"/>
  <c r="D82" i="23"/>
  <c r="D79" i="23"/>
  <c r="E76" i="23"/>
  <c r="D76" i="23"/>
  <c r="C76" i="23"/>
  <c r="B76" i="23"/>
  <c r="G75" i="23"/>
  <c r="F75" i="23"/>
  <c r="G74" i="23"/>
  <c r="F74" i="23"/>
  <c r="G73" i="23"/>
  <c r="F73" i="23"/>
  <c r="G72" i="23"/>
  <c r="F72" i="23"/>
  <c r="G71" i="23"/>
  <c r="F71" i="23"/>
  <c r="G70" i="23"/>
  <c r="F70" i="23"/>
  <c r="G69" i="23"/>
  <c r="F69" i="23"/>
  <c r="G68" i="23"/>
  <c r="F68" i="23"/>
  <c r="G67" i="23"/>
  <c r="F67" i="23"/>
  <c r="G66" i="23"/>
  <c r="F66" i="23"/>
  <c r="G65" i="23"/>
  <c r="F65" i="23"/>
  <c r="G64" i="23"/>
  <c r="F64" i="23"/>
  <c r="G63" i="23"/>
  <c r="F63" i="23"/>
  <c r="G62" i="23"/>
  <c r="F62" i="23"/>
  <c r="G61" i="23"/>
  <c r="F61" i="23"/>
  <c r="G60" i="23"/>
  <c r="F60" i="23"/>
  <c r="G59" i="23"/>
  <c r="F59" i="23"/>
  <c r="G58" i="23"/>
  <c r="F58" i="23"/>
  <c r="G57" i="23"/>
  <c r="F57" i="23"/>
  <c r="G56" i="23"/>
  <c r="G76" i="23" s="1"/>
  <c r="F56" i="23"/>
  <c r="F76" i="23" s="1"/>
  <c r="G55" i="23"/>
  <c r="F55" i="23"/>
  <c r="D51" i="23"/>
  <c r="D48" i="23"/>
  <c r="F45" i="23"/>
  <c r="D45" i="23"/>
  <c r="F44" i="23"/>
  <c r="D44" i="23"/>
  <c r="C41" i="23"/>
  <c r="B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41" i="23" s="1"/>
  <c r="C9" i="23"/>
  <c r="B9" i="23"/>
  <c r="D8" i="23"/>
  <c r="D7" i="23"/>
  <c r="D6" i="23"/>
  <c r="D5" i="23"/>
  <c r="D9" i="23" s="1"/>
  <c r="D2" i="23"/>
  <c r="C152" i="22"/>
  <c r="B152" i="22"/>
  <c r="D151" i="22"/>
  <c r="D150" i="22"/>
  <c r="D149" i="22"/>
  <c r="D148" i="22"/>
  <c r="D147" i="22"/>
  <c r="D152" i="22" s="1"/>
  <c r="D144" i="22"/>
  <c r="D143" i="22"/>
  <c r="D142" i="22"/>
  <c r="D141" i="22"/>
  <c r="D137" i="22"/>
  <c r="J134" i="22"/>
  <c r="I134" i="22"/>
  <c r="H134" i="22"/>
  <c r="E134" i="22"/>
  <c r="D134" i="22"/>
  <c r="C134" i="22"/>
  <c r="B134" i="22"/>
  <c r="K133" i="22"/>
  <c r="J133" i="22"/>
  <c r="G133" i="22"/>
  <c r="F133" i="22"/>
  <c r="K132" i="22"/>
  <c r="J132" i="22"/>
  <c r="G132" i="22"/>
  <c r="F132" i="22"/>
  <c r="K131" i="22"/>
  <c r="J131" i="22"/>
  <c r="G131" i="22"/>
  <c r="F131" i="22"/>
  <c r="K130" i="22"/>
  <c r="J130" i="22"/>
  <c r="G130" i="22"/>
  <c r="F130" i="22"/>
  <c r="K129" i="22"/>
  <c r="J129" i="22"/>
  <c r="G129" i="22"/>
  <c r="F129" i="22"/>
  <c r="K128" i="22"/>
  <c r="J128" i="22"/>
  <c r="G128" i="22"/>
  <c r="F128" i="22"/>
  <c r="K127" i="22"/>
  <c r="J127" i="22"/>
  <c r="G127" i="22"/>
  <c r="F127" i="22"/>
  <c r="K126" i="22"/>
  <c r="J126" i="22"/>
  <c r="G126" i="22"/>
  <c r="F126" i="22"/>
  <c r="K125" i="22"/>
  <c r="J125" i="22"/>
  <c r="G125" i="22"/>
  <c r="F125" i="22"/>
  <c r="K124" i="22"/>
  <c r="J124" i="22"/>
  <c r="G124" i="22"/>
  <c r="F124" i="22"/>
  <c r="K123" i="22"/>
  <c r="K134" i="22" s="1"/>
  <c r="J123" i="22"/>
  <c r="G123" i="22"/>
  <c r="G134" i="22" s="1"/>
  <c r="F123" i="22"/>
  <c r="F134" i="22" s="1"/>
  <c r="G119" i="22"/>
  <c r="F119" i="22"/>
  <c r="E119" i="22"/>
  <c r="D119" i="22"/>
  <c r="C119" i="22"/>
  <c r="B119" i="22"/>
  <c r="J118" i="22"/>
  <c r="I118" i="22"/>
  <c r="H118" i="22"/>
  <c r="J117" i="22"/>
  <c r="I117" i="22"/>
  <c r="H117" i="22"/>
  <c r="J116" i="22"/>
  <c r="I116" i="22"/>
  <c r="H116" i="22"/>
  <c r="J115" i="22"/>
  <c r="I115" i="22"/>
  <c r="H115" i="22"/>
  <c r="J114" i="22"/>
  <c r="I114" i="22"/>
  <c r="H114" i="22"/>
  <c r="J113" i="22"/>
  <c r="I113" i="22"/>
  <c r="H113" i="22"/>
  <c r="J112" i="22"/>
  <c r="I112" i="22"/>
  <c r="H112" i="22"/>
  <c r="J111" i="22"/>
  <c r="I111" i="22"/>
  <c r="H111" i="22"/>
  <c r="J110" i="22"/>
  <c r="I110" i="22"/>
  <c r="H110" i="22"/>
  <c r="J109" i="22"/>
  <c r="I109" i="22"/>
  <c r="H109" i="22"/>
  <c r="J108" i="22"/>
  <c r="I108" i="22"/>
  <c r="H108" i="22"/>
  <c r="J107" i="22"/>
  <c r="I107" i="22"/>
  <c r="H107" i="22"/>
  <c r="J106" i="22"/>
  <c r="I106" i="22"/>
  <c r="H106" i="22"/>
  <c r="J105" i="22"/>
  <c r="I105" i="22"/>
  <c r="H105" i="22"/>
  <c r="J104" i="22"/>
  <c r="I104" i="22"/>
  <c r="H104" i="22"/>
  <c r="J103" i="22"/>
  <c r="I103" i="22"/>
  <c r="H103" i="22"/>
  <c r="J102" i="22"/>
  <c r="I102" i="22"/>
  <c r="H102" i="22"/>
  <c r="J101" i="22"/>
  <c r="I101" i="22"/>
  <c r="H101" i="22"/>
  <c r="H100" i="22"/>
  <c r="J99" i="22"/>
  <c r="J119" i="22" s="1"/>
  <c r="I99" i="22"/>
  <c r="I119" i="22" s="1"/>
  <c r="H99" i="22"/>
  <c r="H119" i="22" s="1"/>
  <c r="C94" i="22"/>
  <c r="B94" i="22"/>
  <c r="D93" i="22"/>
  <c r="D92" i="22"/>
  <c r="D91" i="22"/>
  <c r="D90" i="22"/>
  <c r="D89" i="22"/>
  <c r="D88" i="22"/>
  <c r="D87" i="22"/>
  <c r="D86" i="22"/>
  <c r="D85" i="22"/>
  <c r="D84" i="22"/>
  <c r="D83" i="22"/>
  <c r="D94" i="22" s="1"/>
  <c r="D82" i="22"/>
  <c r="D79" i="22"/>
  <c r="E76" i="22"/>
  <c r="D76" i="22"/>
  <c r="C76" i="22"/>
  <c r="B76" i="22"/>
  <c r="G75" i="22"/>
  <c r="F75" i="22"/>
  <c r="G74" i="22"/>
  <c r="F74" i="22"/>
  <c r="G73" i="22"/>
  <c r="F73" i="22"/>
  <c r="G72" i="22"/>
  <c r="F72" i="22"/>
  <c r="G71" i="22"/>
  <c r="F71" i="22"/>
  <c r="G70" i="22"/>
  <c r="F70" i="22"/>
  <c r="G69" i="22"/>
  <c r="F69" i="22"/>
  <c r="G68" i="22"/>
  <c r="F68" i="22"/>
  <c r="G67" i="22"/>
  <c r="F67" i="22"/>
  <c r="G66" i="22"/>
  <c r="F66" i="22"/>
  <c r="G65" i="22"/>
  <c r="F65" i="22"/>
  <c r="G64" i="22"/>
  <c r="F64" i="22"/>
  <c r="G63" i="22"/>
  <c r="F63" i="22"/>
  <c r="G62" i="22"/>
  <c r="F62" i="22"/>
  <c r="G61" i="22"/>
  <c r="F61" i="22"/>
  <c r="G60" i="22"/>
  <c r="F60" i="22"/>
  <c r="G59" i="22"/>
  <c r="F59" i="22"/>
  <c r="G58" i="22"/>
  <c r="F58" i="22"/>
  <c r="G57" i="22"/>
  <c r="F57" i="22"/>
  <c r="G56" i="22"/>
  <c r="G76" i="22" s="1"/>
  <c r="F56" i="22"/>
  <c r="F76" i="22" s="1"/>
  <c r="G55" i="22"/>
  <c r="F55" i="22"/>
  <c r="D51" i="22"/>
  <c r="D48" i="22"/>
  <c r="F45" i="22"/>
  <c r="D45" i="22"/>
  <c r="F44" i="22"/>
  <c r="D44" i="22"/>
  <c r="C41" i="22"/>
  <c r="B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41" i="22" s="1"/>
  <c r="C9" i="22"/>
  <c r="B9" i="22"/>
  <c r="D8" i="22"/>
  <c r="D7" i="22"/>
  <c r="D6" i="22"/>
  <c r="D5" i="22"/>
  <c r="D9" i="22" s="1"/>
  <c r="D2" i="22"/>
  <c r="F45" i="19" l="1"/>
  <c r="C152" i="19" l="1"/>
  <c r="B152" i="19"/>
  <c r="D151" i="19"/>
  <c r="D150" i="19"/>
  <c r="D149" i="19"/>
  <c r="D148" i="19"/>
  <c r="D147" i="19"/>
  <c r="D144" i="19"/>
  <c r="D143" i="19"/>
  <c r="D142" i="19"/>
  <c r="D141" i="19"/>
  <c r="D137" i="19"/>
  <c r="I134" i="19"/>
  <c r="H134" i="19"/>
  <c r="E134" i="19"/>
  <c r="D134" i="19"/>
  <c r="C134" i="19"/>
  <c r="B134" i="19"/>
  <c r="K133" i="19"/>
  <c r="J133" i="19"/>
  <c r="G133" i="19"/>
  <c r="F133" i="19"/>
  <c r="K132" i="19"/>
  <c r="J132" i="19"/>
  <c r="G132" i="19"/>
  <c r="F132" i="19"/>
  <c r="K131" i="19"/>
  <c r="J131" i="19"/>
  <c r="G131" i="19"/>
  <c r="F131" i="19"/>
  <c r="K130" i="19"/>
  <c r="J130" i="19"/>
  <c r="G130" i="19"/>
  <c r="F130" i="19"/>
  <c r="K129" i="19"/>
  <c r="J129" i="19"/>
  <c r="G129" i="19"/>
  <c r="F129" i="19"/>
  <c r="K128" i="19"/>
  <c r="J128" i="19"/>
  <c r="G128" i="19"/>
  <c r="F128" i="19"/>
  <c r="K127" i="19"/>
  <c r="J127" i="19"/>
  <c r="G127" i="19"/>
  <c r="F127" i="19"/>
  <c r="K126" i="19"/>
  <c r="J126" i="19"/>
  <c r="G126" i="19"/>
  <c r="F126" i="19"/>
  <c r="K125" i="19"/>
  <c r="J125" i="19"/>
  <c r="G125" i="19"/>
  <c r="F125" i="19"/>
  <c r="K124" i="19"/>
  <c r="J124" i="19"/>
  <c r="G124" i="19"/>
  <c r="F124" i="19"/>
  <c r="K123" i="19"/>
  <c r="J123" i="19"/>
  <c r="G123" i="19"/>
  <c r="F123" i="19"/>
  <c r="G119" i="19"/>
  <c r="F119" i="19"/>
  <c r="E119" i="19"/>
  <c r="D119" i="19"/>
  <c r="C119" i="19"/>
  <c r="B119" i="19"/>
  <c r="J118" i="19"/>
  <c r="I118" i="19"/>
  <c r="H118" i="19"/>
  <c r="J117" i="19"/>
  <c r="I117" i="19"/>
  <c r="H117" i="19"/>
  <c r="J116" i="19"/>
  <c r="I116" i="19"/>
  <c r="H116" i="19"/>
  <c r="J115" i="19"/>
  <c r="I115" i="19"/>
  <c r="H115" i="19"/>
  <c r="J114" i="19"/>
  <c r="I114" i="19"/>
  <c r="H114" i="19"/>
  <c r="J113" i="19"/>
  <c r="I113" i="19"/>
  <c r="H113" i="19"/>
  <c r="J112" i="19"/>
  <c r="I112" i="19"/>
  <c r="H112" i="19"/>
  <c r="J111" i="19"/>
  <c r="I111" i="19"/>
  <c r="H111" i="19"/>
  <c r="J110" i="19"/>
  <c r="I110" i="19"/>
  <c r="H110" i="19"/>
  <c r="J109" i="19"/>
  <c r="I109" i="19"/>
  <c r="H109" i="19"/>
  <c r="J108" i="19"/>
  <c r="I108" i="19"/>
  <c r="H108" i="19"/>
  <c r="J107" i="19"/>
  <c r="I107" i="19"/>
  <c r="H107" i="19"/>
  <c r="J106" i="19"/>
  <c r="I106" i="19"/>
  <c r="H106" i="19"/>
  <c r="J105" i="19"/>
  <c r="I105" i="19"/>
  <c r="H105" i="19"/>
  <c r="J104" i="19"/>
  <c r="I104" i="19"/>
  <c r="H104" i="19"/>
  <c r="J103" i="19"/>
  <c r="I103" i="19"/>
  <c r="H103" i="19"/>
  <c r="J102" i="19"/>
  <c r="I102" i="19"/>
  <c r="H102" i="19"/>
  <c r="J101" i="19"/>
  <c r="I101" i="19"/>
  <c r="H101" i="19"/>
  <c r="H100" i="19"/>
  <c r="J99" i="19"/>
  <c r="I99" i="19"/>
  <c r="H99" i="19"/>
  <c r="C94" i="19"/>
  <c r="B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79" i="19"/>
  <c r="E76" i="19"/>
  <c r="D76" i="19"/>
  <c r="C76" i="19"/>
  <c r="B76" i="19"/>
  <c r="G75" i="19"/>
  <c r="F75" i="19"/>
  <c r="G74" i="19"/>
  <c r="F74" i="19"/>
  <c r="G73" i="19"/>
  <c r="F73" i="19"/>
  <c r="G72" i="19"/>
  <c r="F72" i="19"/>
  <c r="G71" i="19"/>
  <c r="F71" i="19"/>
  <c r="G70" i="19"/>
  <c r="F70" i="19"/>
  <c r="G69" i="19"/>
  <c r="F69" i="19"/>
  <c r="G68" i="19"/>
  <c r="F68" i="19"/>
  <c r="G67" i="19"/>
  <c r="F67" i="19"/>
  <c r="G66" i="19"/>
  <c r="F66" i="19"/>
  <c r="G65" i="19"/>
  <c r="F65" i="19"/>
  <c r="G64" i="19"/>
  <c r="F64" i="19"/>
  <c r="G63" i="19"/>
  <c r="F63" i="19"/>
  <c r="G62" i="19"/>
  <c r="F62" i="19"/>
  <c r="G61" i="19"/>
  <c r="F61" i="19"/>
  <c r="G60" i="19"/>
  <c r="F60" i="19"/>
  <c r="G59" i="19"/>
  <c r="F59" i="19"/>
  <c r="G58" i="19"/>
  <c r="F58" i="19"/>
  <c r="G57" i="19"/>
  <c r="F57" i="19"/>
  <c r="G56" i="19"/>
  <c r="F56" i="19"/>
  <c r="G55" i="19"/>
  <c r="F55" i="19"/>
  <c r="D51" i="19"/>
  <c r="D48" i="19"/>
  <c r="D45" i="19"/>
  <c r="F44" i="19"/>
  <c r="D44" i="19"/>
  <c r="C41" i="19"/>
  <c r="B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C9" i="19"/>
  <c r="B9" i="19"/>
  <c r="D8" i="19"/>
  <c r="D7" i="19"/>
  <c r="D6" i="19"/>
  <c r="D5" i="19"/>
  <c r="D2" i="19"/>
  <c r="G134" i="19" l="1"/>
  <c r="K134" i="19"/>
  <c r="J134" i="19"/>
  <c r="F134" i="19"/>
  <c r="J119" i="19"/>
  <c r="D94" i="19"/>
  <c r="D41" i="19"/>
  <c r="D152" i="19"/>
  <c r="I119" i="19"/>
  <c r="H119" i="19"/>
  <c r="G76" i="19"/>
  <c r="F76" i="19"/>
  <c r="D9" i="19"/>
  <c r="D18" i="13"/>
  <c r="E18" i="13"/>
  <c r="F18" i="13"/>
  <c r="D28" i="13"/>
  <c r="E28" i="13"/>
  <c r="F28" i="13"/>
  <c r="D33" i="13"/>
  <c r="E33" i="13"/>
  <c r="F33" i="13"/>
  <c r="D35" i="13"/>
  <c r="E35" i="13"/>
  <c r="F35" i="13"/>
  <c r="D36" i="13"/>
  <c r="E36" i="13"/>
  <c r="F36" i="13"/>
  <c r="D37" i="13"/>
  <c r="E37" i="13"/>
  <c r="F37" i="13"/>
  <c r="D43" i="13"/>
  <c r="E43" i="13"/>
  <c r="F43" i="13"/>
  <c r="D44" i="13"/>
  <c r="E44" i="13"/>
  <c r="F44" i="13"/>
  <c r="D45" i="13"/>
  <c r="E45" i="13"/>
  <c r="F45" i="13"/>
  <c r="D46" i="13"/>
  <c r="E46" i="13"/>
  <c r="F46" i="13"/>
  <c r="D76" i="13"/>
  <c r="E76" i="13"/>
  <c r="F76" i="13"/>
  <c r="C76" i="13"/>
  <c r="C46" i="13"/>
  <c r="C45" i="13"/>
  <c r="C44" i="13"/>
  <c r="C43" i="13"/>
  <c r="C37" i="13"/>
  <c r="C36" i="13"/>
  <c r="C35" i="13"/>
  <c r="C33" i="13"/>
  <c r="C28" i="13"/>
  <c r="C18" i="13"/>
</calcChain>
</file>

<file path=xl/sharedStrings.xml><?xml version="1.0" encoding="utf-8"?>
<sst xmlns="http://schemas.openxmlformats.org/spreadsheetml/2006/main" count="1225" uniqueCount="490">
  <si>
    <t>System</t>
  </si>
  <si>
    <t>Task</t>
  </si>
  <si>
    <t>Action</t>
  </si>
  <si>
    <t>Set migration date</t>
  </si>
  <si>
    <t>ICON</t>
  </si>
  <si>
    <t>Review outstanding incidents for branch</t>
  </si>
  <si>
    <t>N/A</t>
  </si>
  <si>
    <t>Confirm branch actions complete</t>
  </si>
  <si>
    <t xml:space="preserve">Mark branch as ICON trading branch </t>
  </si>
  <si>
    <t>Check EOD for errors</t>
  </si>
  <si>
    <t>Verify site are trading successfully</t>
  </si>
  <si>
    <t>Enable Inter-branch trading</t>
  </si>
  <si>
    <t>Update IBT supplier account</t>
  </si>
  <si>
    <t>Add Branch to switcher</t>
  </si>
  <si>
    <t>Y</t>
  </si>
  <si>
    <t>N</t>
  </si>
  <si>
    <t>Tally</t>
  </si>
  <si>
    <t>S</t>
  </si>
  <si>
    <t>CR</t>
  </si>
  <si>
    <t>QT</t>
  </si>
  <si>
    <t>SL</t>
  </si>
  <si>
    <t>A</t>
  </si>
  <si>
    <t>C</t>
  </si>
  <si>
    <t>D</t>
  </si>
  <si>
    <t>M</t>
  </si>
  <si>
    <t>X</t>
  </si>
  <si>
    <t>p</t>
  </si>
  <si>
    <t>I</t>
  </si>
  <si>
    <t>Total</t>
  </si>
  <si>
    <t>O</t>
  </si>
  <si>
    <t>P</t>
  </si>
  <si>
    <t>R</t>
  </si>
  <si>
    <t>T</t>
  </si>
  <si>
    <t>W</t>
  </si>
  <si>
    <t>Diff</t>
  </si>
  <si>
    <t>No of Products</t>
  </si>
  <si>
    <t>Stock Value</t>
  </si>
  <si>
    <t>No extracted</t>
  </si>
  <si>
    <t>V</t>
  </si>
  <si>
    <t>Orders</t>
  </si>
  <si>
    <t>Value</t>
  </si>
  <si>
    <t xml:space="preserve">Orders </t>
  </si>
  <si>
    <t>No of records</t>
  </si>
  <si>
    <t>No of lines</t>
  </si>
  <si>
    <t xml:space="preserve">Goods </t>
  </si>
  <si>
    <t>VAT</t>
  </si>
  <si>
    <t>Adv Goods</t>
  </si>
  <si>
    <t>Adv VAT</t>
  </si>
  <si>
    <t>Future 1</t>
  </si>
  <si>
    <t>Future 2</t>
  </si>
  <si>
    <t>Future 3</t>
  </si>
  <si>
    <t>Transit</t>
  </si>
  <si>
    <t>Committed</t>
  </si>
  <si>
    <t>Count</t>
  </si>
  <si>
    <t>Goods</t>
  </si>
  <si>
    <t xml:space="preserve">VAT </t>
  </si>
  <si>
    <t>Deposit Left</t>
  </si>
  <si>
    <t>No of Orders</t>
  </si>
  <si>
    <t>Do not complete</t>
  </si>
  <si>
    <t>B</t>
  </si>
  <si>
    <t>PF History Count</t>
  </si>
  <si>
    <t>Email deposit values to Martin Lamperd &amp; CC Tony Davies</t>
  </si>
  <si>
    <t>Brother Printers created</t>
  </si>
  <si>
    <t>MFP created</t>
  </si>
  <si>
    <t>Cash Drawer spooler created</t>
  </si>
  <si>
    <t>GL Tills created (Inc bank types if required)</t>
  </si>
  <si>
    <t>EFT Central Config</t>
  </si>
  <si>
    <t>EFT Branch Config</t>
  </si>
  <si>
    <t>Device Data loaded</t>
  </si>
  <si>
    <t>Week -1</t>
  </si>
  <si>
    <t>Day -1</t>
  </si>
  <si>
    <t>Disable Inter-branch trading</t>
  </si>
  <si>
    <t>Day 0</t>
  </si>
  <si>
    <t>Branch Build (inc DX update)</t>
  </si>
  <si>
    <t>Confirm no EOD invoicing issues</t>
  </si>
  <si>
    <t>Confirm no EOD PIM issues</t>
  </si>
  <si>
    <t>HX Centre</t>
  </si>
  <si>
    <t>Allocate branch to Conversion Analyst</t>
  </si>
  <si>
    <t>HX Cluster</t>
  </si>
  <si>
    <t>Is this a Tool Hire branch?</t>
  </si>
  <si>
    <t>Group 1 - Import data complete</t>
  </si>
  <si>
    <t>Group 2 - Convert branch master date complete</t>
  </si>
  <si>
    <t>Group 3 - Convert transactions complete</t>
  </si>
  <si>
    <t>Group 4 - Branch update &amp; rebuilds complete</t>
  </si>
  <si>
    <t>Day 1</t>
  </si>
  <si>
    <t>JEWSON</t>
  </si>
  <si>
    <t>HX to ICON Conversion</t>
  </si>
  <si>
    <t>HX Conversion steps complete</t>
  </si>
  <si>
    <t>Latest single supplier delivery days SUPPDELDAYS.csv file copied to /k8data/ICON/DX/general/minordata</t>
  </si>
  <si>
    <t>PPI update .csv files copied to /k8data/ICON/DX/general/minordata (Filename format = bbbb_PPI.csv)</t>
  </si>
  <si>
    <t xml:space="preserve">Purchase orders tally details report </t>
  </si>
  <si>
    <t>Special Products (BR/pqery extraction )</t>
  </si>
  <si>
    <t>Additional extract CUSTOMER (BR)</t>
  </si>
  <si>
    <t>Additional extract SUPPLIER (BR)</t>
  </si>
  <si>
    <t>Additional extract STOCK (BR)</t>
  </si>
  <si>
    <t>Purchase lines by order type report</t>
  </si>
  <si>
    <t xml:space="preserve">Sales orders by order type report </t>
  </si>
  <si>
    <t xml:space="preserve">Deposits by order category report </t>
  </si>
  <si>
    <t xml:space="preserve">Sales order lines by order status report </t>
  </si>
  <si>
    <t xml:space="preserve">Sales orders tally report </t>
  </si>
  <si>
    <t>E</t>
  </si>
  <si>
    <t>F</t>
  </si>
  <si>
    <t>G</t>
  </si>
  <si>
    <t>H</t>
  </si>
  <si>
    <t>U</t>
  </si>
  <si>
    <t>Z</t>
  </si>
  <si>
    <t>h</t>
  </si>
  <si>
    <t>n</t>
  </si>
  <si>
    <t>o</t>
  </si>
  <si>
    <t>r</t>
  </si>
  <si>
    <t>K</t>
  </si>
  <si>
    <t>L</t>
  </si>
  <si>
    <t>BI</t>
  </si>
  <si>
    <t>BO</t>
  </si>
  <si>
    <t>BT</t>
  </si>
  <si>
    <t>TC</t>
  </si>
  <si>
    <t>TD</t>
  </si>
  <si>
    <t>TH</t>
  </si>
  <si>
    <t>TR</t>
  </si>
  <si>
    <t>TW</t>
  </si>
  <si>
    <t>WO</t>
  </si>
  <si>
    <t>t</t>
  </si>
  <si>
    <t>c</t>
  </si>
  <si>
    <t>d</t>
  </si>
  <si>
    <t>Move branches into correct structural position</t>
  </si>
  <si>
    <t xml:space="preserve">ICON </t>
  </si>
  <si>
    <t>Branch 1</t>
  </si>
  <si>
    <t>Toolhire Only - Invoicing &amp; transactional data tasks</t>
  </si>
  <si>
    <t>Update Terminal default row</t>
  </si>
  <si>
    <t>Conversion date - ##/##/####</t>
  </si>
  <si>
    <t>Toolhire Only - Confirm Tool hire ceased trading</t>
  </si>
  <si>
    <t>Toolhire Only - User updates</t>
  </si>
  <si>
    <t>Conversion Home workplace &gt; Conversion Tools &gt; Terminal Defaults &gt; View &gt; Default Values:
Till receipt requried = ticked
EFT Product to use = EFTLG03
EFT server = Select PED1 for the branch
Customer message = ticked
Supplier message = ticked
Operator login method = PAM Authentication</t>
  </si>
  <si>
    <t>Conversion week - Jewson Week #</t>
  </si>
  <si>
    <t>COMMS</t>
  </si>
  <si>
    <t>Send Comms - Toolhire Branch Starting</t>
  </si>
  <si>
    <t>Add Toolhire conversion branches to CONV_TH branch group</t>
  </si>
  <si>
    <t>Toolhire Only - Confirm all toolhire interface files loaded successfully</t>
  </si>
  <si>
    <t>Confirm cease of trading/users logged off</t>
  </si>
  <si>
    <t>Send Comms - HX Branch Starting</t>
  </si>
  <si>
    <t>Add branch to relevant conversion branch group</t>
  </si>
  <si>
    <t>Tool Hire only pre reconciliation reports run</t>
  </si>
  <si>
    <t>Updated Terminal defaults - Default row</t>
  </si>
  <si>
    <t>Load device data sheets for TH branches</t>
  </si>
  <si>
    <t>Send Comms - HX Steps Complete</t>
  </si>
  <si>
    <t>HX Reconciliation values checked</t>
  </si>
  <si>
    <t>Master Data Reconciled</t>
  </si>
  <si>
    <t>Notify Trainers to leave site if no major issues in Group 3</t>
  </si>
  <si>
    <t>Transactional data reconciled</t>
  </si>
  <si>
    <t>Send Comms - Sales Order Import Complete (include issues of note)</t>
  </si>
  <si>
    <t>TEMPTASK</t>
  </si>
  <si>
    <t xml:space="preserve">GI Advances Correction DX run &amp; checked (Run from Conversions Issue Tasks Group - Conversions GI advances corrections) </t>
  </si>
  <si>
    <t>Run Create DM lines (Run from Conversions Issue Tasks Group)</t>
  </si>
  <si>
    <t>Manual order saves completed (Run from Conversions Issue Tasks Group - Un-saved orders)</t>
  </si>
  <si>
    <t>Review of GI advances completed (Run from Conversions Issue Tasks Group - Conversions GI advances)</t>
  </si>
  <si>
    <t>GI advance extract run to mark spurious entries as skipped (Run from Conversions Issue Tasks Group - Advance Extract)</t>
  </si>
  <si>
    <t>Spoolers cleared of spurious cash invoices</t>
  </si>
  <si>
    <t>Process order progress codes updated re customer debt allocation (Manually run SO_CONVWORKSCORR)</t>
  </si>
  <si>
    <t>Customer debt reconciled</t>
  </si>
  <si>
    <t xml:space="preserve">Post Group 4 -Restrict access to branch </t>
  </si>
  <si>
    <t>Send Comms - Debt Reconciliation Complete (include issues of note)</t>
  </si>
  <si>
    <t>Pre group 5 - Mark branch as fully active</t>
  </si>
  <si>
    <t>Group 5 - Update of branch groups &amp; manager restarts etc complete</t>
  </si>
  <si>
    <t>Send Comms - Conversion Complete</t>
  </si>
  <si>
    <t>Group 6 - Log file imports &amp; conversions</t>
  </si>
  <si>
    <t>Group 6 - Log files reconciled</t>
  </si>
  <si>
    <t>Branch 2</t>
  </si>
  <si>
    <t>Branch 3</t>
  </si>
  <si>
    <t>Branch 4</t>
  </si>
  <si>
    <t>ICON Conversion Steps</t>
  </si>
  <si>
    <t>Order Type</t>
  </si>
  <si>
    <t>Supplier</t>
  </si>
  <si>
    <t>Supplier Type</t>
  </si>
  <si>
    <t>Lines</t>
  </si>
  <si>
    <t>Reason</t>
  </si>
  <si>
    <t>Action Taken</t>
  </si>
  <si>
    <t xml:space="preserve">Linked SO </t>
  </si>
  <si>
    <t>PO No.</t>
  </si>
  <si>
    <t>NO LONGER REQUIRED</t>
  </si>
  <si>
    <t>Order no</t>
  </si>
  <si>
    <t xml:space="preserve">Account </t>
  </si>
  <si>
    <t>Acc Type</t>
  </si>
  <si>
    <t>Line status</t>
  </si>
  <si>
    <t>Total line val</t>
  </si>
  <si>
    <t>Notification actioned</t>
  </si>
  <si>
    <t>Notification Cleared</t>
  </si>
  <si>
    <t>Type</t>
  </si>
  <si>
    <t>Order Cat</t>
  </si>
  <si>
    <t>Del Meth</t>
  </si>
  <si>
    <t>Total Advance</t>
  </si>
  <si>
    <t>Part No</t>
  </si>
  <si>
    <t>K8.07</t>
  </si>
  <si>
    <t>Post Rebuild</t>
  </si>
  <si>
    <t>PF History (Forecasting)</t>
  </si>
  <si>
    <t>GI Advances check</t>
  </si>
  <si>
    <t xml:space="preserve">Value </t>
  </si>
  <si>
    <t>Log &amp; Archives</t>
  </si>
  <si>
    <t>PC Logfile</t>
  </si>
  <si>
    <t>SO Logfile</t>
  </si>
  <si>
    <t>BR history</t>
  </si>
  <si>
    <t>BR archive</t>
  </si>
  <si>
    <t>K807 Migration Steps</t>
  </si>
  <si>
    <t>Add branches to company list</t>
  </si>
  <si>
    <t>System Utilities &gt; System Agent &gt; Agent Scheduler &gt; Companies &gt; GDCONV &gt; Add/remove relevant branches</t>
  </si>
  <si>
    <t>Reconfigure agent to ensure company list changes take effect</t>
  </si>
  <si>
    <t>System Utilities &gt; System Agent &gt; Agent Controller &gt; Reconfigure</t>
  </si>
  <si>
    <t>System Utilities &gt; System Agent &gt; Agent Controller &gt; Schedule &gt; G&amp;D Pre Conversion Checks &gt; right click &gt; Run &gt; Daily</t>
  </si>
  <si>
    <t>Confirm all pre conversion tasks have been completed fully</t>
  </si>
  <si>
    <t>Check output reports from previous step</t>
  </si>
  <si>
    <t>Migration Tasks</t>
  </si>
  <si>
    <t>Sunday Morning</t>
  </si>
  <si>
    <t>Run K8.07 G&amp;D Conversion Reconciliations</t>
  </si>
  <si>
    <t>Complete K8.07 G&amp;D Conversion Reconciliations</t>
  </si>
  <si>
    <t>System Utilities &gt; System Agent &gt; Agent Controller &gt; Schedule &gt; G&amp;D Conversion reconciliations &gt; right click &gt; Run &gt; Daily</t>
  </si>
  <si>
    <t>Fill recci sheet in from reports generated by previous task</t>
  </si>
  <si>
    <t>ICON Pre Conversion Steps</t>
  </si>
  <si>
    <t>Checklist</t>
  </si>
  <si>
    <t xml:space="preserve">N/A </t>
  </si>
  <si>
    <t xml:space="preserve">Saturday afternoon - post trading </t>
  </si>
  <si>
    <t>Cash drawers created</t>
  </si>
  <si>
    <t>GL tills &amp; relevant banking types created</t>
  </si>
  <si>
    <t>Central &amp; branch EFT config completed</t>
  </si>
  <si>
    <t>Device data sheets loaded</t>
  </si>
  <si>
    <t>Branches added to ICON conversion branch group</t>
  </si>
  <si>
    <t>Branches built &amp; post branch build DX run</t>
  </si>
  <si>
    <t>Migration date set</t>
  </si>
  <si>
    <t xml:space="preserve">Saturday afternoon - pre end of trading </t>
  </si>
  <si>
    <t>Check partition status for user logins</t>
  </si>
  <si>
    <t>PPI update .csv files loaded to server</t>
  </si>
  <si>
    <t>Copied to /k8data/ICON/DX/general/minordata (Filename format = bbbb_PPI.csv)</t>
  </si>
  <si>
    <t>Copied to /k8data/ICON/DX/general/minordata</t>
  </si>
  <si>
    <t>Latest single supplier delivery days SUPPDELDAYS.csv file loaded to server</t>
  </si>
  <si>
    <t>Check ServiceNow</t>
  </si>
  <si>
    <t>Check HX EOD logs</t>
  </si>
  <si>
    <t>Check K8.07 EOD logs</t>
  </si>
  <si>
    <t>Conversion Home workplace &gt; Conversion Tools &gt; Set Migration Date &gt; Enter branch number &amp; Day 0 date</t>
  </si>
  <si>
    <t>Conversion Home workplace &gt; Conversion Tools &gt; Branch Groups &gt; Enter branch group code and add/remove relevant branch numbers</t>
  </si>
  <si>
    <t>Prepare conversion script</t>
  </si>
  <si>
    <t>Check preparation of script successful</t>
  </si>
  <si>
    <t>Upon clicking ok to prepare the script above logs will be written - check that there are no errors that will affect tomorrows conversion!
NOTE any errors if decision is taken to continue</t>
  </si>
  <si>
    <t>Run Upgrade option</t>
  </si>
  <si>
    <t>Refer to Upgrade instructions</t>
  </si>
  <si>
    <t>System Utilities &gt; Kerridge CS Menu &gt; Database &gt; Upgrade &gt; Prepare System &gt; 
1) Select Upgrade script (Saved in I:\Jewson IT Business Services\IT Project Folder\768 - ICON - Replacement Systems Programme\Conversions\G&amp;D Conversions)
2) TIck "Local copy tables"
3) Set Commit &amp; Progress size to 50000
4) Run for branches = Restricted &amp; Not Active
5) Branch Selection (select red cross to de-select all then tick on relevant branches for conversion)</t>
  </si>
  <si>
    <t>Run Post upgrade actions task group</t>
  </si>
  <si>
    <t>Run post conversion reconciliation tasks</t>
  </si>
  <si>
    <t>Complete &amp; check reconciliations</t>
  </si>
  <si>
    <t>Confirm all tasks run successfully &amp; action any errors</t>
  </si>
  <si>
    <t xml:space="preserve">Reconcile stock </t>
  </si>
  <si>
    <t>Reconcile customer balances</t>
  </si>
  <si>
    <t>Reconcile GI advances</t>
  </si>
  <si>
    <t xml:space="preserve">PO conversions failures </t>
  </si>
  <si>
    <t xml:space="preserve">SO conversions failures </t>
  </si>
  <si>
    <t>MFP's &amp; Brother printers created &amp; sent to integration team</t>
  </si>
  <si>
    <t>Load device data sheets</t>
  </si>
  <si>
    <t>Run K8.07 G&amp;D Pre check reports</t>
  </si>
  <si>
    <t>Lock system (Post last branch closing/3pm)</t>
  </si>
  <si>
    <t>System Utilities &gt; Kerridge CS Menu &gt; Lock system</t>
  </si>
  <si>
    <t>Provide update to agreed Stakeholders (Specifically Datacentre)</t>
  </si>
  <si>
    <t>TBA</t>
  </si>
  <si>
    <t xml:space="preserve">Saturday afternoon - post K8.07 checks </t>
  </si>
  <si>
    <t>Set "Unlock" task in EOD to "On Request"</t>
  </si>
  <si>
    <t>System Utilities &gt; System Agent &gt; Agent Scheduler &gt; Within Overnight Processing group</t>
  </si>
  <si>
    <t>Run K8.07 G&amp;D Pre checks (post EOD)</t>
  </si>
  <si>
    <t>Stop all services</t>
  </si>
  <si>
    <t>System Utilities &gt; System Agent &gt; Agent Controller &gt; For each Class - Right click &gt; Stop All</t>
  </si>
  <si>
    <t>Run final rsync copy</t>
  </si>
  <si>
    <t>TBC</t>
  </si>
  <si>
    <t xml:space="preserve">     Created: 09/10/2019 15:02:29</t>
  </si>
  <si>
    <t xml:space="preserve">      Author: kccl3566637</t>
  </si>
  <si>
    <t xml:space="preserve">     Machine: cuksvhudk8t04</t>
  </si>
  <si>
    <t xml:space="preserve">     Service: FD</t>
  </si>
  <si>
    <t>14:59:43 Starting upgrade GD2019v1.2...</t>
  </si>
  <si>
    <t>14:59:44 [cuksvhudk8t04] Probing for the machine performance monitor...</t>
  </si>
  <si>
    <t>14:59:44 [cuksvhudk8t04] The machine performance monitor was not found, attempting to start it...</t>
  </si>
  <si>
    <t>14:59:44 [cuksvhudk8t04] The machine performance monitor has been started</t>
  </si>
  <si>
    <t>14:59:44 [cuksvhudk8t05] Probing for the machine performance monitor...</t>
  </si>
  <si>
    <t>14:59:44 [cuksvhudk8t05] The machine performance monitor was not found, attempting to start it...</t>
  </si>
  <si>
    <t>14:59:44 [cuksvhudk8t05] The machine performance monitor has been started</t>
  </si>
  <si>
    <t>14:59:44 [cuksvhudk8t04] Attempting to configure the machine performance monitor...</t>
  </si>
  <si>
    <t>14:59:46 [cuksvhudk8t04] The machine performance monitor has been configured</t>
  </si>
  <si>
    <t>14:59:46 [cuksvhudk8t05] Attempting to configure the machine performance monitor...</t>
  </si>
  <si>
    <t>14:59:46 [cuksvhudk8t05] The machine performance monitor has been configured</t>
  </si>
  <si>
    <t>14:59:47 [THREAD01] Successfully spawned</t>
  </si>
  <si>
    <t>14:59:47 [THREAD02] Successfully spawned</t>
  </si>
  <si>
    <t>14:59:47 [THREAD03] Successfully spawned</t>
  </si>
  <si>
    <t>14:59:47 [THREAD04] Successfully spawned</t>
  </si>
  <si>
    <t>14:59:48 [THREAD05] Successfully spawned</t>
  </si>
  <si>
    <t>14:59:48 [THREAD06] Successfully spawned</t>
  </si>
  <si>
    <t>14:59:48 [THREAD07] Successfully spawned</t>
  </si>
  <si>
    <t>14:59:48 [THREAD08] Successfully spawned</t>
  </si>
  <si>
    <t>14:59:48 [THREAD01] The IDENTIFY response has been received</t>
  </si>
  <si>
    <t>14:59:48 [THREAD01] The JOB command has been sent (SH_sites 01)</t>
  </si>
  <si>
    <t>14:59:48 [THREAD03] The IDENTIFY response has been received</t>
  </si>
  <si>
    <t>14:59:48 [THREAD03] The JOB command has been sent (SH_sales 01)</t>
  </si>
  <si>
    <t>14:59:48 [THREAD01] The STARTING response has been received (SH_sites 01)</t>
  </si>
  <si>
    <t>14:59:48 [THREAD03] The STARTING response has been received (SH_sales 01)</t>
  </si>
  <si>
    <t>14:59:48 [THREAD04] The IDENTIFY response has been received</t>
  </si>
  <si>
    <t>14:59:48 [THREAD04] The JOB command has been sent (SH_specials 01)</t>
  </si>
  <si>
    <t>14:59:48 [THREAD04] The STARTING response has been received (SH_specials 01)</t>
  </si>
  <si>
    <t>14:59:49 [THREAD06] The IDENTIFY response has been received</t>
  </si>
  <si>
    <t>14:59:49 [THREAD06] The JOB command has been sent (PF_histy 01)</t>
  </si>
  <si>
    <t>14:59:49 [THREAD06] The STARTING response has been received (PF_histy 01)</t>
  </si>
  <si>
    <t>14:59:49 [THREAD05] The IDENTIFY response has been received</t>
  </si>
  <si>
    <t>14:59:49 [THREAD05] The JOB command has been sent (BR_history 01)</t>
  </si>
  <si>
    <t>14:59:49 [THREAD05] The STARTING response has been received (BR_history 01)</t>
  </si>
  <si>
    <t>14:59:49 [THREAD07] The IDENTIFY response has been received</t>
  </si>
  <si>
    <t>14:59:49 [THREAD07] The JOB command has been sent (PC_logfile 01)</t>
  </si>
  <si>
    <t>14:59:49 [THREAD07] The STARTING response has been received (PC_logfile 01)</t>
  </si>
  <si>
    <t>14:59:49 [THREAD08] The IDENTIFY response has been received</t>
  </si>
  <si>
    <t>14:59:49 [THREAD08] The JOB command has been sent (SO_logfile 01)</t>
  </si>
  <si>
    <t>14:59:49 [THREAD08] The STARTING response has been received (SO_logfile 01)</t>
  </si>
  <si>
    <t>14:59:50 [THREAD06] Copied PF_01_HISTY_3414.kdb to K0E70Z3429M2F0.kdb (74 MB, 1 secs)</t>
  </si>
  <si>
    <t>14:59:51 [THREAD02] The IDENTIFY response has been received</t>
  </si>
  <si>
    <t>14:59:51 [THREAD02] The JOB command has been sent (BR_archive 01)</t>
  </si>
  <si>
    <t>14:59:51 [THREAD02] The STARTING response has been received (BR_archive 01)</t>
  </si>
  <si>
    <t>14:59:52 [THREAD03] Copied SH_01_SALES.kdb to K0E19Z3429LS90.kdb (357 MB, 3 secs)</t>
  </si>
  <si>
    <t>14:59:52 [THREAD08] Copied BR_01_HISTORY_3414.kdb to K0E31Z3429MJ90.kdb (148 MB, 3 secs)</t>
  </si>
  <si>
    <t>14:59:53 [THREAD05] Copied BR_01_HISTORY_3414.kdb to K0EC8Z3429M560.kdb (148 MB, 4 secs)</t>
  </si>
  <si>
    <t>14:59:54 [THREAD07] Copied BR_01_HISTORY_3414.kdb to K0E42Z3429MB00.kdb (148 MB, 5 secs)</t>
  </si>
  <si>
    <t>14:59:57 [THREAD01] Copied SH_01_SITES.kdb to K0EFFZ3429LV30.kdb (413 MB, 8 secs)</t>
  </si>
  <si>
    <t>15:00:00 [THREAD02] Copied BR_01_ARCHIVE_3414.kdb to K0EAEZ3429P4R0.kdb (147 MB, 9 secs)</t>
  </si>
  <si>
    <t>15:00:06 [THREAD04] Copied SH_01_SPECIALS.kdb to K0E17Z3429L-60.kdb (448 MB, 17 secs)</t>
  </si>
  <si>
    <t>15:00:07 [THREAD07] Reads: 30229, Writes: 3261, Duration: 18 secs (PC_logfile 01)</t>
  </si>
  <si>
    <t>15:00:07 [THREAD07] The COMPLETE response has been received (PC_logfile 01)</t>
  </si>
  <si>
    <t>15:00:07 [THREAD07] The JOB command has been sent (BR_custf 01)</t>
  </si>
  <si>
    <t>15:00:07 [THREAD07] The STARTING response has been received (BR_custf 01)</t>
  </si>
  <si>
    <t>15:00:08 [THREAD07] Copied BR_01_CUSTF_3414.kdb to K0E42Z342B50G1.kdb (28 MB, 0 secs)</t>
  </si>
  <si>
    <t>15:00:18 [THREAD03] Reads: 324341, Writes: 6831, Duration: 29 secs (SH_sales 01)</t>
  </si>
  <si>
    <t>15:00:18 [THREAD03] The COMPLETE response has been received (SH_sales 01)</t>
  </si>
  <si>
    <t>15:00:18 [THREAD03] The JOB command has been sent (SO_history 01)</t>
  </si>
  <si>
    <t>15:00:18 [THREAD03] The STARTING response has been received (SO_history 01)</t>
  </si>
  <si>
    <t>15:00:18 [THREAD03] Copied SO_01_HISTORY_3414.kdb to K0E19Z342BHWF1.kdb (11 MB, 0 secs)</t>
  </si>
  <si>
    <t>15:00:19 [THREAD04] Reads: 151135, Writes: 543, Duration: 30 secs (SH_specials 01)</t>
  </si>
  <si>
    <t>15:00:19 [THREAD04] The COMPLETE response has been received (SH_specials 01)</t>
  </si>
  <si>
    <t>15:00:19 [THREAD04] The JOB command has been sent (SH_quote 01)</t>
  </si>
  <si>
    <t>15:00:19 [THREAD04] The STARTING response has been received (SH_quote 01)</t>
  </si>
  <si>
    <t>15:00:19 [THREAD04] Copied SH_01_QUOTE.kdb to K0E17Z342BJLL1.kdb (16 MB, 0 secs)</t>
  </si>
  <si>
    <t>15:00:20 [THREAD04] Reads: 17127, Writes: 256, Duration: 1 secs (SH_quote 01)</t>
  </si>
  <si>
    <t>15:00:20 [THREAD04] The COMPLETE response has been received (SH_quote 01)</t>
  </si>
  <si>
    <t>15:00:20 [THREAD04] The JOB command has been sent (SO_lines 01)</t>
  </si>
  <si>
    <t>15:00:20 [THREAD04] The STARTING response has been received (SO_lines 01)</t>
  </si>
  <si>
    <t>15:00:23 [THREAD04] Copied SO_01_LINES_3414.kdb to K0E17Z342BKVD2.kdb (101 MB, 2 secs)</t>
  </si>
  <si>
    <t>15:00:26 [THREAD01] Reads: 1230968, Writes: 4103, Duration: 37 secs (SH_sites 01)</t>
  </si>
  <si>
    <t>15:00:26 [THREAD01] The COMPLETE response has been received (SH_sites 01)</t>
  </si>
  <si>
    <t>15:00:26 [THREAD01] The JOB command has been sent (PI_plmemos_GS-SGBD 01)</t>
  </si>
  <si>
    <t>15:00:26 [THREAD01] The STARTING response has been received (PI_plmemos_GS-SGBD 01)</t>
  </si>
  <si>
    <t>15:00:26 [THREAD01] Copied PI_01_PLMEMOS_GS-SGBD.kdb to K0EFFZ342BR9S1.kdb (27 MB, 0 secs)</t>
  </si>
  <si>
    <t>15:00:27 [THREAD01] Reads: 8553, Writes: 100, Duration: 1 secs (PI_plmemos_GS_SGBD 01)</t>
  </si>
  <si>
    <t>15:00:27 [THREAD01] The COMPLETE response has been received (PI_plmemos_GS-SGBD 01)</t>
  </si>
  <si>
    <t>15:00:27 [THREAD01] The JOB command has been sent (SO_headr 01)</t>
  </si>
  <si>
    <t>15:00:27 [THREAD01] The STARTING response has been received (SO_headr 01)</t>
  </si>
  <si>
    <t>15:00:28 [THREAD01] Copied SO_01_HEADR_3414.kdb to K0EFFZ342BSV62.kdb (31 MB, 0 secs)</t>
  </si>
  <si>
    <t>15:00:41 [THREAD03] Reads: 18793, Writes: 18793, Duration: 23 secs (SO_history 01)</t>
  </si>
  <si>
    <t>15:00:41 [THREAD03] The COMPLETE response has been received (SO_history 01)</t>
  </si>
  <si>
    <t>15:00:41 [THREAD03] The JOB command has been sent (SO_picks 01)</t>
  </si>
  <si>
    <t>15:00:41 [THREAD03] The STARTING response has been received (SO_picks 01)</t>
  </si>
  <si>
    <t>15:00:42 [THREAD03] Copied SO_01_PICKS_3414.kdb to K0E19Z342C6QN2.kdb (10 MB, 0 secs)</t>
  </si>
  <si>
    <t>15:00:52 [THREAD03] Reads: 3496, Writes: 3496, Duration: 10 secs (SO_picks 01)</t>
  </si>
  <si>
    <t>15:00:52 [THREAD03] The COMPLETE response has been received (SO_picks 01)</t>
  </si>
  <si>
    <t>15:00:52 [THREAD03] The JOB command has been sent (SO_delivery 01)</t>
  </si>
  <si>
    <t>15:00:52 [THREAD03] The STARTING response has been received (SO_delivery 01)</t>
  </si>
  <si>
    <t>15:00:52 [THREAD03] Copied SO_01_DELIVERY_3414.kdb to K0E19Z342CJNB3.kdb (9 MB, 0 secs)</t>
  </si>
  <si>
    <t>15:00:58 [THREAD01] Reads: 6831, Writes: 6831, Duration: 31 secs (SO_headr 01)</t>
  </si>
  <si>
    <t>15:00:58 [THREAD01] The COMPLETE response has been received (SO_headr 01)</t>
  </si>
  <si>
    <t>15:00:58 [THREAD01] The JOB command has been sent (PF_tally 01)</t>
  </si>
  <si>
    <t>15:00:58 [THREAD01] The STARTING response has been received (PF_tally 01)</t>
  </si>
  <si>
    <t>15:00:58 [THREAD01] Copied PF_01_TALLY_3414.kdb to K0EFFZ342CR583.kdb (1 MB, 0 secs)</t>
  </si>
  <si>
    <t>15:01:00 [THREAD03] Reads: 2892, Writes: 2892, Duration: 8 secs (SO_delivery 01)</t>
  </si>
  <si>
    <t>15:01:00 [THREAD03] The COMPLETE response has been received (SO_delivery 01)</t>
  </si>
  <si>
    <t>15:01:00 [THREAD03] The JOB command has been sent (PC_history 01)</t>
  </si>
  <si>
    <t>15:01:00 [THREAD03] The STARTING response has been received (PC_history 01)</t>
  </si>
  <si>
    <t>15:01:00 [THREAD03] Copied PC_01_HISTORY_3414.kdb to K0E19Z342CSQ24.kdb (3 MB, 0 secs)</t>
  </si>
  <si>
    <t>15:01:01 [THREAD03] Reads: 820, Writes: 820, Duration: 0 secs (PC_history 01)</t>
  </si>
  <si>
    <t>15:01:01 [THREAD03] The COMPLETE response has been received (PC_history 01)</t>
  </si>
  <si>
    <t>15:01:01 [THREAD03] The JOB command has been sent (PC_lines 01)</t>
  </si>
  <si>
    <t>15:01:01 [THREAD03] The STARTING response has been received (PC_lines 01)</t>
  </si>
  <si>
    <t>15:01:01 [THREAD03] Copied PC_01_LINES_3414.kdb to K0E19Z342CTDX5.kdb (4 MB, 0 secs)</t>
  </si>
  <si>
    <t>15:01:01 [THREAD01] Reads: 1997, Writes: 1997, Duration: 3 secs (PF_tally 01)</t>
  </si>
  <si>
    <t>15:01:01 [THREAD01] The COMPLETE response has been received (PF_tally 01)</t>
  </si>
  <si>
    <t>15:01:01 [THREAD01] The JOB command has been sent (BR_suppl 01)</t>
  </si>
  <si>
    <t>15:01:01 [THREAD01] The STARTING response has been received (BR_suppl 01)</t>
  </si>
  <si>
    <t>15:01:01 [THREAD01] Copied BR_01_SUPPL_3414.kdb to K0EFFZ342CV694.kdb (608 KB, 0 secs)</t>
  </si>
  <si>
    <t>15:01:04 [THREAD03] Reads: 716, Writes: 716, Duration: 3 secs (PC_lines 01)</t>
  </si>
  <si>
    <t>15:01:04 [THREAD03] The COMPLETE response has been received (PC_lines 01)</t>
  </si>
  <si>
    <t>15:01:04 [THREAD03] The JOB command has been sent (PC_headr 01)</t>
  </si>
  <si>
    <t>15:01:04 [THREAD03] The STARTING response has been received (PC_headr 01)</t>
  </si>
  <si>
    <t>15:01:04 [THREAD03] Copied PC_01_HEADR_3414.kdb to K0E19Z342CXGS6.kdb (1 MB, 0 secs)</t>
  </si>
  <si>
    <t>15:01:06 [THREAD03] Reads: 242, Writes: 242, Duration: 2 secs (PC_headr 01)</t>
  </si>
  <si>
    <t>15:01:06 [THREAD03] The COMPLETE response has been received (PC_headr 01)</t>
  </si>
  <si>
    <t>15:01:06 [THREAD03] The JOB command has been sent (SO_quotelog 01)</t>
  </si>
  <si>
    <t>15:01:06 [THREAD03] The STARTING response has been received (SO_quotelog 01)</t>
  </si>
  <si>
    <t>15:01:06 [THREAD03] Copied SO_01_QUOTELOG_3414.kdb to K0E19Z342CZK77.kdb (64 KB, 0 secs)</t>
  </si>
  <si>
    <t>15:01:06 [THREAD01] Reads: 298, Writes: 298, Duration: 4 secs (BR_suppl 01)</t>
  </si>
  <si>
    <t>15:01:06 [THREAD01] The COMPLETE response has been received (BR_suppl 01)</t>
  </si>
  <si>
    <t>15:01:06 [THREAD01] The JOB command has been sent (SO_terms 01)</t>
  </si>
  <si>
    <t>15:01:06 [THREAD01] The STARTING response has been received (SO_terms 01)</t>
  </si>
  <si>
    <t>15:01:06 [THREAD01] Copied SO_01_TERMS_3414.kdb to K0EFFZ342CZNY5.kdb (40 KB, 0 secs)</t>
  </si>
  <si>
    <t>15:01:06 [THREAD01] Reads: 2, Writes: 2, Duration: 0 secs (SO_terms 01)</t>
  </si>
  <si>
    <t>15:01:06 [THREAD01] The COMPLETE response has been received (SO_terms 01)</t>
  </si>
  <si>
    <t>15:01:06 [THREAD01] The JOB command has been sent (BR_stock 01)</t>
  </si>
  <si>
    <t>15:01:06 [THREAD01] The STARTING response has been received (BR_stock 01)</t>
  </si>
  <si>
    <t>15:01:06 [THREAD03] Reads: 189, Writes: 189, Duration: 0 secs (SO_quotelog 01)</t>
  </si>
  <si>
    <t>15:01:06 [THREAD03] The COMPLETE response has been received (SO_quotelog 01)</t>
  </si>
  <si>
    <t>15:01:06 [THREAD03] The JOB command has been sent (BR_tally 01)</t>
  </si>
  <si>
    <t>15:01:06 [THREAD03] The STARTING response has been received (BR_tally 01)</t>
  </si>
  <si>
    <t>15:01:06 [THREAD01] Copied BR_01_PRODF_3414.kdb to K0EFFZ342CZQQ6.kdb (22 MB, 0 secs)</t>
  </si>
  <si>
    <t>15:01:07 [THREAD03] Copied BR_01_PRODF_3414.kdb to K0E19Z342CZS-8.kdb (22 MB, 1 secs)</t>
  </si>
  <si>
    <t>15:01:11 [THREAD03] Reads: 3278, Writes: 3278, Duration: 4 secs (BR_tally 01)</t>
  </si>
  <si>
    <t>15:01:11 [THREAD03] The COMPLETE response has been received (BR_tally 01)</t>
  </si>
  <si>
    <t>15:01:11 [THREAD03] The JOB command has been sent (SO_sheadr 01)</t>
  </si>
  <si>
    <t>15:01:11 [THREAD03] The STARTING response has been received (SO_sheadr 01)</t>
  </si>
  <si>
    <t>15:01:11 [THREAD03] Copied SO_01_SHEADR_3414.kdb to K0E19Z342D3KJ9.kdb (112 KB, 0 secs)</t>
  </si>
  <si>
    <t>15:01:11 [THREAD03] Reads: 0, Writes: 0, Duration: 0 secs (SO_sheadr 01)</t>
  </si>
  <si>
    <t>15:01:11 [THREAD03] The COMPLETE response has been received (SO_sheadr 01)</t>
  </si>
  <si>
    <t>15:01:13 [THREAD02] Reads: 30227, Writes: 30227, Duration: 1 min, 22 secs (BR_archive 01)</t>
  </si>
  <si>
    <t>15:01:13 [THREAD02] The COMPLETE response has been received (BR_archive 01)</t>
  </si>
  <si>
    <t>15:01:18 [THREAD05] Reads: 30229, Writes: 30229, Duration: 1 min, 29 secs (BR_history 01)</t>
  </si>
  <si>
    <t>15:01:18 [THREAD05] The COMPLETE response has been received (BR_history 01)</t>
  </si>
  <si>
    <t>15:01:34 [THREAD01] Reads: 3278, Writes: 3278, Duration: 28 secs (BR_stock 01)</t>
  </si>
  <si>
    <t>15:01:34 [THREAD01] The COMPLETE response has been received (BR_stock 01)</t>
  </si>
  <si>
    <t>15:01:42 [THREAD04] Reads: 17088, Writes: 17088, Duration: 1 min, 21 secs (SO_lines 01)</t>
  </si>
  <si>
    <t>15:01:42 [THREAD04] The COMPLETE response has been received (SO_lines 01)</t>
  </si>
  <si>
    <t>15:01:48 [THREAD08] Reads: 30229, Writes: 26831, Duration: 1 min, 59 secs (SO_logfile 01)</t>
  </si>
  <si>
    <t>15:01:48 [THREAD08] The COMPLETE response has been received (SO_logfile 01)</t>
  </si>
  <si>
    <t>15:02:19 [THREAD06] Reads: 122621, Writes: 122621, Duration: 2 mins, 30 secs (PF_histy 01)</t>
  </si>
  <si>
    <t>15:02:19 [THREAD06] The COMPLETE response has been received (PF_histy 01)</t>
  </si>
  <si>
    <t>15:02:24 [THREAD07] Reads: 29397, Writes: 29397, Duration: 2 mins, 16 secs (BR_custf 01)</t>
  </si>
  <si>
    <t>15:02:24 [THREAD07] The COMPLETE response has been received (BR_custf 01)</t>
  </si>
  <si>
    <t>15:02:24 [THREAD01] The JOB command has been sent (ClearCache)</t>
  </si>
  <si>
    <t>15:02:24 [THREAD05] The JOB command has been sent (ClearCache)</t>
  </si>
  <si>
    <t>15:02:24 [THREAD01] The STARTING response has been received (ClearCache)</t>
  </si>
  <si>
    <t>15:02:24 [THREAD05] The STARTING response has been received (ClearCache)</t>
  </si>
  <si>
    <t>15:02:24 [THREAD01] The COMPLETE response has been received (ClearCache)</t>
  </si>
  <si>
    <t>15:02:24 [THREAD05] The COMPLETE response has been received (ClearCache)</t>
  </si>
  <si>
    <t>15:02:24 All tasks have been completed</t>
  </si>
  <si>
    <t>15:02:24 [THREAD01] The CLOSE command has been sent</t>
  </si>
  <si>
    <t>15:02:24 [THREAD02] The CLOSE command has been sent</t>
  </si>
  <si>
    <t>15:02:24 [THREAD03] The CLOSE command has been sent</t>
  </si>
  <si>
    <t>15:02:24 [THREAD04] The CLOSE command has been sent</t>
  </si>
  <si>
    <t>15:02:24 [THREAD05] The CLOSE command has been sent</t>
  </si>
  <si>
    <t>15:02:24 [THREAD06] The CLOSE command has been sent</t>
  </si>
  <si>
    <t>15:02:24 [THREAD07] The CLOSE command has been sent</t>
  </si>
  <si>
    <t>15:02:24 [THREAD08] The CLOSE command has been sent</t>
  </si>
  <si>
    <t>15:02:24 [THREAD01] The CLOSING response has been received</t>
  </si>
  <si>
    <t>15:02:24 [THREAD04] The CLOSING response has been received</t>
  </si>
  <si>
    <t>15:02:24 [THREAD03] The CLOSING response has been received</t>
  </si>
  <si>
    <t>15:02:24 [THREAD02] The CLOSING response has been received</t>
  </si>
  <si>
    <t>15:02:24 [THREAD05] The CLOSING response has been received</t>
  </si>
  <si>
    <t>15:02:24 [THREAD06] The CLOSING response has been received</t>
  </si>
  <si>
    <t>15:02:24 [THREAD07] The CLOSING response has been received</t>
  </si>
  <si>
    <t>15:02:24 [THREAD08] The CLOSING response has been received</t>
  </si>
  <si>
    <t>15:02:24 No more threads are running</t>
  </si>
  <si>
    <t>15:02:24 [cuksvhudk8t04] Stopping the machine performance monitor...</t>
  </si>
  <si>
    <t>15:02:24 [cuksvhudk8t04] The machine performance monitor has been stopped</t>
  </si>
  <si>
    <t>15:02:24 [cuksvhudk8t05] Stopping the machine performance monitor...</t>
  </si>
  <si>
    <t>15:02:24 [cuksvhudk8t05] The machine performance monitor has been stopped</t>
  </si>
  <si>
    <t>Thread statistics...</t>
  </si>
  <si>
    <t>[THREAD01] Rows In: 1251927 (12037/s), Rows Out: 16609 (159/s), Duration: 1 min, 44 secs, Errors: 0</t>
  </si>
  <si>
    <t>[THREAD02] Rows In: 30227 (368/s), Rows Out: 30227 (368/s), Duration: 1 min, 22 secs, Errors: 0</t>
  </si>
  <si>
    <t>[THREAD03] Rows In: 354767 (4326/s), Rows Out: 37257 (454/s), Duration: 1 min, 21 secs, Errors: 0</t>
  </si>
  <si>
    <t>[THREAD04] Rows In: 185350 (1640/s), Rows Out: 17887 (158/s), Duration: 1 min, 52 secs, Errors: 0</t>
  </si>
  <si>
    <t>[THREAD05] Rows In: 30229 (335/s), Rows Out: 30229 (335/s), Duration: 1 min, 29 secs, Errors: 0</t>
  </si>
  <si>
    <t>[THREAD06] Rows In: 122621 (817/s), Rows Out: 122621 (817/s), Duration: 2 mins, 30 secs, Errors: 0</t>
  </si>
  <si>
    <t>[THREAD07] Rows In: 59626 (384/s), Rows Out: 32658 (210/s), Duration: 2 mins, 34 secs, Errors: 0</t>
  </si>
  <si>
    <t>[THREAD08] Rows In: 30229 (254/s), Rows Out: 26831 (225/s), Duration: 1 min, 59 secs, Errors: 0</t>
  </si>
  <si>
    <t>Upgrade statistics...</t>
  </si>
  <si>
    <t>Rows In: 2064976 (12906/s, 774360/m, 46461600/h)</t>
  </si>
  <si>
    <t>Rows Out: 314319 (1964/s, 117840/m, 7070400/h)</t>
  </si>
  <si>
    <t>Duration: 2 mins, 40 secs</t>
  </si>
  <si>
    <t>Errors: 0</t>
  </si>
  <si>
    <t>Download main log</t>
  </si>
  <si>
    <t>Double click displayed log &amp; save to this document</t>
  </si>
  <si>
    <t xml:space="preserve">k8local/ICON/work </t>
  </si>
  <si>
    <t>Extract individual THREAD logs from each app server used</t>
  </si>
  <si>
    <t>Create branch groups for Area &amp; Region</t>
  </si>
  <si>
    <t xml:space="preserve">Add branches to area &amp; region UD table </t>
  </si>
  <si>
    <t>Action any unsaved orders (doesn't stop trading)</t>
  </si>
  <si>
    <t xml:space="preserve">Update branch flags &amp; groups </t>
  </si>
  <si>
    <t>Start services</t>
  </si>
  <si>
    <t>Unlock system</t>
  </si>
  <si>
    <t>Update spools (repgen startup mode to Manual)</t>
  </si>
  <si>
    <t>Update branch flags (Inlcude "ICON" flag)</t>
  </si>
  <si>
    <t>Update System agent company groups (TBD)</t>
  </si>
  <si>
    <t>Stop/Start Agent (to pick up branch changes) - Check with DC re agent users - may need starting by DC</t>
  </si>
  <si>
    <t>***NEEDS AGREEING &amp; WRITING*** Add to post conversion action group before reconfigure</t>
  </si>
  <si>
    <t>Branch 5</t>
  </si>
  <si>
    <t>Customer Debt Totals</t>
  </si>
  <si>
    <t>3649</t>
  </si>
  <si>
    <t>3628</t>
  </si>
  <si>
    <t>3667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</si>
</sst>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ABE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0" fillId="0" borderId="1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2" fontId="0" fillId="0" borderId="1" xfId="0" applyNumberFormat="1" applyBorder="1" applyAlignment="1">
      <alignment horizontal="left" vertical="center" indent="1"/>
    </xf>
    <xf numFmtId="2" fontId="1" fillId="3" borderId="1" xfId="0" applyNumberFormat="1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2" fontId="0" fillId="0" borderId="0" xfId="0" applyNumberFormat="1" applyAlignment="1">
      <alignment horizontal="left" vertical="center" indent="1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left" vertical="center" indent="1"/>
    </xf>
    <xf numFmtId="0" fontId="1" fillId="3" borderId="6" xfId="0" applyFont="1" applyFill="1" applyBorder="1" applyAlignment="1">
      <alignment horizontal="left" vertical="center" indent="1"/>
    </xf>
    <xf numFmtId="2" fontId="1" fillId="8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left" vertical="center" indent="1"/>
    </xf>
    <xf numFmtId="0" fontId="6" fillId="9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 vertical="center" indent="1"/>
    </xf>
    <xf numFmtId="0" fontId="1" fillId="7" borderId="1" xfId="0" applyFont="1" applyFill="1" applyBorder="1" applyAlignment="1">
      <alignment horizontal="left" vertical="center" indent="1"/>
    </xf>
    <xf numFmtId="2" fontId="1" fillId="7" borderId="1" xfId="0" applyNumberFormat="1" applyFont="1" applyFill="1" applyBorder="1" applyAlignment="1">
      <alignment horizontal="left" vertical="center" indent="1"/>
    </xf>
    <xf numFmtId="2" fontId="0" fillId="0" borderId="1" xfId="0" applyNumberFormat="1" applyFont="1" applyFill="1" applyBorder="1" applyAlignment="1">
      <alignment horizontal="left" vertical="center" indent="1"/>
    </xf>
    <xf numFmtId="2" fontId="0" fillId="0" borderId="6" xfId="0" applyNumberFormat="1" applyBorder="1" applyAlignment="1">
      <alignment horizontal="left" vertical="center" indent="1"/>
    </xf>
    <xf numFmtId="0" fontId="9" fillId="0" borderId="0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0" borderId="1" xfId="0" applyFont="1" applyFill="1" applyBorder="1" applyAlignment="1">
      <alignment vertical="center"/>
    </xf>
    <xf numFmtId="0" fontId="0" fillId="10" borderId="1" xfId="0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10" borderId="1" xfId="0" applyFont="1" applyFill="1" applyBorder="1" applyAlignment="1">
      <alignment wrapText="1"/>
    </xf>
    <xf numFmtId="0" fontId="0" fillId="10" borderId="1" xfId="0" applyFont="1" applyFill="1" applyBorder="1"/>
    <xf numFmtId="0" fontId="0" fillId="10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0" fillId="10" borderId="1" xfId="0" applyFont="1" applyFill="1" applyBorder="1" applyAlignment="1">
      <alignment horizontal="left" vertical="center"/>
    </xf>
    <xf numFmtId="0" fontId="11" fillId="6" borderId="1" xfId="0" applyFont="1" applyFill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2" fillId="0" borderId="0" xfId="0" applyFont="1" applyBorder="1" applyAlignment="1"/>
    <xf numFmtId="0" fontId="3" fillId="6" borderId="4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wrapText="1"/>
    </xf>
    <xf numFmtId="0" fontId="0" fillId="7" borderId="1" xfId="0" applyFont="1" applyFill="1" applyBorder="1"/>
    <xf numFmtId="0" fontId="0" fillId="7" borderId="1" xfId="0" applyFont="1" applyFill="1" applyBorder="1" applyAlignment="1">
      <alignment wrapText="1"/>
    </xf>
    <xf numFmtId="0" fontId="0" fillId="11" borderId="1" xfId="0" applyFont="1" applyFill="1" applyBorder="1"/>
    <xf numFmtId="0" fontId="0" fillId="11" borderId="1" xfId="0" applyFont="1" applyFill="1" applyBorder="1" applyAlignment="1">
      <alignment wrapText="1"/>
    </xf>
    <xf numFmtId="0" fontId="3" fillId="9" borderId="8" xfId="0" applyFont="1" applyFill="1" applyBorder="1" applyAlignment="1">
      <alignment horizontal="center" vertical="center" wrapText="1"/>
    </xf>
    <xf numFmtId="0" fontId="7" fillId="0" borderId="0" xfId="0" applyFont="1" applyFill="1"/>
    <xf numFmtId="0" fontId="0" fillId="0" borderId="4" xfId="0" applyFont="1" applyBorder="1" applyAlignment="1">
      <alignment horizontal="left" wrapText="1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0" fontId="13" fillId="0" borderId="0" xfId="0" applyFont="1" applyAlignment="1">
      <alignment horizontal="left" vertical="center"/>
    </xf>
    <xf numFmtId="0" fontId="0" fillId="15" borderId="1" xfId="0" applyFont="1" applyFill="1" applyBorder="1" applyAlignment="1">
      <alignment vertical="center" wrapText="1"/>
    </xf>
    <xf numFmtId="0" fontId="0" fillId="15" borderId="1" xfId="0" applyFont="1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7" fillId="13" borderId="1" xfId="0" applyFont="1" applyFill="1" applyBorder="1" applyAlignment="1">
      <alignment vertical="center"/>
    </xf>
    <xf numFmtId="0" fontId="17" fillId="13" borderId="1" xfId="0" applyFont="1" applyFill="1" applyBorder="1" applyAlignment="1">
      <alignment vertical="center" wrapText="1"/>
    </xf>
    <xf numFmtId="0" fontId="17" fillId="0" borderId="0" xfId="0" applyFont="1"/>
    <xf numFmtId="0" fontId="17" fillId="0" borderId="0" xfId="0" applyFont="1" applyFill="1"/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/>
    <xf numFmtId="0" fontId="17" fillId="13" borderId="12" xfId="0" applyFont="1" applyFill="1" applyBorder="1" applyAlignment="1">
      <alignment vertical="center"/>
    </xf>
    <xf numFmtId="0" fontId="17" fillId="13" borderId="13" xfId="0" applyFont="1" applyFill="1" applyBorder="1" applyAlignment="1">
      <alignment vertical="center"/>
    </xf>
    <xf numFmtId="0" fontId="17" fillId="13" borderId="14" xfId="0" applyFont="1" applyFill="1" applyBorder="1" applyAlignment="1">
      <alignment vertical="center"/>
    </xf>
    <xf numFmtId="0" fontId="17" fillId="13" borderId="15" xfId="0" applyFont="1" applyFill="1" applyBorder="1" applyAlignment="1">
      <alignment vertical="center" wrapText="1"/>
    </xf>
    <xf numFmtId="0" fontId="17" fillId="13" borderId="15" xfId="0" applyFont="1" applyFill="1" applyBorder="1" applyAlignment="1">
      <alignment vertical="center"/>
    </xf>
    <xf numFmtId="0" fontId="17" fillId="13" borderId="16" xfId="0" applyFont="1" applyFill="1" applyBorder="1" applyAlignment="1">
      <alignment vertical="center"/>
    </xf>
    <xf numFmtId="0" fontId="0" fillId="15" borderId="13" xfId="0" applyFill="1" applyBorder="1" applyAlignment="1">
      <alignment horizontal="center" vertical="center"/>
    </xf>
    <xf numFmtId="0" fontId="0" fillId="15" borderId="13" xfId="0" applyFont="1" applyFill="1" applyBorder="1" applyAlignment="1">
      <alignment horizontal="center" vertical="center" wrapText="1"/>
    </xf>
    <xf numFmtId="0" fontId="0" fillId="15" borderId="15" xfId="0" applyFont="1" applyFill="1" applyBorder="1" applyAlignment="1">
      <alignment vertical="center" wrapText="1"/>
    </xf>
    <xf numFmtId="0" fontId="0" fillId="15" borderId="15" xfId="0" applyFont="1" applyFill="1" applyBorder="1" applyAlignment="1">
      <alignment horizontal="center" vertical="center" wrapText="1"/>
    </xf>
    <xf numFmtId="0" fontId="0" fillId="15" borderId="16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textRotation="90"/>
    </xf>
    <xf numFmtId="0" fontId="0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4" fillId="2" borderId="14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left" vertical="center" textRotation="90"/>
    </xf>
    <xf numFmtId="0" fontId="4" fillId="2" borderId="16" xfId="0" applyFont="1" applyFill="1" applyBorder="1" applyAlignment="1">
      <alignment horizontal="left" vertical="center" textRotation="90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1" fillId="16" borderId="1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 inden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left" vertical="center" indent="1"/>
    </xf>
    <xf numFmtId="2" fontId="1" fillId="0" borderId="0" xfId="0" applyNumberFormat="1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7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1" fillId="16" borderId="12" xfId="0" applyFont="1" applyFill="1" applyBorder="1" applyAlignment="1">
      <alignment horizontal="center" vertical="center"/>
    </xf>
    <xf numFmtId="0" fontId="1" fillId="16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0" fillId="0" borderId="16" xfId="0" applyBorder="1" applyAlignment="1">
      <alignment horizontal="left" vertical="center" indent="1"/>
    </xf>
    <xf numFmtId="0" fontId="0" fillId="0" borderId="12" xfId="0" applyFont="1" applyBorder="1" applyAlignment="1">
      <alignment horizontal="left" vertical="center" indent="1"/>
    </xf>
    <xf numFmtId="2" fontId="0" fillId="0" borderId="15" xfId="0" applyNumberFormat="1" applyBorder="1" applyAlignment="1">
      <alignment horizontal="left" vertical="center" indent="1"/>
    </xf>
    <xf numFmtId="0" fontId="1" fillId="0" borderId="13" xfId="0" applyFont="1" applyBorder="1" applyAlignment="1">
      <alignment horizontal="left" vertical="center" indent="1"/>
    </xf>
    <xf numFmtId="0" fontId="1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left" vertical="center" indent="1"/>
    </xf>
    <xf numFmtId="0" fontId="0" fillId="0" borderId="1" xfId="0" applyFill="1" applyBorder="1" applyAlignment="1">
      <alignment horizontal="center" vertical="center"/>
    </xf>
    <xf numFmtId="2" fontId="0" fillId="0" borderId="2" xfId="0" applyNumberFormat="1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1" fontId="1" fillId="7" borderId="1" xfId="0" applyNumberFormat="1" applyFont="1" applyFill="1" applyBorder="1" applyAlignment="1">
      <alignment horizontal="left" vertical="center" indent="1"/>
    </xf>
    <xf numFmtId="1" fontId="0" fillId="0" borderId="1" xfId="0" applyNumberFormat="1" applyBorder="1" applyAlignment="1">
      <alignment horizontal="left" vertical="center" indent="1"/>
    </xf>
    <xf numFmtId="1" fontId="0" fillId="0" borderId="1" xfId="0" applyNumberFormat="1" applyFont="1" applyBorder="1" applyAlignment="1">
      <alignment horizontal="left" vertical="center" indent="1"/>
    </xf>
    <xf numFmtId="2" fontId="0" fillId="0" borderId="0" xfId="0" applyNumberFormat="1" applyFont="1" applyBorder="1" applyAlignment="1">
      <alignment horizontal="left" vertical="center" indent="1"/>
    </xf>
    <xf numFmtId="0" fontId="6" fillId="9" borderId="1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/>
    </xf>
    <xf numFmtId="0" fontId="16" fillId="0" borderId="0" xfId="0" applyFont="1"/>
    <xf numFmtId="0" fontId="19" fillId="14" borderId="1" xfId="0" applyFont="1" applyFill="1" applyBorder="1" applyAlignment="1">
      <alignment horizontal="left" vertical="center" wrapText="1"/>
    </xf>
    <xf numFmtId="0" fontId="18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left" vertical="center" wrapText="1"/>
    </xf>
    <xf numFmtId="0" fontId="0" fillId="15" borderId="13" xfId="0" applyFont="1" applyFill="1" applyBorder="1" applyAlignment="1">
      <alignment vertical="center" wrapText="1"/>
    </xf>
    <xf numFmtId="0" fontId="0" fillId="15" borderId="16" xfId="0" applyFont="1" applyFill="1" applyBorder="1" applyAlignment="1">
      <alignment vertical="center" wrapText="1"/>
    </xf>
    <xf numFmtId="0" fontId="17" fillId="13" borderId="12" xfId="0" applyFont="1" applyFill="1" applyBorder="1" applyAlignment="1">
      <alignment vertical="center" wrapText="1"/>
    </xf>
    <xf numFmtId="0" fontId="17" fillId="13" borderId="13" xfId="0" applyFont="1" applyFill="1" applyBorder="1" applyAlignment="1">
      <alignment vertical="center" wrapText="1"/>
    </xf>
    <xf numFmtId="0" fontId="19" fillId="14" borderId="12" xfId="0" applyFont="1" applyFill="1" applyBorder="1" applyAlignment="1">
      <alignment horizontal="left" vertical="center" wrapText="1"/>
    </xf>
    <xf numFmtId="0" fontId="19" fillId="14" borderId="13" xfId="0" applyFont="1" applyFill="1" applyBorder="1" applyAlignment="1">
      <alignment horizontal="left" vertical="center" wrapText="1"/>
    </xf>
    <xf numFmtId="0" fontId="17" fillId="15" borderId="12" xfId="0" applyFont="1" applyFill="1" applyBorder="1" applyAlignment="1">
      <alignment vertical="center" wrapText="1"/>
    </xf>
    <xf numFmtId="0" fontId="17" fillId="15" borderId="1" xfId="0" applyFont="1" applyFill="1" applyBorder="1" applyAlignment="1">
      <alignment vertical="center" wrapText="1"/>
    </xf>
    <xf numFmtId="0" fontId="17" fillId="15" borderId="14" xfId="0" applyFont="1" applyFill="1" applyBorder="1" applyAlignment="1">
      <alignment vertical="center" wrapText="1"/>
    </xf>
    <xf numFmtId="0" fontId="17" fillId="15" borderId="15" xfId="0" applyFont="1" applyFill="1" applyBorder="1" applyAlignment="1">
      <alignment vertical="center" wrapText="1"/>
    </xf>
    <xf numFmtId="0" fontId="17" fillId="15" borderId="12" xfId="0" applyFont="1" applyFill="1" applyBorder="1" applyAlignment="1">
      <alignment vertical="center"/>
    </xf>
    <xf numFmtId="0" fontId="0" fillId="5" borderId="0" xfId="0" applyFont="1" applyFill="1" applyBorder="1" applyAlignment="1">
      <alignment vertical="center" wrapText="1"/>
    </xf>
    <xf numFmtId="0" fontId="17" fillId="18" borderId="14" xfId="0" applyFont="1" applyFill="1" applyBorder="1" applyAlignment="1">
      <alignment vertical="center"/>
    </xf>
    <xf numFmtId="0" fontId="17" fillId="18" borderId="15" xfId="0" applyFont="1" applyFill="1" applyBorder="1" applyAlignment="1">
      <alignment vertical="center" wrapText="1"/>
    </xf>
    <xf numFmtId="0" fontId="17" fillId="18" borderId="15" xfId="0" applyFont="1" applyFill="1" applyBorder="1" applyAlignment="1">
      <alignment vertical="center"/>
    </xf>
    <xf numFmtId="0" fontId="17" fillId="18" borderId="16" xfId="0" applyFont="1" applyFill="1" applyBorder="1" applyAlignment="1">
      <alignment vertical="center"/>
    </xf>
    <xf numFmtId="0" fontId="17" fillId="13" borderId="10" xfId="0" applyFont="1" applyFill="1" applyBorder="1" applyAlignment="1">
      <alignment vertical="center" wrapText="1"/>
    </xf>
    <xf numFmtId="0" fontId="17" fillId="13" borderId="10" xfId="0" applyFont="1" applyFill="1" applyBorder="1" applyAlignment="1">
      <alignment vertical="center"/>
    </xf>
    <xf numFmtId="0" fontId="17" fillId="13" borderId="11" xfId="0" applyFont="1" applyFill="1" applyBorder="1" applyAlignment="1">
      <alignment vertical="center"/>
    </xf>
    <xf numFmtId="0" fontId="20" fillId="13" borderId="10" xfId="0" applyFont="1" applyFill="1" applyBorder="1" applyAlignment="1">
      <alignment vertical="center" wrapText="1"/>
    </xf>
    <xf numFmtId="0" fontId="20" fillId="13" borderId="1" xfId="0" applyFont="1" applyFill="1" applyBorder="1" applyAlignment="1">
      <alignment vertical="center" wrapText="1"/>
    </xf>
    <xf numFmtId="0" fontId="20" fillId="13" borderId="9" xfId="0" applyFont="1" applyFill="1" applyBorder="1" applyAlignment="1">
      <alignment vertical="center"/>
    </xf>
    <xf numFmtId="0" fontId="20" fillId="13" borderId="12" xfId="0" applyFont="1" applyFill="1" applyBorder="1" applyAlignment="1">
      <alignment vertical="center"/>
    </xf>
    <xf numFmtId="0" fontId="20" fillId="13" borderId="14" xfId="0" applyFont="1" applyFill="1" applyBorder="1" applyAlignment="1">
      <alignment vertical="center"/>
    </xf>
    <xf numFmtId="0" fontId="20" fillId="13" borderId="15" xfId="0" applyFont="1" applyFill="1" applyBorder="1" applyAlignment="1">
      <alignment vertical="center" wrapText="1"/>
    </xf>
    <xf numFmtId="0" fontId="20" fillId="15" borderId="14" xfId="0" applyFont="1" applyFill="1" applyBorder="1" applyAlignment="1">
      <alignment vertical="center" wrapText="1"/>
    </xf>
    <xf numFmtId="0" fontId="20" fillId="15" borderId="15" xfId="0" applyFont="1" applyFill="1" applyBorder="1" applyAlignment="1">
      <alignment vertical="center" wrapText="1"/>
    </xf>
    <xf numFmtId="0" fontId="20" fillId="15" borderId="1" xfId="0" applyFont="1" applyFill="1" applyBorder="1" applyAlignment="1">
      <alignment vertical="center" wrapText="1"/>
    </xf>
    <xf numFmtId="0" fontId="14" fillId="2" borderId="9" xfId="0" applyFont="1" applyFill="1" applyBorder="1" applyAlignment="1">
      <alignment vertical="center"/>
    </xf>
    <xf numFmtId="0" fontId="0" fillId="5" borderId="0" xfId="0" applyFill="1" applyBorder="1" applyAlignment="1">
      <alignment horizontal="center" vertical="center"/>
    </xf>
    <xf numFmtId="0" fontId="15" fillId="12" borderId="1" xfId="0" applyFont="1" applyFill="1" applyBorder="1" applyAlignment="1">
      <alignment horizontal="left" vertical="center" wrapText="1"/>
    </xf>
    <xf numFmtId="0" fontId="17" fillId="18" borderId="1" xfId="0" applyFont="1" applyFill="1" applyBorder="1" applyAlignment="1">
      <alignment vertical="center"/>
    </xf>
    <xf numFmtId="0" fontId="17" fillId="18" borderId="1" xfId="0" applyFont="1" applyFill="1" applyBorder="1" applyAlignment="1">
      <alignment vertical="center" wrapText="1"/>
    </xf>
    <xf numFmtId="0" fontId="15" fillId="12" borderId="9" xfId="0" applyFont="1" applyFill="1" applyBorder="1" applyAlignment="1">
      <alignment horizontal="left" vertical="center" wrapText="1"/>
    </xf>
    <xf numFmtId="0" fontId="15" fillId="12" borderId="10" xfId="0" applyFont="1" applyFill="1" applyBorder="1" applyAlignment="1">
      <alignment horizontal="left" vertical="center" wrapText="1"/>
    </xf>
    <xf numFmtId="0" fontId="15" fillId="12" borderId="11" xfId="0" applyFont="1" applyFill="1" applyBorder="1" applyAlignment="1">
      <alignment horizontal="left" vertical="center" wrapText="1"/>
    </xf>
    <xf numFmtId="0" fontId="17" fillId="18" borderId="12" xfId="0" applyFont="1" applyFill="1" applyBorder="1" applyAlignment="1">
      <alignment vertical="center"/>
    </xf>
    <xf numFmtId="0" fontId="17" fillId="18" borderId="13" xfId="0" applyFont="1" applyFill="1" applyBorder="1" applyAlignment="1">
      <alignment vertical="center"/>
    </xf>
    <xf numFmtId="0" fontId="15" fillId="12" borderId="12" xfId="0" applyFont="1" applyFill="1" applyBorder="1" applyAlignment="1">
      <alignment horizontal="left" vertical="center" wrapText="1"/>
    </xf>
    <xf numFmtId="0" fontId="15" fillId="12" borderId="13" xfId="0" applyFont="1" applyFill="1" applyBorder="1" applyAlignment="1">
      <alignment horizontal="left" vertical="center" wrapText="1"/>
    </xf>
    <xf numFmtId="0" fontId="14" fillId="2" borderId="23" xfId="0" applyFont="1" applyFill="1" applyBorder="1" applyAlignment="1">
      <alignment vertical="center"/>
    </xf>
    <xf numFmtId="0" fontId="14" fillId="2" borderId="18" xfId="0" applyFont="1" applyFill="1" applyBorder="1" applyAlignment="1">
      <alignment vertical="center"/>
    </xf>
    <xf numFmtId="0" fontId="14" fillId="2" borderId="19" xfId="0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2" fillId="0" borderId="7" xfId="0" applyFont="1" applyBorder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2" fillId="0" borderId="0" xfId="0" applyFont="1" applyBorder="1" applyAlignment="1">
      <alignment horizontal="left"/>
    </xf>
    <xf numFmtId="0" fontId="17" fillId="15" borderId="1" xfId="0" applyFont="1" applyFill="1" applyBorder="1" applyAlignment="1">
      <alignment horizontal="left" vertical="center" wrapText="1"/>
    </xf>
    <xf numFmtId="0" fontId="17" fillId="15" borderId="12" xfId="0" applyFont="1" applyFill="1" applyBorder="1" applyAlignment="1">
      <alignment horizontal="left" vertical="center"/>
    </xf>
    <xf numFmtId="0" fontId="19" fillId="14" borderId="9" xfId="0" applyFont="1" applyFill="1" applyBorder="1" applyAlignment="1">
      <alignment horizontal="center" vertical="center" wrapText="1"/>
    </xf>
    <xf numFmtId="0" fontId="19" fillId="14" borderId="10" xfId="0" applyFont="1" applyFill="1" applyBorder="1" applyAlignment="1">
      <alignment horizontal="center" vertical="center" wrapText="1"/>
    </xf>
    <xf numFmtId="0" fontId="19" fillId="14" borderId="11" xfId="0" applyFont="1" applyFill="1" applyBorder="1" applyAlignment="1">
      <alignment horizontal="center" vertical="center" wrapText="1"/>
    </xf>
    <xf numFmtId="0" fontId="15" fillId="12" borderId="9" xfId="0" applyFont="1" applyFill="1" applyBorder="1" applyAlignment="1">
      <alignment horizontal="center" vertical="center" wrapText="1"/>
    </xf>
    <xf numFmtId="0" fontId="15" fillId="12" borderId="10" xfId="0" applyFont="1" applyFill="1" applyBorder="1" applyAlignment="1">
      <alignment horizontal="center" vertical="center" wrapText="1"/>
    </xf>
    <xf numFmtId="0" fontId="15" fillId="12" borderId="11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/>
    </xf>
    <xf numFmtId="0" fontId="17" fillId="13" borderId="13" xfId="0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 wrapText="1"/>
    </xf>
    <xf numFmtId="0" fontId="12" fillId="14" borderId="10" xfId="0" applyFont="1" applyFill="1" applyBorder="1" applyAlignment="1">
      <alignment horizontal="center" vertical="center" wrapText="1"/>
    </xf>
    <xf numFmtId="0" fontId="12" fillId="14" borderId="11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center" vertical="center"/>
    </xf>
    <xf numFmtId="0" fontId="17" fillId="13" borderId="16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 wrapText="1" indent="1"/>
    </xf>
    <xf numFmtId="0" fontId="1" fillId="8" borderId="4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16" borderId="17" xfId="0" applyFont="1" applyFill="1" applyBorder="1" applyAlignment="1">
      <alignment horizontal="left" vertical="center" indent="1"/>
    </xf>
    <xf numFmtId="0" fontId="1" fillId="16" borderId="18" xfId="0" applyFont="1" applyFill="1" applyBorder="1" applyAlignment="1">
      <alignment horizontal="left" vertical="center" indent="1"/>
    </xf>
    <xf numFmtId="0" fontId="1" fillId="16" borderId="19" xfId="0" applyFont="1" applyFill="1" applyBorder="1" applyAlignment="1">
      <alignment horizontal="left" vertical="center" indent="1"/>
    </xf>
    <xf numFmtId="0" fontId="6" fillId="9" borderId="2" xfId="0" applyFont="1" applyFill="1" applyBorder="1" applyAlignment="1">
      <alignment horizontal="left" vertical="center" wrapText="1" indent="1"/>
    </xf>
    <xf numFmtId="0" fontId="6" fillId="9" borderId="3" xfId="0" applyFont="1" applyFill="1" applyBorder="1" applyAlignment="1">
      <alignment horizontal="left" vertical="center" wrapText="1" indent="1"/>
    </xf>
    <xf numFmtId="0" fontId="1" fillId="8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6" borderId="20" xfId="0" applyFont="1" applyFill="1" applyBorder="1" applyAlignment="1">
      <alignment horizontal="left" vertical="center" indent="1"/>
    </xf>
    <xf numFmtId="0" fontId="1" fillId="16" borderId="21" xfId="0" applyFont="1" applyFill="1" applyBorder="1" applyAlignment="1">
      <alignment horizontal="left" vertical="center" indent="1"/>
    </xf>
    <xf numFmtId="0" fontId="1" fillId="16" borderId="22" xfId="0" applyFont="1" applyFill="1" applyBorder="1" applyAlignment="1">
      <alignment horizontal="left" vertical="center" indent="1"/>
    </xf>
    <xf numFmtId="2" fontId="0" fillId="2" borderId="4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top" wrapText="1"/>
    </xf>
  </cellXfs>
  <cellStyles count="1">
    <cellStyle name="Normal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FFFF"/>
      <color rgb="FFFF5757"/>
      <color rgb="FF99CCFF"/>
      <color rgb="FF00CCFF"/>
      <color rgb="FF70ABEC"/>
      <color rgb="FF140AE6"/>
      <color rgb="FFFF990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10</xdr:col>
      <xdr:colOff>476250</xdr:colOff>
      <xdr:row>28</xdr:row>
      <xdr:rowOff>105215</xdr:rowOff>
    </xdr:to>
    <xdr:pic>
      <xdr:nvPicPr>
        <xdr:cNvPr id="3" name="Picture 2" descr="Screen Clipping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643"/>
        <a:stretch/>
      </xdr:blipFill>
      <xdr:spPr>
        <a:xfrm>
          <a:off x="0" y="2286000"/>
          <a:ext cx="6572250" cy="315321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9525</xdr:rowOff>
    </xdr:from>
    <xdr:to>
      <xdr:col>11</xdr:col>
      <xdr:colOff>191460</xdr:colOff>
      <xdr:row>11</xdr:row>
      <xdr:rowOff>76502</xdr:rowOff>
    </xdr:to>
    <xdr:pic>
      <xdr:nvPicPr>
        <xdr:cNvPr id="4" name="Picture 3" descr="Screen Clippi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"/>
          <a:ext cx="6878010" cy="2162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95250</xdr:rowOff>
        </xdr:from>
        <xdr:to>
          <xdr:col>5</xdr:col>
          <xdr:colOff>371475</xdr:colOff>
          <xdr:row>1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Lilo Begin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95250</xdr:rowOff>
        </xdr:from>
        <xdr:to>
          <xdr:col>5</xdr:col>
          <xdr:colOff>371475</xdr:colOff>
          <xdr:row>1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Lilo Begin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95250</xdr:rowOff>
        </xdr:from>
        <xdr:to>
          <xdr:col>5</xdr:col>
          <xdr:colOff>371475</xdr:colOff>
          <xdr:row>1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Lilo Begin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581025</xdr:colOff>
          <xdr:row>2</xdr:row>
          <xdr:rowOff>28575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Valid Tally Lengths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8"/>
  <sheetViews>
    <sheetView zoomScale="85" zoomScaleNormal="85" workbookViewId="0">
      <selection activeCell="B62" sqref="B62"/>
    </sheetView>
  </sheetViews>
  <sheetFormatPr defaultRowHeight="15" x14ac:dyDescent="0.25"/>
  <cols>
    <col min="1" max="1" width="10.42578125" style="18" bestFit="1" customWidth="1"/>
    <col min="2" max="2" width="116.28515625" style="18" bestFit="1" customWidth="1"/>
    <col min="3" max="3" width="11.28515625" style="1" bestFit="1" customWidth="1"/>
    <col min="4" max="6" width="11.28515625" style="18" bestFit="1" customWidth="1"/>
    <col min="7" max="16384" width="9.140625" style="18"/>
  </cols>
  <sheetData>
    <row r="1" spans="1:6" ht="23.25" customHeight="1" x14ac:dyDescent="0.25">
      <c r="A1" s="209" t="s">
        <v>85</v>
      </c>
      <c r="B1" s="209"/>
      <c r="C1" s="209"/>
    </row>
    <row r="2" spans="1:6" ht="18.75" customHeight="1" x14ac:dyDescent="0.3">
      <c r="A2" s="210" t="s">
        <v>86</v>
      </c>
      <c r="B2" s="210"/>
      <c r="C2" s="210"/>
    </row>
    <row r="3" spans="1:6" ht="18.75" customHeight="1" x14ac:dyDescent="0.3">
      <c r="A3" s="210" t="s">
        <v>133</v>
      </c>
      <c r="B3" s="210"/>
      <c r="C3" s="210"/>
    </row>
    <row r="4" spans="1:6" ht="18.75" customHeight="1" x14ac:dyDescent="0.3">
      <c r="A4" s="210" t="s">
        <v>129</v>
      </c>
      <c r="B4" s="210"/>
      <c r="C4" s="210"/>
    </row>
    <row r="5" spans="1:6" s="2" customFormat="1" ht="23.25" x14ac:dyDescent="0.35">
      <c r="A5" s="208" t="s">
        <v>69</v>
      </c>
      <c r="B5" s="208"/>
      <c r="C5" s="63"/>
      <c r="D5" s="63"/>
      <c r="E5" s="63"/>
      <c r="F5" s="63"/>
    </row>
    <row r="6" spans="1:6" s="67" customFormat="1" ht="21.75" customHeight="1" x14ac:dyDescent="0.25">
      <c r="A6" s="64" t="s">
        <v>0</v>
      </c>
      <c r="B6" s="65" t="s">
        <v>2</v>
      </c>
      <c r="C6" s="66" t="s">
        <v>126</v>
      </c>
      <c r="D6" s="66" t="s">
        <v>166</v>
      </c>
      <c r="E6" s="66" t="s">
        <v>167</v>
      </c>
      <c r="F6" s="66" t="s">
        <v>168</v>
      </c>
    </row>
    <row r="7" spans="1:6" s="44" customFormat="1" x14ac:dyDescent="0.25">
      <c r="A7" s="43" t="s">
        <v>6</v>
      </c>
      <c r="B7" s="43" t="s">
        <v>79</v>
      </c>
      <c r="C7" s="68" t="s">
        <v>15</v>
      </c>
      <c r="D7" s="68" t="s">
        <v>15</v>
      </c>
      <c r="E7" s="68" t="s">
        <v>15</v>
      </c>
      <c r="F7" s="68" t="s">
        <v>15</v>
      </c>
    </row>
    <row r="8" spans="1:6" x14ac:dyDescent="0.25">
      <c r="A8" s="22" t="s">
        <v>4</v>
      </c>
      <c r="B8" s="22" t="s">
        <v>73</v>
      </c>
      <c r="C8" s="42"/>
      <c r="D8" s="42"/>
      <c r="E8" s="42"/>
      <c r="F8" s="42"/>
    </row>
    <row r="9" spans="1:6" x14ac:dyDescent="0.25">
      <c r="A9" s="22" t="s">
        <v>4</v>
      </c>
      <c r="B9" s="22" t="s">
        <v>63</v>
      </c>
      <c r="C9" s="42"/>
      <c r="D9" s="42"/>
      <c r="E9" s="42"/>
      <c r="F9" s="42"/>
    </row>
    <row r="10" spans="1:6" x14ac:dyDescent="0.25">
      <c r="A10" s="22" t="s">
        <v>4</v>
      </c>
      <c r="B10" s="22" t="s">
        <v>62</v>
      </c>
      <c r="C10" s="42"/>
      <c r="D10" s="42"/>
      <c r="E10" s="42"/>
      <c r="F10" s="42"/>
    </row>
    <row r="11" spans="1:6" x14ac:dyDescent="0.25">
      <c r="A11" s="22" t="s">
        <v>4</v>
      </c>
      <c r="B11" s="26" t="s">
        <v>64</v>
      </c>
      <c r="C11" s="42"/>
      <c r="D11" s="42"/>
      <c r="E11" s="42"/>
      <c r="F11" s="42"/>
    </row>
    <row r="12" spans="1:6" x14ac:dyDescent="0.25">
      <c r="A12" s="22" t="s">
        <v>4</v>
      </c>
      <c r="B12" s="22" t="s">
        <v>65</v>
      </c>
      <c r="C12" s="42"/>
      <c r="D12" s="42"/>
      <c r="E12" s="42"/>
      <c r="F12" s="42"/>
    </row>
    <row r="13" spans="1:6" x14ac:dyDescent="0.25">
      <c r="A13" s="22" t="s">
        <v>4</v>
      </c>
      <c r="B13" s="22" t="s">
        <v>66</v>
      </c>
      <c r="C13" s="42"/>
      <c r="D13" s="42"/>
      <c r="E13" s="42"/>
      <c r="F13" s="42"/>
    </row>
    <row r="14" spans="1:6" x14ac:dyDescent="0.25">
      <c r="A14" s="22" t="s">
        <v>4</v>
      </c>
      <c r="B14" s="26" t="s">
        <v>67</v>
      </c>
      <c r="C14" s="42"/>
      <c r="D14" s="42"/>
      <c r="E14" s="42"/>
      <c r="F14" s="42"/>
    </row>
    <row r="15" spans="1:6" x14ac:dyDescent="0.25">
      <c r="A15" s="22" t="s">
        <v>4</v>
      </c>
      <c r="B15" s="22" t="s">
        <v>68</v>
      </c>
      <c r="C15" s="42"/>
      <c r="D15" s="42"/>
      <c r="E15" s="42"/>
      <c r="F15" s="42"/>
    </row>
    <row r="16" spans="1:6" x14ac:dyDescent="0.25">
      <c r="D16" s="1"/>
      <c r="E16" s="1"/>
      <c r="F16" s="1"/>
    </row>
    <row r="17" spans="1:6" ht="23.25" x14ac:dyDescent="0.35">
      <c r="A17" s="211" t="s">
        <v>70</v>
      </c>
      <c r="B17" s="211"/>
      <c r="C17" s="70"/>
      <c r="D17" s="70"/>
      <c r="E17" s="70"/>
      <c r="F17" s="70"/>
    </row>
    <row r="18" spans="1:6" s="20" customFormat="1" ht="21.75" customHeight="1" x14ac:dyDescent="0.25">
      <c r="A18" s="25" t="s">
        <v>0</v>
      </c>
      <c r="B18" s="71" t="s">
        <v>2</v>
      </c>
      <c r="C18" s="72" t="str">
        <f>C$6</f>
        <v>Branch 1</v>
      </c>
      <c r="D18" s="72" t="str">
        <f t="shared" ref="D18:F18" si="0">D$6</f>
        <v>Branch 2</v>
      </c>
      <c r="E18" s="72" t="str">
        <f t="shared" si="0"/>
        <v>Branch 3</v>
      </c>
      <c r="F18" s="72" t="str">
        <f t="shared" si="0"/>
        <v>Branch 4</v>
      </c>
    </row>
    <row r="19" spans="1:6" x14ac:dyDescent="0.25">
      <c r="A19" s="22" t="s">
        <v>6</v>
      </c>
      <c r="B19" s="22" t="s">
        <v>5</v>
      </c>
      <c r="C19" s="41"/>
      <c r="D19" s="41"/>
      <c r="E19" s="41"/>
      <c r="F19" s="41"/>
    </row>
    <row r="20" spans="1:6" x14ac:dyDescent="0.25">
      <c r="A20" s="22" t="s">
        <v>76</v>
      </c>
      <c r="B20" s="22" t="s">
        <v>71</v>
      </c>
      <c r="C20" s="41"/>
      <c r="D20" s="41"/>
      <c r="E20" s="41"/>
      <c r="F20" s="41"/>
    </row>
    <row r="21" spans="1:6" x14ac:dyDescent="0.25">
      <c r="A21" s="22" t="s">
        <v>76</v>
      </c>
      <c r="B21" s="22" t="s">
        <v>3</v>
      </c>
      <c r="C21" s="41"/>
      <c r="D21" s="41"/>
      <c r="E21" s="41"/>
      <c r="F21" s="41"/>
    </row>
    <row r="22" spans="1:6" x14ac:dyDescent="0.25">
      <c r="A22" s="22" t="s">
        <v>4</v>
      </c>
      <c r="B22" s="22" t="s">
        <v>3</v>
      </c>
      <c r="C22" s="41"/>
      <c r="D22" s="41"/>
      <c r="E22" s="41"/>
      <c r="F22" s="41"/>
    </row>
    <row r="23" spans="1:6" x14ac:dyDescent="0.25">
      <c r="A23" s="22" t="s">
        <v>4</v>
      </c>
      <c r="B23" s="22" t="s">
        <v>71</v>
      </c>
      <c r="C23" s="80"/>
      <c r="D23" s="80"/>
      <c r="E23" s="80"/>
      <c r="F23" s="41"/>
    </row>
    <row r="24" spans="1:6" x14ac:dyDescent="0.25">
      <c r="A24" s="26" t="s">
        <v>4</v>
      </c>
      <c r="B24" s="26" t="s">
        <v>89</v>
      </c>
      <c r="C24" s="41"/>
      <c r="D24" s="41"/>
      <c r="E24" s="41"/>
      <c r="F24" s="41"/>
    </row>
    <row r="25" spans="1:6" x14ac:dyDescent="0.25">
      <c r="A25" s="26" t="s">
        <v>4</v>
      </c>
      <c r="B25" s="26" t="s">
        <v>88</v>
      </c>
      <c r="C25" s="73"/>
      <c r="D25" s="73"/>
      <c r="E25" s="73"/>
      <c r="F25" s="41"/>
    </row>
    <row r="26" spans="1:6" x14ac:dyDescent="0.25">
      <c r="D26" s="1"/>
      <c r="E26" s="1"/>
      <c r="F26" s="1"/>
    </row>
    <row r="27" spans="1:6" ht="23.25" x14ac:dyDescent="0.35">
      <c r="A27" s="208" t="s">
        <v>72</v>
      </c>
      <c r="B27" s="208"/>
      <c r="C27" s="70"/>
      <c r="D27" s="70"/>
      <c r="E27" s="70"/>
      <c r="F27" s="70"/>
    </row>
    <row r="28" spans="1:6" s="20" customFormat="1" ht="21.75" customHeight="1" x14ac:dyDescent="0.25">
      <c r="A28" s="25" t="s">
        <v>0</v>
      </c>
      <c r="B28" s="25" t="s">
        <v>2</v>
      </c>
      <c r="C28" s="72" t="str">
        <f t="shared" ref="C28:F28" si="1">C6</f>
        <v>Branch 1</v>
      </c>
      <c r="D28" s="72" t="str">
        <f t="shared" si="1"/>
        <v>Branch 2</v>
      </c>
      <c r="E28" s="72" t="str">
        <f t="shared" si="1"/>
        <v>Branch 3</v>
      </c>
      <c r="F28" s="72" t="str">
        <f t="shared" si="1"/>
        <v>Branch 4</v>
      </c>
    </row>
    <row r="29" spans="1:6" x14ac:dyDescent="0.25">
      <c r="A29" s="22" t="s">
        <v>6</v>
      </c>
      <c r="B29" s="22" t="s">
        <v>5</v>
      </c>
      <c r="C29" s="69"/>
      <c r="D29" s="69"/>
      <c r="E29" s="69"/>
      <c r="F29" s="69"/>
    </row>
    <row r="30" spans="1:6" x14ac:dyDescent="0.25">
      <c r="A30" s="22" t="s">
        <v>76</v>
      </c>
      <c r="B30" s="22" t="s">
        <v>74</v>
      </c>
      <c r="C30" s="41"/>
      <c r="D30" s="41"/>
      <c r="E30" s="41"/>
      <c r="F30" s="41"/>
    </row>
    <row r="31" spans="1:6" x14ac:dyDescent="0.25">
      <c r="A31" s="22" t="s">
        <v>76</v>
      </c>
      <c r="B31" s="22" t="s">
        <v>75</v>
      </c>
      <c r="C31" s="41"/>
      <c r="D31" s="41"/>
      <c r="E31" s="41"/>
      <c r="F31" s="41"/>
    </row>
    <row r="32" spans="1:6" x14ac:dyDescent="0.25">
      <c r="A32" s="22" t="s">
        <v>76</v>
      </c>
      <c r="B32" s="27" t="s">
        <v>8</v>
      </c>
      <c r="C32" s="41"/>
      <c r="D32" s="41"/>
      <c r="E32" s="41"/>
      <c r="F32" s="41"/>
    </row>
    <row r="33" spans="1:6" x14ac:dyDescent="0.25">
      <c r="A33" s="58" t="s">
        <v>6</v>
      </c>
      <c r="B33" s="57" t="s">
        <v>130</v>
      </c>
      <c r="C33" s="41" t="str">
        <f>IF($C$7="Y","","N/A")</f>
        <v>N/A</v>
      </c>
      <c r="D33" s="41" t="str">
        <f t="shared" ref="D33:F33" si="2">IF($C$7="Y","","N/A")</f>
        <v>N/A</v>
      </c>
      <c r="E33" s="41" t="str">
        <f t="shared" si="2"/>
        <v>N/A</v>
      </c>
      <c r="F33" s="41" t="str">
        <f t="shared" si="2"/>
        <v>N/A</v>
      </c>
    </row>
    <row r="34" spans="1:6" x14ac:dyDescent="0.25">
      <c r="A34" s="74" t="s">
        <v>134</v>
      </c>
      <c r="B34" s="75" t="s">
        <v>135</v>
      </c>
      <c r="C34" s="41"/>
      <c r="D34" s="41"/>
      <c r="E34" s="41"/>
      <c r="F34" s="41"/>
    </row>
    <row r="35" spans="1:6" x14ac:dyDescent="0.25">
      <c r="A35" s="58" t="s">
        <v>4</v>
      </c>
      <c r="B35" s="59" t="s">
        <v>136</v>
      </c>
      <c r="C35" s="41" t="str">
        <f t="shared" ref="C35:F37" si="3">IF(C$7="Y","","N/A")</f>
        <v>N/A</v>
      </c>
      <c r="D35" s="41" t="str">
        <f t="shared" si="3"/>
        <v>N/A</v>
      </c>
      <c r="E35" s="41" t="str">
        <f t="shared" si="3"/>
        <v>N/A</v>
      </c>
      <c r="F35" s="41" t="str">
        <f t="shared" si="3"/>
        <v>N/A</v>
      </c>
    </row>
    <row r="36" spans="1:6" x14ac:dyDescent="0.25">
      <c r="A36" s="58" t="s">
        <v>4</v>
      </c>
      <c r="B36" s="59" t="s">
        <v>127</v>
      </c>
      <c r="C36" s="41" t="str">
        <f t="shared" si="3"/>
        <v>N/A</v>
      </c>
      <c r="D36" s="41" t="str">
        <f t="shared" si="3"/>
        <v>N/A</v>
      </c>
      <c r="E36" s="41" t="str">
        <f t="shared" si="3"/>
        <v>N/A</v>
      </c>
      <c r="F36" s="41" t="str">
        <f t="shared" si="3"/>
        <v>N/A</v>
      </c>
    </row>
    <row r="37" spans="1:6" x14ac:dyDescent="0.25">
      <c r="A37" s="58" t="s">
        <v>4</v>
      </c>
      <c r="B37" s="58" t="s">
        <v>137</v>
      </c>
      <c r="C37" s="41" t="str">
        <f t="shared" si="3"/>
        <v>N/A</v>
      </c>
      <c r="D37" s="41" t="str">
        <f t="shared" si="3"/>
        <v>N/A</v>
      </c>
      <c r="E37" s="41" t="str">
        <f t="shared" si="3"/>
        <v>N/A</v>
      </c>
      <c r="F37" s="41" t="str">
        <f t="shared" si="3"/>
        <v>N/A</v>
      </c>
    </row>
    <row r="38" spans="1:6" x14ac:dyDescent="0.25">
      <c r="A38" s="22" t="s">
        <v>6</v>
      </c>
      <c r="B38" s="27" t="s">
        <v>7</v>
      </c>
      <c r="C38" s="41"/>
      <c r="D38" s="41"/>
      <c r="E38" s="41"/>
      <c r="F38" s="41"/>
    </row>
    <row r="39" spans="1:6" x14ac:dyDescent="0.25">
      <c r="A39" s="22" t="s">
        <v>6</v>
      </c>
      <c r="B39" s="27" t="s">
        <v>138</v>
      </c>
      <c r="C39" s="41"/>
      <c r="D39" s="41"/>
      <c r="E39" s="41"/>
      <c r="F39" s="41"/>
    </row>
    <row r="40" spans="1:6" x14ac:dyDescent="0.25">
      <c r="A40" s="74" t="s">
        <v>134</v>
      </c>
      <c r="B40" s="75" t="s">
        <v>139</v>
      </c>
      <c r="C40" s="41"/>
      <c r="D40" s="41"/>
      <c r="E40" s="41"/>
      <c r="F40" s="41"/>
    </row>
    <row r="41" spans="1:6" s="1" customFormat="1" x14ac:dyDescent="0.25">
      <c r="A41" s="27" t="s">
        <v>6</v>
      </c>
      <c r="B41" s="27" t="s">
        <v>77</v>
      </c>
      <c r="C41" s="27"/>
      <c r="D41" s="27"/>
      <c r="E41" s="27"/>
      <c r="F41" s="27"/>
    </row>
    <row r="42" spans="1:6" s="21" customFormat="1" x14ac:dyDescent="0.25">
      <c r="A42" s="26" t="s">
        <v>4</v>
      </c>
      <c r="B42" s="26" t="s">
        <v>140</v>
      </c>
      <c r="C42" s="41"/>
      <c r="D42" s="41"/>
      <c r="E42" s="41"/>
      <c r="F42" s="41"/>
    </row>
    <row r="43" spans="1:6" s="21" customFormat="1" x14ac:dyDescent="0.25">
      <c r="A43" s="45" t="s">
        <v>4</v>
      </c>
      <c r="B43" s="46" t="s">
        <v>141</v>
      </c>
      <c r="C43" s="41" t="str">
        <f t="shared" ref="C43:F46" si="4">IF(C$7="Y","","N/A")</f>
        <v>N/A</v>
      </c>
      <c r="D43" s="41" t="str">
        <f t="shared" si="4"/>
        <v>N/A</v>
      </c>
      <c r="E43" s="41" t="str">
        <f t="shared" si="4"/>
        <v>N/A</v>
      </c>
      <c r="F43" s="41" t="str">
        <f t="shared" si="4"/>
        <v>N/A</v>
      </c>
    </row>
    <row r="44" spans="1:6" s="21" customFormat="1" x14ac:dyDescent="0.25">
      <c r="A44" s="45" t="s">
        <v>4</v>
      </c>
      <c r="B44" s="46" t="s">
        <v>142</v>
      </c>
      <c r="C44" s="41" t="str">
        <f t="shared" si="4"/>
        <v>N/A</v>
      </c>
      <c r="D44" s="41" t="str">
        <f t="shared" si="4"/>
        <v>N/A</v>
      </c>
      <c r="E44" s="41" t="str">
        <f t="shared" si="4"/>
        <v>N/A</v>
      </c>
      <c r="F44" s="41" t="str">
        <f t="shared" si="4"/>
        <v>N/A</v>
      </c>
    </row>
    <row r="45" spans="1:6" s="21" customFormat="1" x14ac:dyDescent="0.25">
      <c r="A45" s="45" t="s">
        <v>4</v>
      </c>
      <c r="B45" s="46" t="s">
        <v>143</v>
      </c>
      <c r="C45" s="41" t="str">
        <f t="shared" si="4"/>
        <v>N/A</v>
      </c>
      <c r="D45" s="41" t="str">
        <f t="shared" si="4"/>
        <v>N/A</v>
      </c>
      <c r="E45" s="41" t="str">
        <f t="shared" si="4"/>
        <v>N/A</v>
      </c>
      <c r="F45" s="41" t="str">
        <f t="shared" si="4"/>
        <v>N/A</v>
      </c>
    </row>
    <row r="46" spans="1:6" s="21" customFormat="1" x14ac:dyDescent="0.25">
      <c r="A46" s="22" t="s">
        <v>78</v>
      </c>
      <c r="B46" s="22" t="s">
        <v>87</v>
      </c>
      <c r="C46" s="41" t="str">
        <f t="shared" si="4"/>
        <v>N/A</v>
      </c>
      <c r="D46" s="41" t="str">
        <f t="shared" si="4"/>
        <v>N/A</v>
      </c>
      <c r="E46" s="41" t="str">
        <f t="shared" si="4"/>
        <v>N/A</v>
      </c>
      <c r="F46" s="41" t="str">
        <f t="shared" si="4"/>
        <v>N/A</v>
      </c>
    </row>
    <row r="47" spans="1:6" x14ac:dyDescent="0.25">
      <c r="A47" s="74" t="s">
        <v>134</v>
      </c>
      <c r="B47" s="75" t="s">
        <v>144</v>
      </c>
      <c r="C47" s="41"/>
      <c r="D47" s="41"/>
      <c r="E47" s="41"/>
      <c r="F47" s="41"/>
    </row>
    <row r="48" spans="1:6" x14ac:dyDescent="0.25">
      <c r="A48" s="22" t="s">
        <v>6</v>
      </c>
      <c r="B48" s="22" t="s">
        <v>145</v>
      </c>
      <c r="C48" s="41"/>
      <c r="D48" s="41"/>
      <c r="E48" s="41"/>
      <c r="F48" s="41"/>
    </row>
    <row r="49" spans="1:6" x14ac:dyDescent="0.25">
      <c r="A49" s="22" t="s">
        <v>4</v>
      </c>
      <c r="B49" s="22" t="s">
        <v>80</v>
      </c>
      <c r="C49" s="41"/>
      <c r="D49" s="41"/>
      <c r="E49" s="41"/>
      <c r="F49" s="41"/>
    </row>
    <row r="50" spans="1:6" x14ac:dyDescent="0.25">
      <c r="A50" s="22" t="s">
        <v>4</v>
      </c>
      <c r="B50" s="22" t="s">
        <v>81</v>
      </c>
      <c r="C50" s="41"/>
      <c r="D50" s="41"/>
      <c r="E50" s="41"/>
      <c r="F50" s="41"/>
    </row>
    <row r="51" spans="1:6" x14ac:dyDescent="0.25">
      <c r="A51" s="22" t="s">
        <v>6</v>
      </c>
      <c r="B51" s="22" t="s">
        <v>146</v>
      </c>
      <c r="C51" s="41"/>
      <c r="D51" s="41"/>
      <c r="E51" s="41"/>
      <c r="F51" s="41"/>
    </row>
    <row r="52" spans="1:6" x14ac:dyDescent="0.25">
      <c r="A52" s="22" t="s">
        <v>4</v>
      </c>
      <c r="B52" s="22" t="s">
        <v>82</v>
      </c>
      <c r="C52" s="41"/>
      <c r="D52" s="41"/>
      <c r="E52" s="41"/>
      <c r="F52" s="41"/>
    </row>
    <row r="53" spans="1:6" x14ac:dyDescent="0.25">
      <c r="A53" s="74" t="s">
        <v>134</v>
      </c>
      <c r="B53" s="75" t="s">
        <v>147</v>
      </c>
      <c r="C53" s="41"/>
      <c r="D53" s="41"/>
      <c r="E53" s="41"/>
      <c r="F53" s="41"/>
    </row>
    <row r="54" spans="1:6" x14ac:dyDescent="0.25">
      <c r="A54" s="22" t="s">
        <v>6</v>
      </c>
      <c r="B54" s="22" t="s">
        <v>148</v>
      </c>
      <c r="C54" s="41"/>
      <c r="D54" s="41"/>
      <c r="E54" s="41"/>
      <c r="F54" s="41"/>
    </row>
    <row r="55" spans="1:6" x14ac:dyDescent="0.25">
      <c r="A55" s="74" t="s">
        <v>134</v>
      </c>
      <c r="B55" s="75" t="s">
        <v>149</v>
      </c>
      <c r="C55" s="41"/>
      <c r="D55" s="41"/>
      <c r="E55" s="41"/>
      <c r="F55" s="41"/>
    </row>
    <row r="56" spans="1:6" x14ac:dyDescent="0.25">
      <c r="A56" s="76" t="s">
        <v>150</v>
      </c>
      <c r="B56" s="77" t="s">
        <v>151</v>
      </c>
      <c r="C56" s="41"/>
      <c r="D56" s="41"/>
      <c r="E56" s="41"/>
      <c r="F56" s="41"/>
    </row>
    <row r="57" spans="1:6" x14ac:dyDescent="0.25">
      <c r="A57" s="76" t="s">
        <v>150</v>
      </c>
      <c r="B57" s="77" t="s">
        <v>152</v>
      </c>
      <c r="C57" s="41"/>
      <c r="D57" s="41"/>
      <c r="E57" s="41"/>
      <c r="F57" s="41"/>
    </row>
    <row r="58" spans="1:6" x14ac:dyDescent="0.25">
      <c r="A58" s="76" t="s">
        <v>150</v>
      </c>
      <c r="B58" s="77" t="s">
        <v>153</v>
      </c>
      <c r="C58" s="41"/>
      <c r="D58" s="41"/>
      <c r="E58" s="41"/>
      <c r="F58" s="41"/>
    </row>
    <row r="59" spans="1:6" x14ac:dyDescent="0.25">
      <c r="A59" s="76" t="s">
        <v>150</v>
      </c>
      <c r="B59" s="77" t="s">
        <v>154</v>
      </c>
      <c r="C59" s="41"/>
      <c r="D59" s="41"/>
      <c r="E59" s="41"/>
      <c r="F59" s="41"/>
    </row>
    <row r="60" spans="1:6" x14ac:dyDescent="0.25">
      <c r="A60" s="76" t="s">
        <v>150</v>
      </c>
      <c r="B60" s="77" t="s">
        <v>155</v>
      </c>
      <c r="C60" s="41"/>
      <c r="D60" s="41"/>
      <c r="E60" s="41"/>
      <c r="F60" s="41"/>
    </row>
    <row r="61" spans="1:6" x14ac:dyDescent="0.25">
      <c r="A61" s="76" t="s">
        <v>150</v>
      </c>
      <c r="B61" s="77" t="s">
        <v>156</v>
      </c>
      <c r="C61" s="41"/>
      <c r="D61" s="41"/>
      <c r="E61" s="41"/>
      <c r="F61" s="41"/>
    </row>
    <row r="62" spans="1:6" x14ac:dyDescent="0.25">
      <c r="A62" s="76" t="s">
        <v>150</v>
      </c>
      <c r="B62" s="77" t="s">
        <v>157</v>
      </c>
      <c r="C62" s="41"/>
      <c r="D62" s="41"/>
      <c r="E62" s="41"/>
      <c r="F62" s="41"/>
    </row>
    <row r="63" spans="1:6" x14ac:dyDescent="0.25">
      <c r="A63" s="22" t="s">
        <v>4</v>
      </c>
      <c r="B63" s="22" t="s">
        <v>83</v>
      </c>
      <c r="C63" s="41"/>
      <c r="D63" s="41"/>
      <c r="E63" s="41"/>
      <c r="F63" s="41"/>
    </row>
    <row r="64" spans="1:6" x14ac:dyDescent="0.25">
      <c r="A64" s="22" t="s">
        <v>6</v>
      </c>
      <c r="B64" s="22" t="s">
        <v>158</v>
      </c>
      <c r="C64" s="41"/>
      <c r="D64" s="41"/>
      <c r="E64" s="41"/>
      <c r="F64" s="41"/>
    </row>
    <row r="65" spans="1:6" x14ac:dyDescent="0.25">
      <c r="A65" s="76" t="s">
        <v>150</v>
      </c>
      <c r="B65" s="77" t="s">
        <v>159</v>
      </c>
      <c r="C65" s="41"/>
      <c r="D65" s="41"/>
      <c r="E65" s="41"/>
      <c r="F65" s="41"/>
    </row>
    <row r="66" spans="1:6" x14ac:dyDescent="0.25">
      <c r="A66" s="74" t="s">
        <v>134</v>
      </c>
      <c r="B66" s="75" t="s">
        <v>160</v>
      </c>
      <c r="C66" s="41"/>
      <c r="D66" s="41"/>
      <c r="E66" s="41"/>
      <c r="F66" s="41"/>
    </row>
    <row r="67" spans="1:6" x14ac:dyDescent="0.25">
      <c r="A67" s="76" t="s">
        <v>150</v>
      </c>
      <c r="B67" s="77" t="s">
        <v>161</v>
      </c>
      <c r="C67" s="41"/>
      <c r="D67" s="41"/>
      <c r="E67" s="41"/>
      <c r="F67" s="41"/>
    </row>
    <row r="68" spans="1:6" x14ac:dyDescent="0.25">
      <c r="A68" s="60" t="s">
        <v>6</v>
      </c>
      <c r="B68" s="61" t="s">
        <v>13</v>
      </c>
      <c r="C68" s="41"/>
      <c r="D68" s="41"/>
      <c r="E68" s="41"/>
      <c r="F68" s="41"/>
    </row>
    <row r="69" spans="1:6" x14ac:dyDescent="0.25">
      <c r="A69" s="60" t="s">
        <v>4</v>
      </c>
      <c r="B69" s="61" t="s">
        <v>124</v>
      </c>
      <c r="C69" s="41"/>
      <c r="D69" s="41"/>
      <c r="E69" s="41"/>
      <c r="F69" s="41"/>
    </row>
    <row r="70" spans="1:6" x14ac:dyDescent="0.25">
      <c r="A70" s="62" t="s">
        <v>4</v>
      </c>
      <c r="B70" s="46" t="s">
        <v>131</v>
      </c>
      <c r="C70" s="41"/>
      <c r="D70" s="41"/>
      <c r="E70" s="41"/>
      <c r="F70" s="41"/>
    </row>
    <row r="71" spans="1:6" x14ac:dyDescent="0.25">
      <c r="A71" s="60" t="s">
        <v>4</v>
      </c>
      <c r="B71" s="61" t="s">
        <v>162</v>
      </c>
      <c r="C71" s="41"/>
      <c r="D71" s="41"/>
      <c r="E71" s="41"/>
      <c r="F71" s="41"/>
    </row>
    <row r="72" spans="1:6" x14ac:dyDescent="0.25">
      <c r="A72" s="74" t="s">
        <v>134</v>
      </c>
      <c r="B72" s="75" t="s">
        <v>163</v>
      </c>
      <c r="C72" s="41"/>
      <c r="D72" s="41"/>
      <c r="E72" s="41"/>
      <c r="F72" s="41"/>
    </row>
    <row r="73" spans="1:6" x14ac:dyDescent="0.25">
      <c r="A73" s="60" t="s">
        <v>4</v>
      </c>
      <c r="B73" s="61" t="s">
        <v>164</v>
      </c>
      <c r="C73" s="41"/>
      <c r="D73" s="41"/>
      <c r="E73" s="41"/>
      <c r="F73" s="41"/>
    </row>
    <row r="74" spans="1:6" x14ac:dyDescent="0.25">
      <c r="D74" s="1"/>
      <c r="E74" s="1"/>
      <c r="F74" s="1"/>
    </row>
    <row r="75" spans="1:6" ht="23.25" x14ac:dyDescent="0.35">
      <c r="A75" s="208" t="s">
        <v>84</v>
      </c>
      <c r="B75" s="208"/>
      <c r="C75" s="70"/>
      <c r="D75" s="70"/>
      <c r="E75" s="70"/>
      <c r="F75" s="70"/>
    </row>
    <row r="76" spans="1:6" s="79" customFormat="1" ht="18.75" x14ac:dyDescent="0.25">
      <c r="A76" s="64" t="s">
        <v>0</v>
      </c>
      <c r="B76" s="64" t="s">
        <v>2</v>
      </c>
      <c r="C76" s="78" t="str">
        <f t="shared" ref="C76:F76" si="5">C6</f>
        <v>Branch 1</v>
      </c>
      <c r="D76" s="78" t="str">
        <f t="shared" si="5"/>
        <v>Branch 2</v>
      </c>
      <c r="E76" s="78" t="str">
        <f t="shared" si="5"/>
        <v>Branch 3</v>
      </c>
      <c r="F76" s="78" t="str">
        <f t="shared" si="5"/>
        <v>Branch 4</v>
      </c>
    </row>
    <row r="77" spans="1:6" x14ac:dyDescent="0.25">
      <c r="A77" s="22" t="s">
        <v>6</v>
      </c>
      <c r="B77" s="23" t="s">
        <v>61</v>
      </c>
      <c r="C77" s="69"/>
      <c r="D77" s="69"/>
      <c r="E77" s="69"/>
      <c r="F77" s="69"/>
    </row>
    <row r="78" spans="1:6" x14ac:dyDescent="0.25">
      <c r="A78" s="22" t="s">
        <v>4</v>
      </c>
      <c r="B78" s="24" t="s">
        <v>9</v>
      </c>
      <c r="C78" s="41"/>
      <c r="D78" s="41"/>
      <c r="E78" s="41"/>
      <c r="F78" s="41"/>
    </row>
    <row r="79" spans="1:6" x14ac:dyDescent="0.25">
      <c r="A79" s="60" t="s">
        <v>4</v>
      </c>
      <c r="B79" s="61" t="s">
        <v>165</v>
      </c>
      <c r="C79" s="41"/>
      <c r="D79" s="41"/>
      <c r="E79" s="41"/>
      <c r="F79" s="41"/>
    </row>
    <row r="80" spans="1:6" s="20" customFormat="1" x14ac:dyDescent="0.25">
      <c r="A80" s="22" t="s">
        <v>6</v>
      </c>
      <c r="B80" s="24" t="s">
        <v>10</v>
      </c>
      <c r="C80" s="41"/>
      <c r="D80" s="41"/>
      <c r="E80" s="41"/>
      <c r="F80" s="41"/>
    </row>
    <row r="81" spans="1:6" x14ac:dyDescent="0.25">
      <c r="A81" s="22" t="s">
        <v>4</v>
      </c>
      <c r="B81" s="24" t="s">
        <v>11</v>
      </c>
      <c r="C81" s="41"/>
      <c r="D81" s="41"/>
      <c r="E81" s="41"/>
      <c r="F81" s="41"/>
    </row>
    <row r="82" spans="1:6" x14ac:dyDescent="0.25">
      <c r="A82" s="22" t="s">
        <v>76</v>
      </c>
      <c r="B82" s="23" t="s">
        <v>9</v>
      </c>
      <c r="C82" s="41"/>
      <c r="D82" s="41"/>
      <c r="E82" s="41"/>
      <c r="F82" s="41"/>
    </row>
    <row r="83" spans="1:6" x14ac:dyDescent="0.25">
      <c r="A83" s="22" t="s">
        <v>76</v>
      </c>
      <c r="B83" s="23" t="s">
        <v>11</v>
      </c>
      <c r="C83" s="41"/>
      <c r="D83" s="41"/>
      <c r="E83" s="41"/>
      <c r="F83" s="41"/>
    </row>
    <row r="84" spans="1:6" x14ac:dyDescent="0.25">
      <c r="A84" s="22" t="s">
        <v>76</v>
      </c>
      <c r="B84" s="23" t="s">
        <v>12</v>
      </c>
      <c r="C84" s="41"/>
      <c r="D84" s="41"/>
      <c r="E84" s="41"/>
      <c r="F84" s="41"/>
    </row>
    <row r="85" spans="1:6" x14ac:dyDescent="0.25">
      <c r="A85" s="22" t="s">
        <v>4</v>
      </c>
      <c r="B85" s="24" t="s">
        <v>11</v>
      </c>
      <c r="C85" s="41"/>
      <c r="D85" s="41"/>
      <c r="E85" s="41"/>
      <c r="F85" s="41"/>
    </row>
    <row r="86" spans="1:6" x14ac:dyDescent="0.25">
      <c r="A86" s="22" t="s">
        <v>76</v>
      </c>
      <c r="B86" s="23" t="s">
        <v>9</v>
      </c>
      <c r="C86" s="41"/>
      <c r="D86" s="41"/>
      <c r="E86" s="41"/>
      <c r="F86" s="41"/>
    </row>
    <row r="87" spans="1:6" x14ac:dyDescent="0.25">
      <c r="A87" s="22" t="s">
        <v>76</v>
      </c>
      <c r="B87" s="23" t="s">
        <v>11</v>
      </c>
      <c r="C87" s="41"/>
      <c r="D87" s="41"/>
      <c r="E87" s="41"/>
      <c r="F87" s="41"/>
    </row>
    <row r="88" spans="1:6" x14ac:dyDescent="0.25">
      <c r="A88" s="22" t="s">
        <v>76</v>
      </c>
      <c r="B88" s="23" t="s">
        <v>12</v>
      </c>
      <c r="C88" s="41"/>
      <c r="D88" s="41"/>
      <c r="E88" s="41"/>
      <c r="F88" s="41"/>
    </row>
  </sheetData>
  <mergeCells count="8">
    <mergeCell ref="A75:B75"/>
    <mergeCell ref="A1:C1"/>
    <mergeCell ref="A2:C2"/>
    <mergeCell ref="A3:C3"/>
    <mergeCell ref="A4:C4"/>
    <mergeCell ref="A5:B5"/>
    <mergeCell ref="A17:B17"/>
    <mergeCell ref="A27:B27"/>
  </mergeCells>
  <conditionalFormatting sqref="A17 A85:B88 C74:F74 A26:F26 C21:E22 C28:F32 C76:F77 A6:F7 A11:F16 A18:F19 C80:F88 C37:F38 C67:F67 C53:F54 A20:E20 A24:E25 F20:F25">
    <cfRule type="expression" dxfId="67" priority="85">
      <formula>A7=Y</formula>
    </cfRule>
  </conditionalFormatting>
  <conditionalFormatting sqref="C19:F19 C29:F73 C8:F15 C24:E25 C77:F88 C20:E20 F20:F25">
    <cfRule type="cellIs" dxfId="66" priority="84" operator="equal">
      <formula>"Y"</formula>
    </cfRule>
  </conditionalFormatting>
  <conditionalFormatting sqref="C40:F40 B22:E22 A8:F9 C78:F78 C47:F47 C49:F52 C72:F72">
    <cfRule type="expression" dxfId="65" priority="86">
      <formula>A10=Y</formula>
    </cfRule>
  </conditionalFormatting>
  <conditionalFormatting sqref="C37:F37 C33:F35">
    <cfRule type="expression" dxfId="64" priority="87">
      <formula>#REF!=Y</formula>
    </cfRule>
  </conditionalFormatting>
  <conditionalFormatting sqref="C43:F46">
    <cfRule type="expression" dxfId="63" priority="82">
      <formula>#REF!=Y</formula>
    </cfRule>
  </conditionalFormatting>
  <conditionalFormatting sqref="C43:F46 C71:F71 C61:F64">
    <cfRule type="expression" dxfId="62" priority="88">
      <formula>#REF!=Y</formula>
    </cfRule>
  </conditionalFormatting>
  <conditionalFormatting sqref="C35:F36 C70:F70 C55:F57 C48:F48">
    <cfRule type="expression" dxfId="61" priority="89">
      <formula>C38=Y</formula>
    </cfRule>
  </conditionalFormatting>
  <conditionalFormatting sqref="C36:F36">
    <cfRule type="expression" dxfId="60" priority="78">
      <formula>#REF!=Y</formula>
    </cfRule>
  </conditionalFormatting>
  <conditionalFormatting sqref="C43:F46">
    <cfRule type="expression" dxfId="59" priority="90">
      <formula>C49=Y</formula>
    </cfRule>
  </conditionalFormatting>
  <conditionalFormatting sqref="C42:F42">
    <cfRule type="expression" dxfId="58" priority="91">
      <formula>C47=Y</formula>
    </cfRule>
  </conditionalFormatting>
  <conditionalFormatting sqref="C58:F59">
    <cfRule type="expression" dxfId="57" priority="92">
      <formula>C67=Y</formula>
    </cfRule>
  </conditionalFormatting>
  <conditionalFormatting sqref="C68:F69 C66:F66">
    <cfRule type="expression" dxfId="56" priority="93">
      <formula>#REF!=Y</formula>
    </cfRule>
  </conditionalFormatting>
  <conditionalFormatting sqref="C65:F65">
    <cfRule type="expression" dxfId="55" priority="94">
      <formula>#REF!=Y</formula>
    </cfRule>
  </conditionalFormatting>
  <conditionalFormatting sqref="C60:F60">
    <cfRule type="expression" dxfId="54" priority="97">
      <formula>C70=Y</formula>
    </cfRule>
  </conditionalFormatting>
  <conditionalFormatting sqref="A10:F10 C73:F73">
    <cfRule type="expression" dxfId="53" priority="98">
      <formula>A9=Y</formula>
    </cfRule>
  </conditionalFormatting>
  <conditionalFormatting sqref="C79:F79">
    <cfRule type="expression" dxfId="52" priority="73">
      <formula>C77=Y</formula>
    </cfRule>
  </conditionalFormatting>
  <conditionalFormatting sqref="C17:F17">
    <cfRule type="expression" dxfId="51" priority="71">
      <formula>C18=Y</formula>
    </cfRule>
  </conditionalFormatting>
  <conditionalFormatting sqref="C27:F27">
    <cfRule type="expression" dxfId="50" priority="70">
      <formula>C28=Y</formula>
    </cfRule>
  </conditionalFormatting>
  <conditionalFormatting sqref="C75:F75">
    <cfRule type="expression" dxfId="49" priority="69">
      <formula>C76=Y</formula>
    </cfRule>
  </conditionalFormatting>
  <conditionalFormatting sqref="C5:F5">
    <cfRule type="expression" dxfId="48" priority="38">
      <formula>C6=Y</formula>
    </cfRule>
  </conditionalFormatting>
  <conditionalFormatting sqref="A23:E23">
    <cfRule type="expression" dxfId="47" priority="19">
      <formula>A24=Y</formula>
    </cfRule>
  </conditionalFormatting>
  <conditionalFormatting sqref="C21:E23">
    <cfRule type="cellIs" dxfId="46" priority="18" operator="equal">
      <formula>"Y"</formula>
    </cfRule>
  </conditionalFormatting>
  <conditionalFormatting sqref="A21:B21">
    <cfRule type="expression" dxfId="45" priority="20">
      <formula>A23=Y</formula>
    </cfRule>
  </conditionalFormatting>
  <conditionalFormatting sqref="A22">
    <cfRule type="expression" dxfId="44" priority="17">
      <formula>A23=Y</formula>
    </cfRule>
  </conditionalFormatting>
  <conditionalFormatting sqref="A74:B74 A37:B38 A41:B41 A63:B63 A48:B51 A27 A75 A28:B32 A76:B77 A80:B84">
    <cfRule type="expression" dxfId="43" priority="11">
      <formula>A28=Y</formula>
    </cfRule>
  </conditionalFormatting>
  <conditionalFormatting sqref="A39:B39 A46:B46 A52:B52 A78:B78">
    <cfRule type="expression" dxfId="42" priority="12">
      <formula>A41=Y</formula>
    </cfRule>
  </conditionalFormatting>
  <conditionalFormatting sqref="A64:B64 A33:B34">
    <cfRule type="expression" dxfId="41" priority="13">
      <formula>#REF!=Y</formula>
    </cfRule>
  </conditionalFormatting>
  <conditionalFormatting sqref="A35">
    <cfRule type="expression" dxfId="40" priority="14">
      <formula>#REF!=Y</formula>
    </cfRule>
  </conditionalFormatting>
  <conditionalFormatting sqref="A40:B40">
    <cfRule type="expression" dxfId="39" priority="10">
      <formula>#REF!=Y</formula>
    </cfRule>
  </conditionalFormatting>
  <conditionalFormatting sqref="A47:B47">
    <cfRule type="expression" dxfId="38" priority="9">
      <formula>#REF!=Y</formula>
    </cfRule>
  </conditionalFormatting>
  <conditionalFormatting sqref="A55:B62">
    <cfRule type="expression" dxfId="37" priority="8">
      <formula>#REF!=Y</formula>
    </cfRule>
  </conditionalFormatting>
  <conditionalFormatting sqref="A66:B66">
    <cfRule type="expression" dxfId="36" priority="7">
      <formula>#REF!=Y</formula>
    </cfRule>
  </conditionalFormatting>
  <conditionalFormatting sqref="A72:B72">
    <cfRule type="expression" dxfId="35" priority="6">
      <formula>#REF!=Y</formula>
    </cfRule>
  </conditionalFormatting>
  <conditionalFormatting sqref="A53:B53">
    <cfRule type="expression" dxfId="34" priority="5">
      <formula>#REF!=Y</formula>
    </cfRule>
  </conditionalFormatting>
  <conditionalFormatting sqref="A36">
    <cfRule type="expression" dxfId="33" priority="4">
      <formula>#REF!=Y</formula>
    </cfRule>
  </conditionalFormatting>
  <conditionalFormatting sqref="A42:B42">
    <cfRule type="expression" dxfId="32" priority="15">
      <formula>A46=Y</formula>
    </cfRule>
  </conditionalFormatting>
  <conditionalFormatting sqref="A54:B54">
    <cfRule type="expression" dxfId="31" priority="16">
      <formula>A63=Y</formula>
    </cfRule>
  </conditionalFormatting>
  <conditionalFormatting sqref="A65:B65">
    <cfRule type="expression" dxfId="30" priority="3">
      <formula>#REF!=Y</formula>
    </cfRule>
  </conditionalFormatting>
  <conditionalFormatting sqref="A67:B67">
    <cfRule type="expression" dxfId="29" priority="2">
      <formula>#REF!=Y</formula>
    </cfRule>
  </conditionalFormatting>
  <conditionalFormatting sqref="C39:F39">
    <cfRule type="expression" dxfId="28" priority="104">
      <formula>#REF!=Y</formula>
    </cfRule>
  </conditionalFormatting>
  <conditionalFormatting sqref="C41:F41">
    <cfRule type="expression" dxfId="27" priority="219">
      <formula>#REF!=Y</formula>
    </cfRule>
  </conditionalFormatting>
  <hyperlinks>
    <hyperlink ref="B2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0"/>
  <sheetViews>
    <sheetView zoomScale="85" zoomScaleNormal="85" workbookViewId="0">
      <pane ySplit="3" topLeftCell="A4" activePane="bottomLeft" state="frozen"/>
      <selection pane="bottomLeft" activeCell="D6" sqref="D6"/>
    </sheetView>
  </sheetViews>
  <sheetFormatPr defaultRowHeight="15" x14ac:dyDescent="0.25"/>
  <cols>
    <col min="1" max="1" width="1.5703125" style="18" customWidth="1"/>
    <col min="2" max="2" width="11.42578125" style="18" bestFit="1" customWidth="1"/>
    <col min="3" max="3" width="87.140625" style="1" customWidth="1"/>
    <col min="4" max="4" width="165" style="19" bestFit="1" customWidth="1"/>
    <col min="5" max="8" width="5.140625" bestFit="1" customWidth="1"/>
    <col min="9" max="9" width="5.140625" style="18" bestFit="1" customWidth="1"/>
  </cols>
  <sheetData>
    <row r="1" spans="1:9" s="82" customFormat="1" ht="9" customHeight="1" thickBot="1" x14ac:dyDescent="0.3">
      <c r="C1" s="118"/>
      <c r="D1" s="119"/>
    </row>
    <row r="2" spans="1:9" ht="33.75" x14ac:dyDescent="0.25">
      <c r="B2" s="189" t="s">
        <v>209</v>
      </c>
      <c r="C2" s="201"/>
      <c r="D2" s="202"/>
      <c r="E2" s="202"/>
      <c r="F2" s="202"/>
      <c r="G2" s="202"/>
      <c r="H2" s="202"/>
      <c r="I2" s="203"/>
    </row>
    <row r="3" spans="1:9" s="83" customFormat="1" ht="59.25" thickBot="1" x14ac:dyDescent="0.3">
      <c r="A3" s="112"/>
      <c r="B3" s="113" t="s">
        <v>0</v>
      </c>
      <c r="C3" s="114" t="s">
        <v>1</v>
      </c>
      <c r="D3" s="115" t="s">
        <v>2</v>
      </c>
      <c r="E3" s="116" t="s">
        <v>489</v>
      </c>
      <c r="F3" s="116" t="s">
        <v>487</v>
      </c>
      <c r="G3" s="116" t="s">
        <v>488</v>
      </c>
      <c r="H3" s="116" t="s">
        <v>168</v>
      </c>
      <c r="I3" s="117" t="s">
        <v>485</v>
      </c>
    </row>
    <row r="4" spans="1:9" s="21" customFormat="1" ht="27" thickBot="1" x14ac:dyDescent="0.3">
      <c r="B4" s="159" t="s">
        <v>191</v>
      </c>
      <c r="C4" s="160" t="s">
        <v>71</v>
      </c>
      <c r="D4" s="172"/>
      <c r="E4" s="190"/>
      <c r="F4" s="190"/>
      <c r="G4" s="190"/>
      <c r="H4" s="190"/>
      <c r="I4" s="190"/>
    </row>
    <row r="5" spans="1:9" s="18" customFormat="1" ht="31.5" customHeight="1" x14ac:dyDescent="0.25">
      <c r="B5" s="214" t="s">
        <v>215</v>
      </c>
      <c r="C5" s="215"/>
      <c r="D5" s="215"/>
      <c r="E5" s="215"/>
      <c r="F5" s="215"/>
      <c r="G5" s="215"/>
      <c r="H5" s="215"/>
      <c r="I5" s="216"/>
    </row>
    <row r="6" spans="1:9" s="18" customFormat="1" ht="15.75" x14ac:dyDescent="0.25">
      <c r="B6" s="213" t="s">
        <v>4</v>
      </c>
      <c r="C6" s="212" t="s">
        <v>216</v>
      </c>
      <c r="D6" s="168" t="s">
        <v>224</v>
      </c>
      <c r="E6" s="86"/>
      <c r="F6" s="86"/>
      <c r="G6" s="86"/>
      <c r="H6" s="86"/>
      <c r="I6" s="101"/>
    </row>
    <row r="7" spans="1:9" s="18" customFormat="1" ht="15.75" x14ac:dyDescent="0.25">
      <c r="B7" s="213"/>
      <c r="C7" s="212"/>
      <c r="D7" s="168" t="s">
        <v>252</v>
      </c>
      <c r="E7" s="86"/>
      <c r="F7" s="86"/>
      <c r="G7" s="86"/>
      <c r="H7" s="86"/>
      <c r="I7" s="101"/>
    </row>
    <row r="8" spans="1:9" s="18" customFormat="1" ht="15.75" x14ac:dyDescent="0.25">
      <c r="B8" s="213"/>
      <c r="C8" s="212"/>
      <c r="D8" s="168" t="s">
        <v>219</v>
      </c>
      <c r="E8" s="86"/>
      <c r="F8" s="86"/>
      <c r="G8" s="86"/>
      <c r="H8" s="86"/>
      <c r="I8" s="101"/>
    </row>
    <row r="9" spans="1:9" s="18" customFormat="1" ht="15.75" x14ac:dyDescent="0.25">
      <c r="B9" s="213"/>
      <c r="C9" s="212"/>
      <c r="D9" s="168" t="s">
        <v>220</v>
      </c>
      <c r="E9" s="86"/>
      <c r="F9" s="86"/>
      <c r="G9" s="86"/>
      <c r="H9" s="86"/>
      <c r="I9" s="101"/>
    </row>
    <row r="10" spans="1:9" s="18" customFormat="1" ht="15.75" x14ac:dyDescent="0.25">
      <c r="B10" s="213"/>
      <c r="C10" s="212"/>
      <c r="D10" s="168" t="s">
        <v>221</v>
      </c>
      <c r="E10" s="86"/>
      <c r="F10" s="86"/>
      <c r="G10" s="86"/>
      <c r="H10" s="86"/>
      <c r="I10" s="101"/>
    </row>
    <row r="11" spans="1:9" s="18" customFormat="1" ht="15.75" x14ac:dyDescent="0.25">
      <c r="B11" s="213"/>
      <c r="C11" s="212"/>
      <c r="D11" s="168" t="s">
        <v>475</v>
      </c>
      <c r="E11" s="86"/>
      <c r="F11" s="86"/>
      <c r="G11" s="86"/>
      <c r="H11" s="86"/>
      <c r="I11" s="101"/>
    </row>
    <row r="12" spans="1:9" s="18" customFormat="1" ht="15.75" x14ac:dyDescent="0.25">
      <c r="B12" s="213"/>
      <c r="C12" s="212"/>
      <c r="D12" s="168" t="s">
        <v>474</v>
      </c>
      <c r="E12" s="86"/>
      <c r="F12" s="86"/>
      <c r="G12" s="86"/>
      <c r="H12" s="86"/>
      <c r="I12" s="101"/>
    </row>
    <row r="13" spans="1:9" s="18" customFormat="1" ht="110.25" x14ac:dyDescent="0.25">
      <c r="B13" s="171" t="s">
        <v>4</v>
      </c>
      <c r="C13" s="168" t="s">
        <v>128</v>
      </c>
      <c r="D13" s="168" t="s">
        <v>132</v>
      </c>
      <c r="E13" s="86"/>
      <c r="F13" s="86"/>
      <c r="G13" s="86"/>
      <c r="H13" s="86"/>
      <c r="I13" s="101"/>
    </row>
    <row r="14" spans="1:9" s="18" customFormat="1" ht="15.75" x14ac:dyDescent="0.25">
      <c r="B14" s="171" t="s">
        <v>4</v>
      </c>
      <c r="C14" s="168" t="s">
        <v>253</v>
      </c>
      <c r="D14" s="168" t="s">
        <v>222</v>
      </c>
      <c r="E14" s="86"/>
      <c r="F14" s="86"/>
      <c r="G14" s="86"/>
      <c r="H14" s="86"/>
      <c r="I14" s="101"/>
    </row>
    <row r="15" spans="1:9" s="18" customFormat="1" ht="15.75" x14ac:dyDescent="0.25">
      <c r="B15" s="167" t="s">
        <v>4</v>
      </c>
      <c r="C15" s="168" t="s">
        <v>228</v>
      </c>
      <c r="D15" s="168" t="s">
        <v>229</v>
      </c>
      <c r="E15" s="84"/>
      <c r="F15" s="84"/>
      <c r="G15" s="84"/>
      <c r="H15" s="84"/>
      <c r="I15" s="161"/>
    </row>
    <row r="16" spans="1:9" s="18" customFormat="1" ht="16.5" thickBot="1" x14ac:dyDescent="0.3">
      <c r="B16" s="169" t="s">
        <v>4</v>
      </c>
      <c r="C16" s="170" t="s">
        <v>231</v>
      </c>
      <c r="D16" s="170" t="s">
        <v>230</v>
      </c>
      <c r="E16" s="103"/>
      <c r="F16" s="103"/>
      <c r="G16" s="103"/>
      <c r="H16" s="103"/>
      <c r="I16" s="162"/>
    </row>
    <row r="17" spans="2:9" s="106" customFormat="1" ht="19.5" thickBot="1" x14ac:dyDescent="0.3">
      <c r="B17" s="107"/>
      <c r="C17" s="108"/>
      <c r="D17" s="109"/>
      <c r="E17" s="110"/>
      <c r="F17" s="110"/>
      <c r="G17" s="110"/>
      <c r="H17" s="110"/>
      <c r="I17" s="110"/>
    </row>
    <row r="18" spans="2:9" s="87" customFormat="1" ht="31.5" customHeight="1" x14ac:dyDescent="0.25">
      <c r="B18" s="217" t="s">
        <v>201</v>
      </c>
      <c r="C18" s="218"/>
      <c r="D18" s="218"/>
      <c r="E18" s="218"/>
      <c r="F18" s="218"/>
      <c r="G18" s="218"/>
      <c r="H18" s="218"/>
      <c r="I18" s="219"/>
    </row>
    <row r="19" spans="2:9" s="87" customFormat="1" ht="23.25" x14ac:dyDescent="0.25">
      <c r="B19" s="199" t="s">
        <v>70</v>
      </c>
      <c r="C19" s="191" t="s">
        <v>226</v>
      </c>
      <c r="D19" s="191"/>
      <c r="E19" s="191"/>
      <c r="F19" s="191"/>
      <c r="G19" s="191"/>
      <c r="H19" s="191"/>
      <c r="I19" s="200"/>
    </row>
    <row r="20" spans="2:9" s="90" customFormat="1" ht="15.75" x14ac:dyDescent="0.25">
      <c r="B20" s="95" t="s">
        <v>191</v>
      </c>
      <c r="C20" s="89" t="s">
        <v>5</v>
      </c>
      <c r="D20" s="89" t="s">
        <v>232</v>
      </c>
      <c r="E20" s="88"/>
      <c r="F20" s="88"/>
      <c r="G20" s="88"/>
      <c r="H20" s="88"/>
      <c r="I20" s="96"/>
    </row>
    <row r="21" spans="2:9" s="90" customFormat="1" ht="15.75" x14ac:dyDescent="0.25">
      <c r="B21" s="95" t="s">
        <v>191</v>
      </c>
      <c r="C21" s="89" t="s">
        <v>74</v>
      </c>
      <c r="D21" s="89" t="s">
        <v>234</v>
      </c>
      <c r="E21" s="88"/>
      <c r="F21" s="88"/>
      <c r="G21" s="88"/>
      <c r="H21" s="88"/>
      <c r="I21" s="96"/>
    </row>
    <row r="22" spans="2:9" s="90" customFormat="1" ht="16.5" thickBot="1" x14ac:dyDescent="0.3">
      <c r="B22" s="173" t="s">
        <v>76</v>
      </c>
      <c r="C22" s="174" t="s">
        <v>75</v>
      </c>
      <c r="D22" s="174" t="s">
        <v>233</v>
      </c>
      <c r="E22" s="175"/>
      <c r="F22" s="175"/>
      <c r="G22" s="175"/>
      <c r="H22" s="175"/>
      <c r="I22" s="176"/>
    </row>
    <row r="23" spans="2:9" s="94" customFormat="1" ht="16.5" thickBot="1" x14ac:dyDescent="0.3">
      <c r="B23" s="92"/>
      <c r="C23" s="93"/>
      <c r="D23" s="93"/>
      <c r="E23" s="92"/>
      <c r="F23" s="92"/>
      <c r="G23" s="92"/>
      <c r="H23" s="92"/>
      <c r="I23" s="92"/>
    </row>
    <row r="24" spans="2:9" s="87" customFormat="1" ht="23.25" x14ac:dyDescent="0.25">
      <c r="B24" s="194" t="s">
        <v>70</v>
      </c>
      <c r="C24" s="195" t="s">
        <v>218</v>
      </c>
      <c r="D24" s="195"/>
      <c r="E24" s="195"/>
      <c r="F24" s="195"/>
      <c r="G24" s="195"/>
      <c r="H24" s="195"/>
      <c r="I24" s="196"/>
    </row>
    <row r="25" spans="2:9" s="21" customFormat="1" ht="15.75" x14ac:dyDescent="0.25">
      <c r="B25" s="163" t="s">
        <v>217</v>
      </c>
      <c r="C25" s="89" t="s">
        <v>138</v>
      </c>
      <c r="D25" s="89" t="s">
        <v>227</v>
      </c>
      <c r="E25" s="89"/>
      <c r="F25" s="89"/>
      <c r="G25" s="89"/>
      <c r="H25" s="89"/>
      <c r="I25" s="164"/>
    </row>
    <row r="26" spans="2:9" s="90" customFormat="1" ht="15.75" x14ac:dyDescent="0.25">
      <c r="B26" s="95" t="s">
        <v>191</v>
      </c>
      <c r="C26" s="89" t="s">
        <v>202</v>
      </c>
      <c r="D26" s="89" t="s">
        <v>203</v>
      </c>
      <c r="E26" s="88"/>
      <c r="F26" s="88"/>
      <c r="G26" s="88"/>
      <c r="H26" s="88"/>
      <c r="I26" s="96"/>
    </row>
    <row r="27" spans="2:9" s="90" customFormat="1" ht="15.75" x14ac:dyDescent="0.25">
      <c r="B27" s="95" t="s">
        <v>191</v>
      </c>
      <c r="C27" s="89" t="s">
        <v>260</v>
      </c>
      <c r="D27" s="89" t="s">
        <v>261</v>
      </c>
      <c r="E27" s="220"/>
      <c r="F27" s="220"/>
      <c r="G27" s="220"/>
      <c r="H27" s="220"/>
      <c r="I27" s="221"/>
    </row>
    <row r="28" spans="2:9" s="90" customFormat="1" ht="15.75" x14ac:dyDescent="0.25">
      <c r="B28" s="95" t="s">
        <v>191</v>
      </c>
      <c r="C28" s="89" t="s">
        <v>204</v>
      </c>
      <c r="D28" s="89" t="s">
        <v>205</v>
      </c>
      <c r="E28" s="220"/>
      <c r="F28" s="220"/>
      <c r="G28" s="220"/>
      <c r="H28" s="220"/>
      <c r="I28" s="221"/>
    </row>
    <row r="29" spans="2:9" s="90" customFormat="1" ht="15.75" x14ac:dyDescent="0.25">
      <c r="B29" s="95" t="s">
        <v>191</v>
      </c>
      <c r="C29" s="89" t="s">
        <v>254</v>
      </c>
      <c r="D29" s="89" t="s">
        <v>206</v>
      </c>
      <c r="E29" s="88"/>
      <c r="F29" s="88"/>
      <c r="G29" s="88"/>
      <c r="H29" s="88"/>
      <c r="I29" s="96"/>
    </row>
    <row r="30" spans="2:9" s="90" customFormat="1" ht="15.75" x14ac:dyDescent="0.25">
      <c r="B30" s="95" t="s">
        <v>191</v>
      </c>
      <c r="C30" s="89" t="s">
        <v>207</v>
      </c>
      <c r="D30" s="89" t="s">
        <v>208</v>
      </c>
      <c r="E30" s="88"/>
      <c r="F30" s="88"/>
      <c r="G30" s="88"/>
      <c r="H30" s="88"/>
      <c r="I30" s="96"/>
    </row>
    <row r="31" spans="2:9" s="90" customFormat="1" ht="15.75" x14ac:dyDescent="0.25">
      <c r="B31" s="95" t="s">
        <v>191</v>
      </c>
      <c r="C31" s="89" t="s">
        <v>255</v>
      </c>
      <c r="D31" s="89" t="s">
        <v>256</v>
      </c>
      <c r="E31" s="220"/>
      <c r="F31" s="220"/>
      <c r="G31" s="220"/>
      <c r="H31" s="220"/>
      <c r="I31" s="221"/>
    </row>
    <row r="32" spans="2:9" s="90" customFormat="1" ht="16.5" thickBot="1" x14ac:dyDescent="0.3">
      <c r="B32" s="97" t="s">
        <v>217</v>
      </c>
      <c r="C32" s="98" t="s">
        <v>257</v>
      </c>
      <c r="D32" s="98" t="s">
        <v>258</v>
      </c>
      <c r="E32" s="225"/>
      <c r="F32" s="225"/>
      <c r="G32" s="225"/>
      <c r="H32" s="225"/>
      <c r="I32" s="226"/>
    </row>
    <row r="33" spans="2:9" s="94" customFormat="1" ht="16.5" thickBot="1" x14ac:dyDescent="0.3">
      <c r="B33" s="92"/>
      <c r="C33" s="93"/>
      <c r="D33" s="93"/>
      <c r="E33" s="92"/>
      <c r="F33" s="92"/>
      <c r="G33" s="92"/>
      <c r="H33" s="92"/>
      <c r="I33" s="92"/>
    </row>
    <row r="34" spans="2:9" s="157" customFormat="1" ht="31.5" customHeight="1" x14ac:dyDescent="0.35">
      <c r="B34" s="214" t="s">
        <v>169</v>
      </c>
      <c r="C34" s="215"/>
      <c r="D34" s="215"/>
      <c r="E34" s="215"/>
      <c r="F34" s="215"/>
      <c r="G34" s="215"/>
      <c r="H34" s="215"/>
      <c r="I34" s="216"/>
    </row>
    <row r="35" spans="2:9" s="157" customFormat="1" ht="23.25" x14ac:dyDescent="0.35">
      <c r="B35" s="165" t="s">
        <v>70</v>
      </c>
      <c r="C35" s="158" t="s">
        <v>259</v>
      </c>
      <c r="D35" s="158"/>
      <c r="E35" s="158"/>
      <c r="F35" s="158"/>
      <c r="G35" s="158"/>
      <c r="H35" s="158"/>
      <c r="I35" s="166"/>
    </row>
    <row r="36" spans="2:9" s="21" customFormat="1" ht="15.75" x14ac:dyDescent="0.25">
      <c r="B36" s="167" t="s">
        <v>4</v>
      </c>
      <c r="C36" s="168" t="s">
        <v>225</v>
      </c>
      <c r="D36" s="168" t="s">
        <v>235</v>
      </c>
      <c r="E36" s="84"/>
      <c r="F36" s="84"/>
      <c r="G36" s="84"/>
      <c r="H36" s="84"/>
      <c r="I36" s="161"/>
    </row>
    <row r="37" spans="2:9" s="21" customFormat="1" ht="15.75" x14ac:dyDescent="0.25">
      <c r="B37" s="167" t="s">
        <v>4</v>
      </c>
      <c r="C37" s="168" t="s">
        <v>223</v>
      </c>
      <c r="D37" s="168" t="s">
        <v>236</v>
      </c>
      <c r="E37" s="84"/>
      <c r="F37" s="84"/>
      <c r="G37" s="84"/>
      <c r="H37" s="84"/>
      <c r="I37" s="161"/>
    </row>
    <row r="38" spans="2:9" s="21" customFormat="1" ht="94.5" x14ac:dyDescent="0.25">
      <c r="B38" s="167" t="s">
        <v>4</v>
      </c>
      <c r="C38" s="168" t="s">
        <v>237</v>
      </c>
      <c r="D38" s="168" t="s">
        <v>242</v>
      </c>
      <c r="E38" s="84"/>
      <c r="F38" s="84"/>
      <c r="G38" s="84"/>
      <c r="H38" s="84"/>
      <c r="I38" s="161"/>
    </row>
    <row r="39" spans="2:9" s="21" customFormat="1" ht="32.25" thickBot="1" x14ac:dyDescent="0.3">
      <c r="B39" s="169" t="s">
        <v>4</v>
      </c>
      <c r="C39" s="170" t="s">
        <v>238</v>
      </c>
      <c r="D39" s="170" t="s">
        <v>239</v>
      </c>
      <c r="E39" s="103"/>
      <c r="F39" s="103"/>
      <c r="G39" s="103"/>
      <c r="H39" s="103"/>
      <c r="I39" s="162"/>
    </row>
    <row r="40" spans="2:9" s="94" customFormat="1" ht="16.5" thickBot="1" x14ac:dyDescent="0.3">
      <c r="B40" s="92"/>
      <c r="C40" s="93"/>
      <c r="D40" s="93"/>
      <c r="E40" s="92"/>
      <c r="F40" s="92"/>
      <c r="G40" s="92"/>
      <c r="H40" s="92"/>
      <c r="I40" s="92"/>
    </row>
    <row r="41" spans="2:9" s="87" customFormat="1" ht="23.25" x14ac:dyDescent="0.25">
      <c r="B41" s="194" t="s">
        <v>72</v>
      </c>
      <c r="C41" s="195" t="s">
        <v>210</v>
      </c>
      <c r="D41" s="195"/>
      <c r="E41" s="195"/>
      <c r="F41" s="195"/>
      <c r="G41" s="195"/>
      <c r="H41" s="195"/>
      <c r="I41" s="196"/>
    </row>
    <row r="42" spans="2:9" s="90" customFormat="1" ht="15.75" x14ac:dyDescent="0.25">
      <c r="B42" s="95" t="s">
        <v>191</v>
      </c>
      <c r="C42" s="89" t="s">
        <v>74</v>
      </c>
      <c r="D42" s="89" t="s">
        <v>234</v>
      </c>
      <c r="E42" s="88"/>
      <c r="F42" s="88"/>
      <c r="G42" s="88"/>
      <c r="H42" s="88"/>
      <c r="I42" s="96"/>
    </row>
    <row r="43" spans="2:9" s="90" customFormat="1" ht="15.75" x14ac:dyDescent="0.25">
      <c r="B43" s="197" t="s">
        <v>76</v>
      </c>
      <c r="C43" s="193" t="s">
        <v>75</v>
      </c>
      <c r="D43" s="193" t="s">
        <v>233</v>
      </c>
      <c r="E43" s="192"/>
      <c r="F43" s="192"/>
      <c r="G43" s="192"/>
      <c r="H43" s="192"/>
      <c r="I43" s="198"/>
    </row>
    <row r="44" spans="2:9" s="90" customFormat="1" ht="15.75" x14ac:dyDescent="0.25">
      <c r="B44" s="95" t="s">
        <v>191</v>
      </c>
      <c r="C44" s="89" t="s">
        <v>263</v>
      </c>
      <c r="D44" s="89" t="s">
        <v>264</v>
      </c>
      <c r="E44" s="220"/>
      <c r="F44" s="220"/>
      <c r="G44" s="220"/>
      <c r="H44" s="220"/>
      <c r="I44" s="221"/>
    </row>
    <row r="45" spans="2:9" s="90" customFormat="1" ht="15.75" x14ac:dyDescent="0.25">
      <c r="B45" s="95" t="s">
        <v>191</v>
      </c>
      <c r="C45" s="89" t="s">
        <v>262</v>
      </c>
      <c r="D45" s="89" t="s">
        <v>206</v>
      </c>
      <c r="E45" s="88"/>
      <c r="F45" s="88"/>
      <c r="G45" s="88"/>
      <c r="H45" s="88"/>
      <c r="I45" s="96"/>
    </row>
    <row r="46" spans="2:9" s="90" customFormat="1" ht="15.75" x14ac:dyDescent="0.25">
      <c r="B46" s="95" t="s">
        <v>191</v>
      </c>
      <c r="C46" s="89" t="s">
        <v>207</v>
      </c>
      <c r="D46" s="89" t="s">
        <v>208</v>
      </c>
      <c r="E46" s="88"/>
      <c r="F46" s="88"/>
      <c r="G46" s="88"/>
      <c r="H46" s="88"/>
      <c r="I46" s="96"/>
    </row>
    <row r="47" spans="2:9" s="90" customFormat="1" ht="15.75" x14ac:dyDescent="0.25">
      <c r="B47" s="95" t="s">
        <v>191</v>
      </c>
      <c r="C47" s="89" t="s">
        <v>265</v>
      </c>
      <c r="D47" s="89" t="s">
        <v>266</v>
      </c>
      <c r="E47" s="220"/>
      <c r="F47" s="220"/>
      <c r="G47" s="220"/>
      <c r="H47" s="220"/>
      <c r="I47" s="221"/>
    </row>
    <row r="48" spans="2:9" s="90" customFormat="1" ht="15.75" x14ac:dyDescent="0.25">
      <c r="B48" s="95" t="s">
        <v>191</v>
      </c>
      <c r="C48" s="89" t="s">
        <v>211</v>
      </c>
      <c r="D48" s="89" t="s">
        <v>213</v>
      </c>
      <c r="E48" s="88"/>
      <c r="F48" s="88"/>
      <c r="G48" s="88"/>
      <c r="H48" s="88"/>
      <c r="I48" s="96"/>
    </row>
    <row r="49" spans="2:9" s="90" customFormat="1" ht="16.5" thickBot="1" x14ac:dyDescent="0.3">
      <c r="B49" s="97" t="s">
        <v>191</v>
      </c>
      <c r="C49" s="98" t="s">
        <v>212</v>
      </c>
      <c r="D49" s="98" t="s">
        <v>214</v>
      </c>
      <c r="E49" s="99"/>
      <c r="F49" s="99"/>
      <c r="G49" s="99"/>
      <c r="H49" s="99"/>
      <c r="I49" s="100"/>
    </row>
    <row r="50" spans="2:9" s="91" customFormat="1" ht="16.5" thickBot="1" x14ac:dyDescent="0.3">
      <c r="B50" s="92"/>
      <c r="C50" s="93"/>
      <c r="D50" s="93"/>
      <c r="E50" s="92"/>
      <c r="F50" s="92"/>
      <c r="G50" s="92"/>
      <c r="H50" s="92"/>
      <c r="I50" s="92"/>
    </row>
    <row r="51" spans="2:9" ht="18.75" customHeight="1" x14ac:dyDescent="0.25">
      <c r="B51" s="222" t="s">
        <v>169</v>
      </c>
      <c r="C51" s="223"/>
      <c r="D51" s="223"/>
      <c r="E51" s="223"/>
      <c r="F51" s="223"/>
      <c r="G51" s="223"/>
      <c r="H51" s="223"/>
      <c r="I51" s="224"/>
    </row>
    <row r="52" spans="2:9" ht="15.75" x14ac:dyDescent="0.25">
      <c r="B52" s="171" t="s">
        <v>4</v>
      </c>
      <c r="C52" s="188" t="s">
        <v>240</v>
      </c>
      <c r="D52" s="168" t="s">
        <v>241</v>
      </c>
      <c r="E52" s="86"/>
      <c r="F52" s="86"/>
      <c r="G52" s="86"/>
      <c r="H52" s="86"/>
      <c r="I52" s="101"/>
    </row>
    <row r="53" spans="2:9" s="18" customFormat="1" ht="15.75" x14ac:dyDescent="0.25">
      <c r="B53" s="171" t="s">
        <v>4</v>
      </c>
      <c r="C53" s="188" t="s">
        <v>470</v>
      </c>
      <c r="D53" s="168" t="s">
        <v>471</v>
      </c>
      <c r="E53" s="86"/>
      <c r="F53" s="86"/>
      <c r="G53" s="86"/>
      <c r="H53" s="86"/>
      <c r="I53" s="101"/>
    </row>
    <row r="54" spans="2:9" s="18" customFormat="1" ht="15.75" x14ac:dyDescent="0.25">
      <c r="B54" s="171" t="s">
        <v>4</v>
      </c>
      <c r="C54" s="188" t="s">
        <v>473</v>
      </c>
      <c r="D54" s="168" t="s">
        <v>472</v>
      </c>
      <c r="E54" s="86"/>
      <c r="F54" s="86"/>
      <c r="G54" s="86"/>
      <c r="H54" s="86"/>
      <c r="I54" s="101"/>
    </row>
    <row r="55" spans="2:9" ht="15.75" x14ac:dyDescent="0.25">
      <c r="B55" s="171" t="s">
        <v>4</v>
      </c>
      <c r="C55" s="168" t="s">
        <v>244</v>
      </c>
      <c r="D55" s="168"/>
      <c r="E55" s="86"/>
      <c r="F55" s="86"/>
      <c r="G55" s="86"/>
      <c r="H55" s="86"/>
      <c r="I55" s="101"/>
    </row>
    <row r="56" spans="2:9" ht="15.75" x14ac:dyDescent="0.25">
      <c r="B56" s="171" t="s">
        <v>4</v>
      </c>
      <c r="C56" s="168" t="s">
        <v>245</v>
      </c>
      <c r="D56" s="168"/>
      <c r="E56" s="86"/>
      <c r="F56" s="86"/>
      <c r="G56" s="86"/>
      <c r="H56" s="86"/>
      <c r="I56" s="101"/>
    </row>
    <row r="57" spans="2:9" ht="15.75" x14ac:dyDescent="0.25">
      <c r="B57" s="171" t="s">
        <v>4</v>
      </c>
      <c r="C57" s="168" t="s">
        <v>243</v>
      </c>
      <c r="D57" s="168"/>
      <c r="E57" s="86"/>
      <c r="F57" s="86"/>
      <c r="G57" s="86"/>
      <c r="H57" s="86"/>
      <c r="I57" s="101"/>
    </row>
    <row r="58" spans="2:9" ht="15.75" x14ac:dyDescent="0.25">
      <c r="B58" s="171" t="s">
        <v>4</v>
      </c>
      <c r="C58" s="168" t="s">
        <v>246</v>
      </c>
      <c r="D58" s="168"/>
      <c r="E58" s="86"/>
      <c r="F58" s="86"/>
      <c r="G58" s="86"/>
      <c r="H58" s="86"/>
      <c r="I58" s="101"/>
    </row>
    <row r="59" spans="2:9" s="18" customFormat="1" ht="15.75" x14ac:dyDescent="0.25">
      <c r="B59" s="171" t="s">
        <v>4</v>
      </c>
      <c r="C59" s="168" t="s">
        <v>476</v>
      </c>
      <c r="D59" s="168"/>
      <c r="E59" s="86"/>
      <c r="F59" s="86"/>
      <c r="G59" s="86"/>
      <c r="H59" s="86"/>
      <c r="I59" s="101"/>
    </row>
    <row r="60" spans="2:9" s="18" customFormat="1" ht="15.75" x14ac:dyDescent="0.25">
      <c r="B60" s="171" t="s">
        <v>4</v>
      </c>
      <c r="C60" s="168" t="s">
        <v>247</v>
      </c>
      <c r="D60" s="168"/>
      <c r="E60" s="86"/>
      <c r="F60" s="86"/>
      <c r="G60" s="86"/>
      <c r="H60" s="86"/>
      <c r="I60" s="101"/>
    </row>
    <row r="61" spans="2:9" s="18" customFormat="1" ht="15.75" x14ac:dyDescent="0.25">
      <c r="B61" s="171" t="s">
        <v>4</v>
      </c>
      <c r="C61" s="168" t="s">
        <v>248</v>
      </c>
      <c r="D61" s="168"/>
      <c r="E61" s="86"/>
      <c r="F61" s="86"/>
      <c r="G61" s="86"/>
      <c r="H61" s="86"/>
      <c r="I61" s="101"/>
    </row>
    <row r="62" spans="2:9" ht="15.75" x14ac:dyDescent="0.25">
      <c r="B62" s="171" t="s">
        <v>4</v>
      </c>
      <c r="C62" s="168" t="s">
        <v>249</v>
      </c>
      <c r="D62" s="168"/>
      <c r="E62" s="85"/>
      <c r="F62" s="85"/>
      <c r="G62" s="85"/>
      <c r="H62" s="85"/>
      <c r="I62" s="102"/>
    </row>
    <row r="63" spans="2:9" ht="16.5" thickBot="1" x14ac:dyDescent="0.3">
      <c r="B63" s="186" t="s">
        <v>4</v>
      </c>
      <c r="C63" s="187" t="s">
        <v>477</v>
      </c>
      <c r="D63" s="187" t="s">
        <v>484</v>
      </c>
      <c r="E63" s="104"/>
      <c r="F63" s="104"/>
      <c r="G63" s="104"/>
      <c r="H63" s="104"/>
      <c r="I63" s="105"/>
    </row>
    <row r="64" spans="2:9" s="82" customFormat="1" ht="15.75" thickBot="1" x14ac:dyDescent="0.3">
      <c r="B64" s="111"/>
      <c r="C64" s="81"/>
      <c r="D64" s="19"/>
    </row>
    <row r="65" spans="2:9" ht="15.75" x14ac:dyDescent="0.25">
      <c r="B65" s="182" t="s">
        <v>191</v>
      </c>
      <c r="C65" s="180" t="s">
        <v>481</v>
      </c>
      <c r="D65" s="177"/>
      <c r="E65" s="178"/>
      <c r="F65" s="178"/>
      <c r="G65" s="178"/>
      <c r="H65" s="178"/>
      <c r="I65" s="179"/>
    </row>
    <row r="66" spans="2:9" s="18" customFormat="1" ht="15.75" x14ac:dyDescent="0.25">
      <c r="B66" s="183" t="s">
        <v>191</v>
      </c>
      <c r="C66" s="181" t="s">
        <v>480</v>
      </c>
      <c r="D66" s="89"/>
      <c r="E66" s="88"/>
      <c r="F66" s="88"/>
      <c r="G66" s="88"/>
      <c r="H66" s="88"/>
      <c r="I66" s="96"/>
    </row>
    <row r="67" spans="2:9" s="18" customFormat="1" ht="15.75" x14ac:dyDescent="0.25">
      <c r="B67" s="183" t="s">
        <v>191</v>
      </c>
      <c r="C67" s="181" t="s">
        <v>482</v>
      </c>
      <c r="D67" s="89"/>
      <c r="E67" s="88"/>
      <c r="F67" s="88"/>
      <c r="G67" s="88"/>
      <c r="H67" s="88"/>
      <c r="I67" s="96"/>
    </row>
    <row r="68" spans="2:9" s="18" customFormat="1" ht="31.5" x14ac:dyDescent="0.25">
      <c r="B68" s="183" t="s">
        <v>191</v>
      </c>
      <c r="C68" s="181" t="s">
        <v>483</v>
      </c>
      <c r="D68" s="89"/>
      <c r="E68" s="88"/>
      <c r="F68" s="88"/>
      <c r="G68" s="88"/>
      <c r="H68" s="88"/>
      <c r="I68" s="96"/>
    </row>
    <row r="69" spans="2:9" s="18" customFormat="1" ht="15.75" x14ac:dyDescent="0.25">
      <c r="B69" s="183" t="s">
        <v>191</v>
      </c>
      <c r="C69" s="181" t="s">
        <v>478</v>
      </c>
      <c r="D69" s="89"/>
      <c r="E69" s="88"/>
      <c r="F69" s="88"/>
      <c r="G69" s="88"/>
      <c r="H69" s="88"/>
      <c r="I69" s="96"/>
    </row>
    <row r="70" spans="2:9" s="18" customFormat="1" ht="16.5" thickBot="1" x14ac:dyDescent="0.3">
      <c r="B70" s="184" t="s">
        <v>191</v>
      </c>
      <c r="C70" s="185" t="s">
        <v>479</v>
      </c>
      <c r="D70" s="98"/>
      <c r="E70" s="99"/>
      <c r="F70" s="99"/>
      <c r="G70" s="99"/>
      <c r="H70" s="99"/>
      <c r="I70" s="100"/>
    </row>
  </sheetData>
  <mergeCells count="12">
    <mergeCell ref="E47:I47"/>
    <mergeCell ref="B51:I51"/>
    <mergeCell ref="E27:I27"/>
    <mergeCell ref="E28:I28"/>
    <mergeCell ref="E31:I31"/>
    <mergeCell ref="E32:I32"/>
    <mergeCell ref="B34:I34"/>
    <mergeCell ref="C6:C12"/>
    <mergeCell ref="B6:B12"/>
    <mergeCell ref="B5:I5"/>
    <mergeCell ref="B18:I18"/>
    <mergeCell ref="E44:I4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08"/>
  <sheetViews>
    <sheetView topLeftCell="A190" workbookViewId="0">
      <selection activeCell="A99" sqref="A99"/>
    </sheetView>
  </sheetViews>
  <sheetFormatPr defaultRowHeight="15" x14ac:dyDescent="0.25"/>
  <cols>
    <col min="1" max="1" width="90.85546875" bestFit="1" customWidth="1"/>
  </cols>
  <sheetData>
    <row r="1" spans="1:1" x14ac:dyDescent="0.25">
      <c r="A1" t="s">
        <v>267</v>
      </c>
    </row>
    <row r="2" spans="1:1" x14ac:dyDescent="0.25">
      <c r="A2" t="s">
        <v>268</v>
      </c>
    </row>
    <row r="3" spans="1:1" x14ac:dyDescent="0.25">
      <c r="A3" t="s">
        <v>269</v>
      </c>
    </row>
    <row r="4" spans="1:1" x14ac:dyDescent="0.25">
      <c r="A4" t="s">
        <v>270</v>
      </c>
    </row>
    <row r="8" spans="1:1" x14ac:dyDescent="0.25">
      <c r="A8" t="s">
        <v>271</v>
      </c>
    </row>
    <row r="9" spans="1:1" x14ac:dyDescent="0.25">
      <c r="A9" t="s">
        <v>272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277</v>
      </c>
    </row>
    <row r="15" spans="1:1" x14ac:dyDescent="0.25">
      <c r="A15" t="s">
        <v>278</v>
      </c>
    </row>
    <row r="16" spans="1:1" x14ac:dyDescent="0.25">
      <c r="A16" t="s">
        <v>279</v>
      </c>
    </row>
    <row r="17" spans="1:1" x14ac:dyDescent="0.25">
      <c r="A17" t="s">
        <v>280</v>
      </c>
    </row>
    <row r="18" spans="1:1" x14ac:dyDescent="0.25">
      <c r="A18" t="s">
        <v>281</v>
      </c>
    </row>
    <row r="19" spans="1:1" x14ac:dyDescent="0.25">
      <c r="A19" t="s">
        <v>282</v>
      </c>
    </row>
    <row r="20" spans="1:1" x14ac:dyDescent="0.25">
      <c r="A20" t="s">
        <v>283</v>
      </c>
    </row>
    <row r="21" spans="1:1" x14ac:dyDescent="0.25">
      <c r="A21" t="s">
        <v>284</v>
      </c>
    </row>
    <row r="22" spans="1:1" x14ac:dyDescent="0.25">
      <c r="A22" t="s">
        <v>285</v>
      </c>
    </row>
    <row r="23" spans="1:1" x14ac:dyDescent="0.25">
      <c r="A23" t="s">
        <v>286</v>
      </c>
    </row>
    <row r="24" spans="1:1" x14ac:dyDescent="0.25">
      <c r="A24" t="s">
        <v>287</v>
      </c>
    </row>
    <row r="25" spans="1:1" x14ac:dyDescent="0.25">
      <c r="A25" t="s">
        <v>288</v>
      </c>
    </row>
    <row r="26" spans="1:1" x14ac:dyDescent="0.25">
      <c r="A26" t="s">
        <v>289</v>
      </c>
    </row>
    <row r="27" spans="1:1" x14ac:dyDescent="0.25">
      <c r="A27" t="s">
        <v>290</v>
      </c>
    </row>
    <row r="28" spans="1:1" x14ac:dyDescent="0.25">
      <c r="A28" t="s">
        <v>291</v>
      </c>
    </row>
    <row r="29" spans="1:1" x14ac:dyDescent="0.25">
      <c r="A29" t="s">
        <v>292</v>
      </c>
    </row>
    <row r="30" spans="1:1" x14ac:dyDescent="0.25">
      <c r="A30" t="s">
        <v>293</v>
      </c>
    </row>
    <row r="31" spans="1:1" x14ac:dyDescent="0.25">
      <c r="A31" t="s">
        <v>294</v>
      </c>
    </row>
    <row r="32" spans="1:1" x14ac:dyDescent="0.25">
      <c r="A32" t="s">
        <v>295</v>
      </c>
    </row>
    <row r="33" spans="1:1" x14ac:dyDescent="0.25">
      <c r="A33" t="s">
        <v>296</v>
      </c>
    </row>
    <row r="34" spans="1:1" x14ac:dyDescent="0.25">
      <c r="A34" t="s">
        <v>297</v>
      </c>
    </row>
    <row r="35" spans="1:1" x14ac:dyDescent="0.25">
      <c r="A35" t="s">
        <v>298</v>
      </c>
    </row>
    <row r="36" spans="1:1" x14ac:dyDescent="0.25">
      <c r="A36" t="s">
        <v>299</v>
      </c>
    </row>
    <row r="37" spans="1:1" x14ac:dyDescent="0.25">
      <c r="A37" t="s">
        <v>300</v>
      </c>
    </row>
    <row r="38" spans="1:1" x14ac:dyDescent="0.25">
      <c r="A38" t="s">
        <v>301</v>
      </c>
    </row>
    <row r="39" spans="1:1" x14ac:dyDescent="0.25">
      <c r="A39" t="s">
        <v>302</v>
      </c>
    </row>
    <row r="40" spans="1:1" x14ac:dyDescent="0.25">
      <c r="A40" t="s">
        <v>303</v>
      </c>
    </row>
    <row r="41" spans="1:1" x14ac:dyDescent="0.25">
      <c r="A41" t="s">
        <v>304</v>
      </c>
    </row>
    <row r="42" spans="1:1" x14ac:dyDescent="0.25">
      <c r="A42" t="s">
        <v>305</v>
      </c>
    </row>
    <row r="43" spans="1:1" x14ac:dyDescent="0.25">
      <c r="A43" t="s">
        <v>306</v>
      </c>
    </row>
    <row r="44" spans="1:1" x14ac:dyDescent="0.25">
      <c r="A44" t="s">
        <v>307</v>
      </c>
    </row>
    <row r="45" spans="1:1" x14ac:dyDescent="0.25">
      <c r="A45" t="s">
        <v>308</v>
      </c>
    </row>
    <row r="46" spans="1:1" x14ac:dyDescent="0.25">
      <c r="A46" t="s">
        <v>309</v>
      </c>
    </row>
    <row r="47" spans="1:1" x14ac:dyDescent="0.25">
      <c r="A47" t="s">
        <v>310</v>
      </c>
    </row>
    <row r="48" spans="1:1" x14ac:dyDescent="0.25">
      <c r="A48" t="s">
        <v>311</v>
      </c>
    </row>
    <row r="49" spans="1:1" x14ac:dyDescent="0.25">
      <c r="A49" t="s">
        <v>312</v>
      </c>
    </row>
    <row r="50" spans="1:1" x14ac:dyDescent="0.25">
      <c r="A50" t="s">
        <v>313</v>
      </c>
    </row>
    <row r="51" spans="1:1" x14ac:dyDescent="0.25">
      <c r="A51" t="s">
        <v>314</v>
      </c>
    </row>
    <row r="52" spans="1:1" x14ac:dyDescent="0.25">
      <c r="A52" t="s">
        <v>315</v>
      </c>
    </row>
    <row r="53" spans="1:1" x14ac:dyDescent="0.25">
      <c r="A53" t="s">
        <v>316</v>
      </c>
    </row>
    <row r="54" spans="1:1" x14ac:dyDescent="0.25">
      <c r="A54" t="s">
        <v>317</v>
      </c>
    </row>
    <row r="55" spans="1:1" x14ac:dyDescent="0.25">
      <c r="A55" t="s">
        <v>318</v>
      </c>
    </row>
    <row r="56" spans="1:1" x14ac:dyDescent="0.25">
      <c r="A56" t="s">
        <v>319</v>
      </c>
    </row>
    <row r="57" spans="1:1" x14ac:dyDescent="0.25">
      <c r="A57" t="s">
        <v>320</v>
      </c>
    </row>
    <row r="58" spans="1:1" x14ac:dyDescent="0.25">
      <c r="A58" t="s">
        <v>321</v>
      </c>
    </row>
    <row r="59" spans="1:1" x14ac:dyDescent="0.25">
      <c r="A59" t="s">
        <v>322</v>
      </c>
    </row>
    <row r="60" spans="1:1" x14ac:dyDescent="0.25">
      <c r="A60" t="s">
        <v>323</v>
      </c>
    </row>
    <row r="61" spans="1:1" x14ac:dyDescent="0.25">
      <c r="A61" t="s">
        <v>324</v>
      </c>
    </row>
    <row r="62" spans="1:1" x14ac:dyDescent="0.25">
      <c r="A62" t="s">
        <v>325</v>
      </c>
    </row>
    <row r="63" spans="1:1" x14ac:dyDescent="0.25">
      <c r="A63" t="s">
        <v>326</v>
      </c>
    </row>
    <row r="64" spans="1:1" x14ac:dyDescent="0.25">
      <c r="A64" t="s">
        <v>327</v>
      </c>
    </row>
    <row r="65" spans="1:1" x14ac:dyDescent="0.25">
      <c r="A65" t="s">
        <v>328</v>
      </c>
    </row>
    <row r="66" spans="1:1" x14ac:dyDescent="0.25">
      <c r="A66" t="s">
        <v>329</v>
      </c>
    </row>
    <row r="67" spans="1:1" x14ac:dyDescent="0.25">
      <c r="A67" t="s">
        <v>330</v>
      </c>
    </row>
    <row r="68" spans="1:1" x14ac:dyDescent="0.25">
      <c r="A68" t="s">
        <v>331</v>
      </c>
    </row>
    <row r="69" spans="1:1" x14ac:dyDescent="0.25">
      <c r="A69" t="s">
        <v>332</v>
      </c>
    </row>
    <row r="70" spans="1:1" x14ac:dyDescent="0.25">
      <c r="A70" t="s">
        <v>333</v>
      </c>
    </row>
    <row r="71" spans="1:1" x14ac:dyDescent="0.25">
      <c r="A71" t="s">
        <v>334</v>
      </c>
    </row>
    <row r="72" spans="1:1" x14ac:dyDescent="0.25">
      <c r="A72" t="s">
        <v>335</v>
      </c>
    </row>
    <row r="73" spans="1:1" x14ac:dyDescent="0.25">
      <c r="A73" t="s">
        <v>336</v>
      </c>
    </row>
    <row r="74" spans="1:1" x14ac:dyDescent="0.25">
      <c r="A74" t="s">
        <v>337</v>
      </c>
    </row>
    <row r="75" spans="1:1" x14ac:dyDescent="0.25">
      <c r="A75" t="s">
        <v>338</v>
      </c>
    </row>
    <row r="76" spans="1:1" x14ac:dyDescent="0.25">
      <c r="A76" t="s">
        <v>339</v>
      </c>
    </row>
    <row r="77" spans="1:1" x14ac:dyDescent="0.25">
      <c r="A77" t="s">
        <v>340</v>
      </c>
    </row>
    <row r="78" spans="1:1" x14ac:dyDescent="0.25">
      <c r="A78" t="s">
        <v>341</v>
      </c>
    </row>
    <row r="79" spans="1:1" x14ac:dyDescent="0.25">
      <c r="A79" t="s">
        <v>342</v>
      </c>
    </row>
    <row r="80" spans="1:1" x14ac:dyDescent="0.25">
      <c r="A80" t="s">
        <v>343</v>
      </c>
    </row>
    <row r="81" spans="1:1" x14ac:dyDescent="0.25">
      <c r="A81" t="s">
        <v>344</v>
      </c>
    </row>
    <row r="82" spans="1:1" x14ac:dyDescent="0.25">
      <c r="A82" t="s">
        <v>345</v>
      </c>
    </row>
    <row r="83" spans="1:1" x14ac:dyDescent="0.25">
      <c r="A83" t="s">
        <v>346</v>
      </c>
    </row>
    <row r="84" spans="1:1" x14ac:dyDescent="0.25">
      <c r="A84" t="s">
        <v>347</v>
      </c>
    </row>
    <row r="85" spans="1:1" x14ac:dyDescent="0.25">
      <c r="A85" t="s">
        <v>348</v>
      </c>
    </row>
    <row r="86" spans="1:1" x14ac:dyDescent="0.25">
      <c r="A86" t="s">
        <v>349</v>
      </c>
    </row>
    <row r="87" spans="1:1" x14ac:dyDescent="0.25">
      <c r="A87" t="s">
        <v>350</v>
      </c>
    </row>
    <row r="88" spans="1:1" x14ac:dyDescent="0.25">
      <c r="A88" t="s">
        <v>351</v>
      </c>
    </row>
    <row r="89" spans="1:1" x14ac:dyDescent="0.25">
      <c r="A89" t="s">
        <v>352</v>
      </c>
    </row>
    <row r="90" spans="1:1" x14ac:dyDescent="0.25">
      <c r="A90" t="s">
        <v>353</v>
      </c>
    </row>
    <row r="91" spans="1:1" x14ac:dyDescent="0.25">
      <c r="A91" t="s">
        <v>354</v>
      </c>
    </row>
    <row r="92" spans="1:1" x14ac:dyDescent="0.25">
      <c r="A92" t="s">
        <v>355</v>
      </c>
    </row>
    <row r="93" spans="1:1" x14ac:dyDescent="0.25">
      <c r="A93" t="s">
        <v>356</v>
      </c>
    </row>
    <row r="94" spans="1:1" x14ac:dyDescent="0.25">
      <c r="A94" t="s">
        <v>357</v>
      </c>
    </row>
    <row r="95" spans="1:1" x14ac:dyDescent="0.25">
      <c r="A95" t="s">
        <v>358</v>
      </c>
    </row>
    <row r="96" spans="1:1" x14ac:dyDescent="0.25">
      <c r="A96" t="s">
        <v>359</v>
      </c>
    </row>
    <row r="97" spans="1:1" x14ac:dyDescent="0.25">
      <c r="A97" t="s">
        <v>360</v>
      </c>
    </row>
    <row r="98" spans="1:1" x14ac:dyDescent="0.25">
      <c r="A98" t="s">
        <v>361</v>
      </c>
    </row>
    <row r="99" spans="1:1" x14ac:dyDescent="0.25">
      <c r="A99" t="s">
        <v>362</v>
      </c>
    </row>
    <row r="100" spans="1:1" x14ac:dyDescent="0.25">
      <c r="A100" t="s">
        <v>363</v>
      </c>
    </row>
    <row r="101" spans="1:1" x14ac:dyDescent="0.25">
      <c r="A101" t="s">
        <v>364</v>
      </c>
    </row>
    <row r="102" spans="1:1" x14ac:dyDescent="0.25">
      <c r="A102" t="s">
        <v>365</v>
      </c>
    </row>
    <row r="103" spans="1:1" x14ac:dyDescent="0.25">
      <c r="A103" t="s">
        <v>366</v>
      </c>
    </row>
    <row r="104" spans="1:1" x14ac:dyDescent="0.25">
      <c r="A104" t="s">
        <v>367</v>
      </c>
    </row>
    <row r="105" spans="1:1" x14ac:dyDescent="0.25">
      <c r="A105" t="s">
        <v>368</v>
      </c>
    </row>
    <row r="106" spans="1:1" x14ac:dyDescent="0.25">
      <c r="A106" t="s">
        <v>369</v>
      </c>
    </row>
    <row r="107" spans="1:1" x14ac:dyDescent="0.25">
      <c r="A107" t="s">
        <v>370</v>
      </c>
    </row>
    <row r="108" spans="1:1" x14ac:dyDescent="0.25">
      <c r="A108" t="s">
        <v>371</v>
      </c>
    </row>
    <row r="109" spans="1:1" x14ac:dyDescent="0.25">
      <c r="A109" t="s">
        <v>372</v>
      </c>
    </row>
    <row r="110" spans="1:1" x14ac:dyDescent="0.25">
      <c r="A110" t="s">
        <v>373</v>
      </c>
    </row>
    <row r="111" spans="1:1" x14ac:dyDescent="0.25">
      <c r="A111" t="s">
        <v>374</v>
      </c>
    </row>
    <row r="112" spans="1:1" x14ac:dyDescent="0.25">
      <c r="A112" t="s">
        <v>375</v>
      </c>
    </row>
    <row r="113" spans="1:1" x14ac:dyDescent="0.25">
      <c r="A113" t="s">
        <v>376</v>
      </c>
    </row>
    <row r="114" spans="1:1" x14ac:dyDescent="0.25">
      <c r="A114" t="s">
        <v>377</v>
      </c>
    </row>
    <row r="115" spans="1:1" x14ac:dyDescent="0.25">
      <c r="A115" t="s">
        <v>378</v>
      </c>
    </row>
    <row r="116" spans="1:1" x14ac:dyDescent="0.25">
      <c r="A116" t="s">
        <v>379</v>
      </c>
    </row>
    <row r="117" spans="1:1" x14ac:dyDescent="0.25">
      <c r="A117" t="s">
        <v>380</v>
      </c>
    </row>
    <row r="118" spans="1:1" x14ac:dyDescent="0.25">
      <c r="A118" t="s">
        <v>381</v>
      </c>
    </row>
    <row r="119" spans="1:1" x14ac:dyDescent="0.25">
      <c r="A119" t="s">
        <v>382</v>
      </c>
    </row>
    <row r="120" spans="1:1" x14ac:dyDescent="0.25">
      <c r="A120" t="s">
        <v>383</v>
      </c>
    </row>
    <row r="121" spans="1:1" x14ac:dyDescent="0.25">
      <c r="A121" t="s">
        <v>384</v>
      </c>
    </row>
    <row r="122" spans="1:1" x14ac:dyDescent="0.25">
      <c r="A122" t="s">
        <v>385</v>
      </c>
    </row>
    <row r="123" spans="1:1" x14ac:dyDescent="0.25">
      <c r="A123" t="s">
        <v>386</v>
      </c>
    </row>
    <row r="124" spans="1:1" x14ac:dyDescent="0.25">
      <c r="A124" t="s">
        <v>387</v>
      </c>
    </row>
    <row r="125" spans="1:1" x14ac:dyDescent="0.25">
      <c r="A125" t="s">
        <v>388</v>
      </c>
    </row>
    <row r="126" spans="1:1" x14ac:dyDescent="0.25">
      <c r="A126" t="s">
        <v>389</v>
      </c>
    </row>
    <row r="127" spans="1:1" x14ac:dyDescent="0.25">
      <c r="A127" t="s">
        <v>390</v>
      </c>
    </row>
    <row r="128" spans="1:1" x14ac:dyDescent="0.25">
      <c r="A128" t="s">
        <v>391</v>
      </c>
    </row>
    <row r="129" spans="1:1" x14ac:dyDescent="0.25">
      <c r="A129" t="s">
        <v>392</v>
      </c>
    </row>
    <row r="130" spans="1:1" x14ac:dyDescent="0.25">
      <c r="A130" t="s">
        <v>393</v>
      </c>
    </row>
    <row r="131" spans="1:1" x14ac:dyDescent="0.25">
      <c r="A131" t="s">
        <v>394</v>
      </c>
    </row>
    <row r="132" spans="1:1" x14ac:dyDescent="0.25">
      <c r="A132" t="s">
        <v>395</v>
      </c>
    </row>
    <row r="133" spans="1:1" x14ac:dyDescent="0.25">
      <c r="A133" t="s">
        <v>396</v>
      </c>
    </row>
    <row r="134" spans="1:1" x14ac:dyDescent="0.25">
      <c r="A134" t="s">
        <v>397</v>
      </c>
    </row>
    <row r="135" spans="1:1" x14ac:dyDescent="0.25">
      <c r="A135" t="s">
        <v>398</v>
      </c>
    </row>
    <row r="136" spans="1:1" x14ac:dyDescent="0.25">
      <c r="A136" t="s">
        <v>399</v>
      </c>
    </row>
    <row r="137" spans="1:1" x14ac:dyDescent="0.25">
      <c r="A137" t="s">
        <v>400</v>
      </c>
    </row>
    <row r="138" spans="1:1" x14ac:dyDescent="0.25">
      <c r="A138" t="s">
        <v>401</v>
      </c>
    </row>
    <row r="139" spans="1:1" x14ac:dyDescent="0.25">
      <c r="A139" t="s">
        <v>402</v>
      </c>
    </row>
    <row r="140" spans="1:1" x14ac:dyDescent="0.25">
      <c r="A140" t="s">
        <v>403</v>
      </c>
    </row>
    <row r="141" spans="1:1" x14ac:dyDescent="0.25">
      <c r="A141" t="s">
        <v>404</v>
      </c>
    </row>
    <row r="142" spans="1:1" x14ac:dyDescent="0.25">
      <c r="A142" t="s">
        <v>405</v>
      </c>
    </row>
    <row r="143" spans="1:1" x14ac:dyDescent="0.25">
      <c r="A143" t="s">
        <v>406</v>
      </c>
    </row>
    <row r="144" spans="1:1" x14ac:dyDescent="0.25">
      <c r="A144" t="s">
        <v>407</v>
      </c>
    </row>
    <row r="145" spans="1:1" x14ac:dyDescent="0.25">
      <c r="A145" t="s">
        <v>408</v>
      </c>
    </row>
    <row r="146" spans="1:1" x14ac:dyDescent="0.25">
      <c r="A146" t="s">
        <v>409</v>
      </c>
    </row>
    <row r="147" spans="1:1" x14ac:dyDescent="0.25">
      <c r="A147" t="s">
        <v>410</v>
      </c>
    </row>
    <row r="148" spans="1:1" x14ac:dyDescent="0.25">
      <c r="A148" t="s">
        <v>411</v>
      </c>
    </row>
    <row r="149" spans="1:1" x14ac:dyDescent="0.25">
      <c r="A149" t="s">
        <v>412</v>
      </c>
    </row>
    <row r="150" spans="1:1" x14ac:dyDescent="0.25">
      <c r="A150" t="s">
        <v>413</v>
      </c>
    </row>
    <row r="151" spans="1:1" x14ac:dyDescent="0.25">
      <c r="A151" t="s">
        <v>414</v>
      </c>
    </row>
    <row r="152" spans="1:1" x14ac:dyDescent="0.25">
      <c r="A152" t="s">
        <v>415</v>
      </c>
    </row>
    <row r="153" spans="1:1" x14ac:dyDescent="0.25">
      <c r="A153" t="s">
        <v>416</v>
      </c>
    </row>
    <row r="154" spans="1:1" x14ac:dyDescent="0.25">
      <c r="A154" t="s">
        <v>417</v>
      </c>
    </row>
    <row r="155" spans="1:1" x14ac:dyDescent="0.25">
      <c r="A155" t="s">
        <v>418</v>
      </c>
    </row>
    <row r="156" spans="1:1" x14ac:dyDescent="0.25">
      <c r="A156" t="s">
        <v>419</v>
      </c>
    </row>
    <row r="157" spans="1:1" x14ac:dyDescent="0.25">
      <c r="A157" t="s">
        <v>420</v>
      </c>
    </row>
    <row r="158" spans="1:1" x14ac:dyDescent="0.25">
      <c r="A158" t="s">
        <v>421</v>
      </c>
    </row>
    <row r="159" spans="1:1" x14ac:dyDescent="0.25">
      <c r="A159" t="s">
        <v>422</v>
      </c>
    </row>
    <row r="160" spans="1:1" x14ac:dyDescent="0.25">
      <c r="A160" t="s">
        <v>423</v>
      </c>
    </row>
    <row r="161" spans="1:1" x14ac:dyDescent="0.25">
      <c r="A161" t="s">
        <v>424</v>
      </c>
    </row>
    <row r="162" spans="1:1" x14ac:dyDescent="0.25">
      <c r="A162" t="s">
        <v>425</v>
      </c>
    </row>
    <row r="163" spans="1:1" x14ac:dyDescent="0.25">
      <c r="A163" t="s">
        <v>426</v>
      </c>
    </row>
    <row r="164" spans="1:1" x14ac:dyDescent="0.25">
      <c r="A164" t="s">
        <v>427</v>
      </c>
    </row>
    <row r="165" spans="1:1" x14ac:dyDescent="0.25">
      <c r="A165" t="s">
        <v>428</v>
      </c>
    </row>
    <row r="166" spans="1:1" x14ac:dyDescent="0.25">
      <c r="A166" t="s">
        <v>429</v>
      </c>
    </row>
    <row r="167" spans="1:1" x14ac:dyDescent="0.25">
      <c r="A167" t="s">
        <v>430</v>
      </c>
    </row>
    <row r="168" spans="1:1" x14ac:dyDescent="0.25">
      <c r="A168" t="s">
        <v>431</v>
      </c>
    </row>
    <row r="169" spans="1:1" x14ac:dyDescent="0.25">
      <c r="A169" t="s">
        <v>432</v>
      </c>
    </row>
    <row r="170" spans="1:1" x14ac:dyDescent="0.25">
      <c r="A170" t="s">
        <v>433</v>
      </c>
    </row>
    <row r="171" spans="1:1" x14ac:dyDescent="0.25">
      <c r="A171" t="s">
        <v>434</v>
      </c>
    </row>
    <row r="172" spans="1:1" x14ac:dyDescent="0.25">
      <c r="A172" t="s">
        <v>435</v>
      </c>
    </row>
    <row r="173" spans="1:1" x14ac:dyDescent="0.25">
      <c r="A173" t="s">
        <v>436</v>
      </c>
    </row>
    <row r="174" spans="1:1" x14ac:dyDescent="0.25">
      <c r="A174" t="s">
        <v>437</v>
      </c>
    </row>
    <row r="175" spans="1:1" x14ac:dyDescent="0.25">
      <c r="A175" t="s">
        <v>438</v>
      </c>
    </row>
    <row r="176" spans="1:1" x14ac:dyDescent="0.25">
      <c r="A176" t="s">
        <v>439</v>
      </c>
    </row>
    <row r="177" spans="1:1" x14ac:dyDescent="0.25">
      <c r="A177" t="s">
        <v>440</v>
      </c>
    </row>
    <row r="178" spans="1:1" x14ac:dyDescent="0.25">
      <c r="A178" t="s">
        <v>441</v>
      </c>
    </row>
    <row r="179" spans="1:1" x14ac:dyDescent="0.25">
      <c r="A179" t="s">
        <v>442</v>
      </c>
    </row>
    <row r="180" spans="1:1" x14ac:dyDescent="0.25">
      <c r="A180" t="s">
        <v>443</v>
      </c>
    </row>
    <row r="181" spans="1:1" x14ac:dyDescent="0.25">
      <c r="A181" t="s">
        <v>444</v>
      </c>
    </row>
    <row r="182" spans="1:1" x14ac:dyDescent="0.25">
      <c r="A182" t="s">
        <v>445</v>
      </c>
    </row>
    <row r="183" spans="1:1" x14ac:dyDescent="0.25">
      <c r="A183" t="s">
        <v>446</v>
      </c>
    </row>
    <row r="184" spans="1:1" x14ac:dyDescent="0.25">
      <c r="A184" t="s">
        <v>447</v>
      </c>
    </row>
    <row r="185" spans="1:1" x14ac:dyDescent="0.25">
      <c r="A185" t="s">
        <v>448</v>
      </c>
    </row>
    <row r="186" spans="1:1" x14ac:dyDescent="0.25">
      <c r="A186" t="s">
        <v>449</v>
      </c>
    </row>
    <row r="187" spans="1:1" x14ac:dyDescent="0.25">
      <c r="A187" t="s">
        <v>450</v>
      </c>
    </row>
    <row r="188" spans="1:1" x14ac:dyDescent="0.25">
      <c r="A188" t="s">
        <v>451</v>
      </c>
    </row>
    <row r="189" spans="1:1" x14ac:dyDescent="0.25">
      <c r="A189" t="s">
        <v>452</v>
      </c>
    </row>
    <row r="190" spans="1:1" x14ac:dyDescent="0.25">
      <c r="A190" t="s">
        <v>453</v>
      </c>
    </row>
    <row r="191" spans="1:1" x14ac:dyDescent="0.25">
      <c r="A191" t="s">
        <v>454</v>
      </c>
    </row>
    <row r="192" spans="1:1" x14ac:dyDescent="0.25">
      <c r="A192" t="s">
        <v>455</v>
      </c>
    </row>
    <row r="194" spans="1:1" x14ac:dyDescent="0.25">
      <c r="A194" t="s">
        <v>456</v>
      </c>
    </row>
    <row r="195" spans="1:1" x14ac:dyDescent="0.25">
      <c r="A195" t="s">
        <v>457</v>
      </c>
    </row>
    <row r="196" spans="1:1" x14ac:dyDescent="0.25">
      <c r="A196" t="s">
        <v>458</v>
      </c>
    </row>
    <row r="197" spans="1:1" x14ac:dyDescent="0.25">
      <c r="A197" t="s">
        <v>459</v>
      </c>
    </row>
    <row r="198" spans="1:1" x14ac:dyDescent="0.25">
      <c r="A198" t="s">
        <v>460</v>
      </c>
    </row>
    <row r="199" spans="1:1" x14ac:dyDescent="0.25">
      <c r="A199" t="s">
        <v>461</v>
      </c>
    </row>
    <row r="200" spans="1:1" x14ac:dyDescent="0.25">
      <c r="A200" t="s">
        <v>462</v>
      </c>
    </row>
    <row r="201" spans="1:1" x14ac:dyDescent="0.25">
      <c r="A201" t="s">
        <v>463</v>
      </c>
    </row>
    <row r="202" spans="1:1" x14ac:dyDescent="0.25">
      <c r="A202" t="s">
        <v>464</v>
      </c>
    </row>
    <row r="204" spans="1:1" x14ac:dyDescent="0.25">
      <c r="A204" t="s">
        <v>465</v>
      </c>
    </row>
    <row r="205" spans="1:1" x14ac:dyDescent="0.25">
      <c r="A205" t="s">
        <v>466</v>
      </c>
    </row>
    <row r="206" spans="1:1" x14ac:dyDescent="0.25">
      <c r="A206" t="s">
        <v>467</v>
      </c>
    </row>
    <row r="207" spans="1:1" x14ac:dyDescent="0.25">
      <c r="A207" t="s">
        <v>468</v>
      </c>
    </row>
    <row r="208" spans="1:1" x14ac:dyDescent="0.25">
      <c r="A208" t="s">
        <v>469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N6" sqref="N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154"/>
  <sheetViews>
    <sheetView tabSelected="1" workbookViewId="0">
      <selection activeCell="H7" sqref="H7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3.140625" style="3" bestFit="1" customWidth="1"/>
    <col min="5" max="5" width="13.5703125" style="3" bestFit="1" customWidth="1"/>
    <col min="6" max="6" width="11.28515625" style="3" bestFit="1" customWidth="1"/>
    <col min="7" max="7" width="13.140625" style="3" bestFit="1" customWidth="1"/>
    <col min="8" max="8" width="12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4" x14ac:dyDescent="0.25">
      <c r="A1" s="31" t="s">
        <v>91</v>
      </c>
      <c r="B1" s="207" t="s">
        <v>191</v>
      </c>
      <c r="C1" s="28" t="s">
        <v>125</v>
      </c>
      <c r="D1" s="35" t="s">
        <v>34</v>
      </c>
    </row>
    <row r="2" spans="1:4" x14ac:dyDescent="0.25">
      <c r="A2" s="6" t="s">
        <v>42</v>
      </c>
      <c r="B2" s="4"/>
      <c r="C2" s="4"/>
      <c r="D2" s="4">
        <f>B2-C2</f>
        <v>0</v>
      </c>
    </row>
    <row r="3" spans="1:4" ht="15" customHeight="1" x14ac:dyDescent="0.25">
      <c r="A3" s="7"/>
      <c r="B3" s="8"/>
      <c r="C3" s="8"/>
      <c r="D3" s="8"/>
    </row>
    <row r="4" spans="1:4" x14ac:dyDescent="0.25">
      <c r="A4" s="31" t="s">
        <v>92</v>
      </c>
      <c r="B4" s="207" t="s">
        <v>191</v>
      </c>
      <c r="C4" s="28" t="s">
        <v>125</v>
      </c>
      <c r="D4" s="35" t="s">
        <v>34</v>
      </c>
    </row>
    <row r="5" spans="1:4" x14ac:dyDescent="0.25">
      <c r="A5" s="4" t="s">
        <v>21</v>
      </c>
      <c r="B5" s="4"/>
      <c r="C5" s="4"/>
      <c r="D5" s="4">
        <f>B5-C5</f>
        <v>0</v>
      </c>
    </row>
    <row r="6" spans="1:4" x14ac:dyDescent="0.25">
      <c r="A6" s="4" t="s">
        <v>22</v>
      </c>
      <c r="B6" s="4"/>
      <c r="C6" s="4"/>
      <c r="D6" s="4">
        <f>B6-C6</f>
        <v>0</v>
      </c>
    </row>
    <row r="7" spans="1:4" x14ac:dyDescent="0.25">
      <c r="A7" s="4" t="s">
        <v>27</v>
      </c>
      <c r="B7" s="4"/>
      <c r="C7" s="4"/>
      <c r="D7" s="4">
        <f>B7-C7</f>
        <v>0</v>
      </c>
    </row>
    <row r="8" spans="1:4" x14ac:dyDescent="0.25">
      <c r="A8" s="4" t="s">
        <v>14</v>
      </c>
      <c r="B8" s="4"/>
      <c r="C8" s="4"/>
      <c r="D8" s="4">
        <f>B8-C8</f>
        <v>0</v>
      </c>
    </row>
    <row r="9" spans="1:4" x14ac:dyDescent="0.25">
      <c r="A9" s="34" t="s">
        <v>28</v>
      </c>
      <c r="B9" s="207">
        <f>SUM(B5:B8)</f>
        <v>0</v>
      </c>
      <c r="C9" s="28">
        <f>SUM(C5:C8)</f>
        <v>0</v>
      </c>
      <c r="D9" s="35">
        <f>SUM(D5:D8)</f>
        <v>0</v>
      </c>
    </row>
    <row r="10" spans="1:4" ht="15" customHeight="1" x14ac:dyDescent="0.25"/>
    <row r="11" spans="1:4" x14ac:dyDescent="0.25">
      <c r="A11" s="31" t="s">
        <v>93</v>
      </c>
      <c r="B11" s="207" t="s">
        <v>191</v>
      </c>
      <c r="C11" s="28" t="s">
        <v>4</v>
      </c>
      <c r="D11" s="35" t="s">
        <v>34</v>
      </c>
    </row>
    <row r="12" spans="1:4" x14ac:dyDescent="0.25">
      <c r="A12" s="47"/>
      <c r="B12" s="48"/>
      <c r="C12" s="49"/>
      <c r="D12" s="49">
        <f t="shared" ref="D12:D40" si="0">B12-C12</f>
        <v>0</v>
      </c>
    </row>
    <row r="13" spans="1:4" x14ac:dyDescent="0.25">
      <c r="A13" s="40">
        <v>1</v>
      </c>
      <c r="B13" s="40"/>
      <c r="C13" s="4"/>
      <c r="D13" s="49">
        <f t="shared" si="0"/>
        <v>0</v>
      </c>
    </row>
    <row r="14" spans="1:4" x14ac:dyDescent="0.25">
      <c r="A14" s="40">
        <v>2</v>
      </c>
      <c r="B14" s="40"/>
      <c r="C14" s="4"/>
      <c r="D14" s="49">
        <f t="shared" si="0"/>
        <v>0</v>
      </c>
    </row>
    <row r="15" spans="1:4" x14ac:dyDescent="0.25">
      <c r="A15" s="40">
        <v>3</v>
      </c>
      <c r="B15" s="40"/>
      <c r="C15" s="4"/>
      <c r="D15" s="49">
        <f t="shared" si="0"/>
        <v>0</v>
      </c>
    </row>
    <row r="16" spans="1:4" x14ac:dyDescent="0.25">
      <c r="A16" s="40">
        <v>4</v>
      </c>
      <c r="B16" s="40"/>
      <c r="C16" s="4"/>
      <c r="D16" s="49">
        <f t="shared" si="0"/>
        <v>0</v>
      </c>
    </row>
    <row r="17" spans="1:4" x14ac:dyDescent="0.25">
      <c r="A17" s="40" t="s">
        <v>21</v>
      </c>
      <c r="B17" s="40"/>
      <c r="C17" s="4"/>
      <c r="D17" s="49">
        <f t="shared" si="0"/>
        <v>0</v>
      </c>
    </row>
    <row r="18" spans="1:4" x14ac:dyDescent="0.25">
      <c r="A18" s="40" t="s">
        <v>23</v>
      </c>
      <c r="B18" s="40"/>
      <c r="C18" s="4"/>
      <c r="D18" s="49">
        <f t="shared" si="0"/>
        <v>0</v>
      </c>
    </row>
    <row r="19" spans="1:4" x14ac:dyDescent="0.25">
      <c r="A19" s="40" t="s">
        <v>100</v>
      </c>
      <c r="B19" s="40"/>
      <c r="C19" s="4"/>
      <c r="D19" s="49">
        <f t="shared" si="0"/>
        <v>0</v>
      </c>
    </row>
    <row r="20" spans="1:4" x14ac:dyDescent="0.25">
      <c r="A20" s="40" t="s">
        <v>101</v>
      </c>
      <c r="B20" s="40"/>
      <c r="C20" s="4"/>
      <c r="D20" s="49">
        <f t="shared" si="0"/>
        <v>0</v>
      </c>
    </row>
    <row r="21" spans="1:4" x14ac:dyDescent="0.25">
      <c r="A21" s="40" t="s">
        <v>102</v>
      </c>
      <c r="B21" s="40"/>
      <c r="C21" s="4"/>
      <c r="D21" s="49">
        <f t="shared" si="0"/>
        <v>0</v>
      </c>
    </row>
    <row r="22" spans="1:4" x14ac:dyDescent="0.25">
      <c r="A22" s="40" t="s">
        <v>103</v>
      </c>
      <c r="B22" s="40"/>
      <c r="C22" s="4"/>
      <c r="D22" s="49">
        <f t="shared" si="0"/>
        <v>0</v>
      </c>
    </row>
    <row r="23" spans="1:4" x14ac:dyDescent="0.25">
      <c r="A23" s="40" t="s">
        <v>27</v>
      </c>
      <c r="B23" s="40"/>
      <c r="C23" s="4"/>
      <c r="D23" s="49">
        <f t="shared" si="0"/>
        <v>0</v>
      </c>
    </row>
    <row r="24" spans="1:4" x14ac:dyDescent="0.25">
      <c r="A24" s="40" t="s">
        <v>24</v>
      </c>
      <c r="B24" s="40"/>
      <c r="C24" s="4"/>
      <c r="D24" s="49">
        <f t="shared" si="0"/>
        <v>0</v>
      </c>
    </row>
    <row r="25" spans="1:4" x14ac:dyDescent="0.25">
      <c r="A25" s="40" t="s">
        <v>15</v>
      </c>
      <c r="B25" s="40"/>
      <c r="C25" s="4"/>
      <c r="D25" s="49">
        <f t="shared" si="0"/>
        <v>0</v>
      </c>
    </row>
    <row r="26" spans="1:4" x14ac:dyDescent="0.25">
      <c r="A26" s="40" t="s">
        <v>29</v>
      </c>
      <c r="B26" s="40"/>
      <c r="C26" s="4"/>
      <c r="D26" s="49">
        <f t="shared" si="0"/>
        <v>0</v>
      </c>
    </row>
    <row r="27" spans="1:4" x14ac:dyDescent="0.25">
      <c r="A27" s="40" t="s">
        <v>30</v>
      </c>
      <c r="B27" s="40"/>
      <c r="C27" s="4"/>
      <c r="D27" s="49">
        <f t="shared" si="0"/>
        <v>0</v>
      </c>
    </row>
    <row r="28" spans="1:4" x14ac:dyDescent="0.25">
      <c r="A28" s="40" t="s">
        <v>31</v>
      </c>
      <c r="B28" s="40"/>
      <c r="C28" s="4"/>
      <c r="D28" s="49">
        <f t="shared" si="0"/>
        <v>0</v>
      </c>
    </row>
    <row r="29" spans="1:4" x14ac:dyDescent="0.25">
      <c r="A29" s="40" t="s">
        <v>17</v>
      </c>
      <c r="B29" s="40"/>
      <c r="C29" s="4"/>
      <c r="D29" s="49">
        <f t="shared" si="0"/>
        <v>0</v>
      </c>
    </row>
    <row r="30" spans="1:4" x14ac:dyDescent="0.25">
      <c r="A30" s="40" t="s">
        <v>32</v>
      </c>
      <c r="B30" s="40"/>
      <c r="C30" s="4"/>
      <c r="D30" s="49">
        <f t="shared" si="0"/>
        <v>0</v>
      </c>
    </row>
    <row r="31" spans="1:4" x14ac:dyDescent="0.25">
      <c r="A31" s="40" t="s">
        <v>104</v>
      </c>
      <c r="B31" s="40"/>
      <c r="C31" s="4"/>
      <c r="D31" s="49">
        <f t="shared" si="0"/>
        <v>0</v>
      </c>
    </row>
    <row r="32" spans="1:4" x14ac:dyDescent="0.25">
      <c r="A32" s="40" t="s">
        <v>33</v>
      </c>
      <c r="B32" s="40"/>
      <c r="C32" s="4"/>
      <c r="D32" s="49">
        <f t="shared" si="0"/>
        <v>0</v>
      </c>
    </row>
    <row r="33" spans="1:6" x14ac:dyDescent="0.25">
      <c r="A33" s="40" t="s">
        <v>25</v>
      </c>
      <c r="B33" s="40"/>
      <c r="C33" s="4"/>
      <c r="D33" s="49">
        <f t="shared" si="0"/>
        <v>0</v>
      </c>
    </row>
    <row r="34" spans="1:6" x14ac:dyDescent="0.25">
      <c r="A34" s="40" t="s">
        <v>14</v>
      </c>
      <c r="B34" s="40"/>
      <c r="C34" s="4"/>
      <c r="D34" s="49">
        <f t="shared" si="0"/>
        <v>0</v>
      </c>
    </row>
    <row r="35" spans="1:6" x14ac:dyDescent="0.25">
      <c r="A35" s="40" t="s">
        <v>105</v>
      </c>
      <c r="B35" s="40"/>
      <c r="C35" s="4"/>
      <c r="D35" s="49">
        <f t="shared" si="0"/>
        <v>0</v>
      </c>
    </row>
    <row r="36" spans="1:6" x14ac:dyDescent="0.25">
      <c r="A36" s="40" t="s">
        <v>106</v>
      </c>
      <c r="B36" s="40"/>
      <c r="C36" s="4"/>
      <c r="D36" s="49">
        <f t="shared" si="0"/>
        <v>0</v>
      </c>
    </row>
    <row r="37" spans="1:6" x14ac:dyDescent="0.25">
      <c r="A37" s="40" t="s">
        <v>107</v>
      </c>
      <c r="B37" s="40"/>
      <c r="C37" s="4"/>
      <c r="D37" s="49">
        <f t="shared" si="0"/>
        <v>0</v>
      </c>
    </row>
    <row r="38" spans="1:6" x14ac:dyDescent="0.25">
      <c r="A38" s="40" t="s">
        <v>108</v>
      </c>
      <c r="B38" s="40"/>
      <c r="C38" s="4"/>
      <c r="D38" s="49">
        <f t="shared" si="0"/>
        <v>0</v>
      </c>
    </row>
    <row r="39" spans="1:6" x14ac:dyDescent="0.25">
      <c r="A39" s="40" t="s">
        <v>26</v>
      </c>
      <c r="B39" s="40"/>
      <c r="C39" s="4"/>
      <c r="D39" s="49">
        <f t="shared" si="0"/>
        <v>0</v>
      </c>
    </row>
    <row r="40" spans="1:6" x14ac:dyDescent="0.25">
      <c r="A40" s="40" t="s">
        <v>109</v>
      </c>
      <c r="B40" s="40"/>
      <c r="C40" s="4"/>
      <c r="D40" s="49">
        <f t="shared" si="0"/>
        <v>0</v>
      </c>
    </row>
    <row r="41" spans="1:6" x14ac:dyDescent="0.25">
      <c r="A41" s="50" t="s">
        <v>28</v>
      </c>
      <c r="B41" s="207">
        <f>SUM(B12:B40)</f>
        <v>0</v>
      </c>
      <c r="C41" s="28">
        <f>SUM(C12:C40)</f>
        <v>0</v>
      </c>
      <c r="D41" s="35">
        <f>SUM(D12:D40)</f>
        <v>0</v>
      </c>
    </row>
    <row r="42" spans="1:6" ht="15" customHeight="1" x14ac:dyDescent="0.25"/>
    <row r="43" spans="1:6" x14ac:dyDescent="0.25">
      <c r="A43" s="31" t="s">
        <v>94</v>
      </c>
      <c r="B43" s="207" t="s">
        <v>191</v>
      </c>
      <c r="C43" s="28" t="s">
        <v>4</v>
      </c>
      <c r="D43" s="35" t="s">
        <v>34</v>
      </c>
      <c r="E43" s="147" t="s">
        <v>192</v>
      </c>
      <c r="F43" s="35" t="s">
        <v>34</v>
      </c>
    </row>
    <row r="44" spans="1:6" x14ac:dyDescent="0.25">
      <c r="A44" s="4" t="s">
        <v>35</v>
      </c>
      <c r="B44" s="4"/>
      <c r="C44" s="4"/>
      <c r="D44" s="4">
        <f>B44-C44</f>
        <v>0</v>
      </c>
      <c r="E44" s="4"/>
      <c r="F44" s="4">
        <f>B44-E44</f>
        <v>0</v>
      </c>
    </row>
    <row r="45" spans="1:6" x14ac:dyDescent="0.25">
      <c r="A45" s="4" t="s">
        <v>36</v>
      </c>
      <c r="B45" s="4"/>
      <c r="C45" s="4"/>
      <c r="D45" s="4">
        <f>B45-C45</f>
        <v>0</v>
      </c>
      <c r="E45" s="4"/>
      <c r="F45" s="4">
        <f>B45-E45</f>
        <v>0</v>
      </c>
    </row>
    <row r="46" spans="1:6" ht="13.5" customHeight="1" x14ac:dyDescent="0.25">
      <c r="A46" s="8"/>
      <c r="B46" s="8"/>
      <c r="C46" s="8"/>
      <c r="D46" s="8"/>
    </row>
    <row r="47" spans="1:6" x14ac:dyDescent="0.25">
      <c r="A47" s="31" t="s">
        <v>193</v>
      </c>
      <c r="B47" s="207" t="s">
        <v>191</v>
      </c>
      <c r="C47" s="28" t="s">
        <v>4</v>
      </c>
      <c r="D47" s="35" t="s">
        <v>34</v>
      </c>
    </row>
    <row r="48" spans="1:6" x14ac:dyDescent="0.25">
      <c r="A48" s="4" t="s">
        <v>60</v>
      </c>
      <c r="B48" s="148"/>
      <c r="C48" s="4"/>
      <c r="D48" s="4">
        <f>B48-C48</f>
        <v>0</v>
      </c>
    </row>
    <row r="49" spans="1:19" ht="13.5" customHeight="1" x14ac:dyDescent="0.25">
      <c r="A49" s="8"/>
      <c r="B49" s="8"/>
      <c r="C49" s="8"/>
      <c r="D49" s="8"/>
    </row>
    <row r="50" spans="1:19" x14ac:dyDescent="0.25">
      <c r="A50" s="31" t="s">
        <v>16</v>
      </c>
      <c r="B50" s="207" t="s">
        <v>191</v>
      </c>
      <c r="C50" s="28" t="s">
        <v>4</v>
      </c>
      <c r="D50" s="35" t="s">
        <v>34</v>
      </c>
    </row>
    <row r="51" spans="1:19" x14ac:dyDescent="0.25">
      <c r="A51" s="6" t="s">
        <v>37</v>
      </c>
      <c r="B51" s="4"/>
      <c r="C51" s="4"/>
      <c r="D51" s="4">
        <f>B51-C51</f>
        <v>0</v>
      </c>
    </row>
    <row r="52" spans="1:19" ht="45" customHeight="1" thickBot="1" x14ac:dyDescent="0.3">
      <c r="A52" s="7"/>
      <c r="B52" s="8"/>
      <c r="C52" s="8"/>
      <c r="D52" s="8"/>
    </row>
    <row r="53" spans="1:19" x14ac:dyDescent="0.25">
      <c r="A53" s="235" t="s">
        <v>95</v>
      </c>
      <c r="B53" s="237" t="s">
        <v>191</v>
      </c>
      <c r="C53" s="237"/>
      <c r="D53" s="238" t="s">
        <v>4</v>
      </c>
      <c r="E53" s="239"/>
      <c r="F53" s="240" t="s">
        <v>34</v>
      </c>
      <c r="G53" s="240"/>
      <c r="I53" s="241" t="s">
        <v>250</v>
      </c>
      <c r="J53" s="242"/>
      <c r="K53" s="242"/>
      <c r="L53" s="242"/>
      <c r="M53" s="242"/>
      <c r="N53" s="242"/>
      <c r="O53" s="242"/>
      <c r="P53" s="242"/>
      <c r="Q53" s="242"/>
      <c r="R53" s="242"/>
      <c r="S53" s="243"/>
    </row>
    <row r="54" spans="1:19" x14ac:dyDescent="0.25">
      <c r="A54" s="236"/>
      <c r="B54" s="207" t="s">
        <v>39</v>
      </c>
      <c r="C54" s="207" t="s">
        <v>40</v>
      </c>
      <c r="D54" s="28" t="s">
        <v>39</v>
      </c>
      <c r="E54" s="28" t="s">
        <v>40</v>
      </c>
      <c r="F54" s="35" t="s">
        <v>41</v>
      </c>
      <c r="G54" s="35" t="s">
        <v>40</v>
      </c>
      <c r="I54" s="133" t="s">
        <v>170</v>
      </c>
      <c r="J54" s="120" t="s">
        <v>177</v>
      </c>
      <c r="K54" s="120" t="s">
        <v>171</v>
      </c>
      <c r="L54" s="120" t="s">
        <v>172</v>
      </c>
      <c r="M54" s="120" t="s">
        <v>173</v>
      </c>
      <c r="N54" s="120" t="s">
        <v>40</v>
      </c>
      <c r="O54" s="120" t="s">
        <v>176</v>
      </c>
      <c r="P54" s="120" t="s">
        <v>174</v>
      </c>
      <c r="Q54" s="120" t="s">
        <v>175</v>
      </c>
      <c r="R54" s="120" t="s">
        <v>184</v>
      </c>
      <c r="S54" s="134" t="s">
        <v>185</v>
      </c>
    </row>
    <row r="55" spans="1:19" s="17" customFormat="1" x14ac:dyDescent="0.25">
      <c r="A55" s="16" t="s">
        <v>59</v>
      </c>
      <c r="B55" s="11"/>
      <c r="C55" s="37"/>
      <c r="D55" s="11"/>
      <c r="E55" s="37"/>
      <c r="F55" s="6">
        <f>B55-D55</f>
        <v>0</v>
      </c>
      <c r="G55" s="13">
        <f>C55-E55</f>
        <v>0</v>
      </c>
      <c r="I55" s="141"/>
      <c r="J55" s="6"/>
      <c r="K55" s="6"/>
      <c r="L55" s="6"/>
      <c r="M55" s="6"/>
      <c r="N55" s="6"/>
      <c r="O55" s="6"/>
      <c r="P55" s="6"/>
      <c r="Q55" s="6"/>
      <c r="R55" s="6"/>
      <c r="S55" s="136"/>
    </row>
    <row r="56" spans="1:19" s="17" customFormat="1" x14ac:dyDescent="0.25">
      <c r="A56" s="16" t="s">
        <v>22</v>
      </c>
      <c r="B56" s="11"/>
      <c r="C56" s="37"/>
      <c r="D56" s="11"/>
      <c r="E56" s="37"/>
      <c r="F56" s="6">
        <f t="shared" ref="F56:G75" si="1">B56-D56</f>
        <v>0</v>
      </c>
      <c r="G56" s="13">
        <f t="shared" si="1"/>
        <v>0</v>
      </c>
      <c r="I56" s="141"/>
      <c r="J56" s="6"/>
      <c r="K56" s="6"/>
      <c r="L56" s="6"/>
      <c r="M56" s="6"/>
      <c r="N56" s="6"/>
      <c r="O56" s="6"/>
      <c r="P56" s="6"/>
      <c r="Q56" s="6"/>
      <c r="R56" s="6"/>
      <c r="S56" s="136"/>
    </row>
    <row r="57" spans="1:19" s="17" customFormat="1" x14ac:dyDescent="0.25">
      <c r="A57" s="16" t="s">
        <v>23</v>
      </c>
      <c r="B57" s="11"/>
      <c r="C57" s="37"/>
      <c r="D57" s="11"/>
      <c r="E57" s="37"/>
      <c r="F57" s="6">
        <f t="shared" si="1"/>
        <v>0</v>
      </c>
      <c r="G57" s="13">
        <f t="shared" si="1"/>
        <v>0</v>
      </c>
      <c r="I57" s="141"/>
      <c r="J57" s="6"/>
      <c r="K57" s="6"/>
      <c r="L57" s="6"/>
      <c r="M57" s="6"/>
      <c r="N57" s="6"/>
      <c r="O57" s="6"/>
      <c r="P57" s="6"/>
      <c r="Q57" s="6"/>
      <c r="R57" s="6"/>
      <c r="S57" s="136"/>
    </row>
    <row r="58" spans="1:19" s="17" customFormat="1" x14ac:dyDescent="0.25">
      <c r="A58" s="16" t="s">
        <v>100</v>
      </c>
      <c r="B58" s="11"/>
      <c r="C58" s="37"/>
      <c r="D58" s="11"/>
      <c r="E58" s="37"/>
      <c r="F58" s="6">
        <f t="shared" si="1"/>
        <v>0</v>
      </c>
      <c r="G58" s="13">
        <f t="shared" si="1"/>
        <v>0</v>
      </c>
      <c r="I58" s="141"/>
      <c r="J58" s="6"/>
      <c r="K58" s="6"/>
      <c r="L58" s="6"/>
      <c r="M58" s="6"/>
      <c r="N58" s="6"/>
      <c r="O58" s="6"/>
      <c r="P58" s="6"/>
      <c r="Q58" s="6"/>
      <c r="R58" s="6"/>
      <c r="S58" s="136"/>
    </row>
    <row r="59" spans="1:19" s="17" customFormat="1" x14ac:dyDescent="0.25">
      <c r="A59" s="16" t="s">
        <v>101</v>
      </c>
      <c r="B59" s="11"/>
      <c r="C59" s="37"/>
      <c r="D59" s="11"/>
      <c r="E59" s="37"/>
      <c r="F59" s="6">
        <f t="shared" si="1"/>
        <v>0</v>
      </c>
      <c r="G59" s="13">
        <f t="shared" si="1"/>
        <v>0</v>
      </c>
      <c r="I59" s="141"/>
      <c r="J59" s="6"/>
      <c r="K59" s="6"/>
      <c r="L59" s="6"/>
      <c r="M59" s="6"/>
      <c r="N59" s="6"/>
      <c r="O59" s="6"/>
      <c r="P59" s="6"/>
      <c r="Q59" s="6"/>
      <c r="R59" s="6"/>
      <c r="S59" s="136"/>
    </row>
    <row r="60" spans="1:19" s="17" customFormat="1" x14ac:dyDescent="0.25">
      <c r="A60" s="16" t="s">
        <v>103</v>
      </c>
      <c r="B60" s="11"/>
      <c r="C60" s="37"/>
      <c r="D60" s="11"/>
      <c r="E60" s="37"/>
      <c r="F60" s="6">
        <f t="shared" si="1"/>
        <v>0</v>
      </c>
      <c r="G60" s="13">
        <f t="shared" si="1"/>
        <v>0</v>
      </c>
      <c r="I60" s="141"/>
      <c r="J60" s="6"/>
      <c r="K60" s="6"/>
      <c r="L60" s="6"/>
      <c r="M60" s="6"/>
      <c r="N60" s="6"/>
      <c r="O60" s="6"/>
      <c r="P60" s="6"/>
      <c r="Q60" s="6"/>
      <c r="R60" s="6"/>
      <c r="S60" s="136"/>
    </row>
    <row r="61" spans="1:19" s="17" customFormat="1" x14ac:dyDescent="0.25">
      <c r="A61" s="16" t="s">
        <v>27</v>
      </c>
      <c r="B61" s="11"/>
      <c r="C61" s="37"/>
      <c r="D61" s="11"/>
      <c r="E61" s="37"/>
      <c r="F61" s="6">
        <f t="shared" si="1"/>
        <v>0</v>
      </c>
      <c r="G61" s="13">
        <f t="shared" si="1"/>
        <v>0</v>
      </c>
      <c r="I61" s="141"/>
      <c r="J61" s="6"/>
      <c r="K61" s="6"/>
      <c r="L61" s="6"/>
      <c r="M61" s="6"/>
      <c r="N61" s="6"/>
      <c r="O61" s="6"/>
      <c r="P61" s="6"/>
      <c r="Q61" s="6"/>
      <c r="R61" s="6"/>
      <c r="S61" s="136"/>
    </row>
    <row r="62" spans="1:19" x14ac:dyDescent="0.25">
      <c r="A62" s="5" t="s">
        <v>110</v>
      </c>
      <c r="B62" s="11"/>
      <c r="C62" s="37"/>
      <c r="D62" s="4"/>
      <c r="E62" s="9"/>
      <c r="F62" s="6">
        <f t="shared" si="1"/>
        <v>0</v>
      </c>
      <c r="G62" s="13">
        <f t="shared" si="1"/>
        <v>0</v>
      </c>
      <c r="I62" s="135"/>
      <c r="J62" s="4"/>
      <c r="K62" s="4"/>
      <c r="L62" s="4"/>
      <c r="M62" s="4"/>
      <c r="N62" s="4"/>
      <c r="O62" s="4"/>
      <c r="P62" s="4"/>
      <c r="Q62" s="4"/>
      <c r="R62" s="4"/>
      <c r="S62" s="137"/>
    </row>
    <row r="63" spans="1:19" x14ac:dyDescent="0.25">
      <c r="A63" s="5" t="s">
        <v>111</v>
      </c>
      <c r="B63" s="11"/>
      <c r="C63" s="37"/>
      <c r="D63" s="4"/>
      <c r="E63" s="9"/>
      <c r="F63" s="6">
        <f t="shared" si="1"/>
        <v>0</v>
      </c>
      <c r="G63" s="13">
        <f t="shared" si="1"/>
        <v>0</v>
      </c>
      <c r="I63" s="135"/>
      <c r="J63" s="4"/>
      <c r="K63" s="4"/>
      <c r="L63" s="4"/>
      <c r="M63" s="4"/>
      <c r="N63" s="4"/>
      <c r="O63" s="4"/>
      <c r="P63" s="4"/>
      <c r="Q63" s="4"/>
      <c r="R63" s="4"/>
      <c r="S63" s="137"/>
    </row>
    <row r="64" spans="1:19" x14ac:dyDescent="0.25">
      <c r="A64" s="5" t="s">
        <v>24</v>
      </c>
      <c r="B64" s="4"/>
      <c r="C64" s="9"/>
      <c r="D64" s="4"/>
      <c r="E64" s="9"/>
      <c r="F64" s="6">
        <f t="shared" si="1"/>
        <v>0</v>
      </c>
      <c r="G64" s="13">
        <f t="shared" si="1"/>
        <v>0</v>
      </c>
      <c r="I64" s="135"/>
      <c r="J64" s="4"/>
      <c r="K64" s="4"/>
      <c r="L64" s="4"/>
      <c r="M64" s="4"/>
      <c r="N64" s="4"/>
      <c r="O64" s="4"/>
      <c r="P64" s="4"/>
      <c r="Q64" s="4"/>
      <c r="R64" s="4"/>
      <c r="S64" s="137"/>
    </row>
    <row r="65" spans="1:19" ht="15.75" thickBot="1" x14ac:dyDescent="0.3">
      <c r="A65" s="5" t="s">
        <v>15</v>
      </c>
      <c r="B65" s="4"/>
      <c r="C65" s="9"/>
      <c r="D65" s="4"/>
      <c r="E65" s="9"/>
      <c r="F65" s="6">
        <f t="shared" si="1"/>
        <v>0</v>
      </c>
      <c r="G65" s="13">
        <f t="shared" si="1"/>
        <v>0</v>
      </c>
      <c r="I65" s="138"/>
      <c r="J65" s="139"/>
      <c r="K65" s="139"/>
      <c r="L65" s="139"/>
      <c r="M65" s="139"/>
      <c r="N65" s="139"/>
      <c r="O65" s="139"/>
      <c r="P65" s="139"/>
      <c r="Q65" s="139"/>
      <c r="R65" s="139"/>
      <c r="S65" s="140"/>
    </row>
    <row r="66" spans="1:19" x14ac:dyDescent="0.25">
      <c r="A66" s="5" t="s">
        <v>29</v>
      </c>
      <c r="B66" s="4"/>
      <c r="C66" s="9"/>
      <c r="D66" s="4"/>
      <c r="E66" s="9"/>
      <c r="F66" s="6">
        <f t="shared" si="1"/>
        <v>0</v>
      </c>
      <c r="G66" s="13">
        <f t="shared" si="1"/>
        <v>0</v>
      </c>
    </row>
    <row r="67" spans="1:19" x14ac:dyDescent="0.25">
      <c r="A67" s="5" t="s">
        <v>30</v>
      </c>
      <c r="B67" s="4"/>
      <c r="C67" s="9"/>
      <c r="D67" s="4"/>
      <c r="E67" s="9"/>
      <c r="F67" s="6">
        <f t="shared" si="1"/>
        <v>0</v>
      </c>
      <c r="G67" s="13">
        <f t="shared" si="1"/>
        <v>0</v>
      </c>
    </row>
    <row r="68" spans="1:19" x14ac:dyDescent="0.25">
      <c r="A68" s="5" t="s">
        <v>31</v>
      </c>
      <c r="B68" s="4"/>
      <c r="C68" s="9"/>
      <c r="D68" s="4"/>
      <c r="E68" s="9"/>
      <c r="F68" s="6">
        <f t="shared" si="1"/>
        <v>0</v>
      </c>
      <c r="G68" s="13">
        <f t="shared" si="1"/>
        <v>0</v>
      </c>
    </row>
    <row r="69" spans="1:19" x14ac:dyDescent="0.25">
      <c r="A69" s="5" t="s">
        <v>17</v>
      </c>
      <c r="B69" s="4"/>
      <c r="C69" s="9"/>
      <c r="D69" s="4"/>
      <c r="E69" s="9"/>
      <c r="F69" s="6">
        <f t="shared" si="1"/>
        <v>0</v>
      </c>
      <c r="G69" s="13">
        <f t="shared" si="1"/>
        <v>0</v>
      </c>
    </row>
    <row r="70" spans="1:19" x14ac:dyDescent="0.25">
      <c r="A70" s="5" t="s">
        <v>38</v>
      </c>
      <c r="B70" s="4"/>
      <c r="C70" s="9"/>
      <c r="D70" s="4"/>
      <c r="E70" s="9"/>
      <c r="F70" s="6">
        <f t="shared" si="1"/>
        <v>0</v>
      </c>
      <c r="G70" s="13">
        <f t="shared" si="1"/>
        <v>0</v>
      </c>
    </row>
    <row r="71" spans="1:19" x14ac:dyDescent="0.25">
      <c r="A71" s="5" t="s">
        <v>33</v>
      </c>
      <c r="B71" s="4"/>
      <c r="C71" s="9"/>
      <c r="D71" s="4"/>
      <c r="E71" s="9"/>
      <c r="F71" s="6">
        <f t="shared" si="1"/>
        <v>0</v>
      </c>
      <c r="G71" s="13">
        <f t="shared" si="1"/>
        <v>0</v>
      </c>
    </row>
    <row r="72" spans="1:19" x14ac:dyDescent="0.25">
      <c r="A72" s="5" t="s">
        <v>25</v>
      </c>
      <c r="B72" s="4"/>
      <c r="C72" s="9"/>
      <c r="D72" s="4"/>
      <c r="E72" s="9"/>
      <c r="F72" s="6">
        <f t="shared" si="1"/>
        <v>0</v>
      </c>
      <c r="G72" s="13">
        <f t="shared" si="1"/>
        <v>0</v>
      </c>
    </row>
    <row r="73" spans="1:19" x14ac:dyDescent="0.25">
      <c r="A73" s="5" t="s">
        <v>14</v>
      </c>
      <c r="B73" s="4"/>
      <c r="C73" s="9"/>
      <c r="D73" s="4"/>
      <c r="E73" s="9"/>
      <c r="F73" s="6">
        <f t="shared" si="1"/>
        <v>0</v>
      </c>
      <c r="G73" s="13">
        <f t="shared" si="1"/>
        <v>0</v>
      </c>
    </row>
    <row r="74" spans="1:19" x14ac:dyDescent="0.25">
      <c r="A74" s="5" t="s">
        <v>105</v>
      </c>
      <c r="B74" s="4"/>
      <c r="C74" s="9"/>
      <c r="D74" s="4"/>
      <c r="E74" s="9"/>
      <c r="F74" s="6">
        <f t="shared" si="1"/>
        <v>0</v>
      </c>
      <c r="G74" s="13">
        <f t="shared" si="1"/>
        <v>0</v>
      </c>
    </row>
    <row r="75" spans="1:19" x14ac:dyDescent="0.25">
      <c r="A75" s="5" t="s">
        <v>26</v>
      </c>
      <c r="B75" s="4"/>
      <c r="C75" s="9"/>
      <c r="D75" s="4"/>
      <c r="E75" s="9"/>
      <c r="F75" s="6">
        <f t="shared" si="1"/>
        <v>0</v>
      </c>
      <c r="G75" s="13">
        <f t="shared" si="1"/>
        <v>0</v>
      </c>
    </row>
    <row r="76" spans="1:19" s="20" customFormat="1" x14ac:dyDescent="0.25">
      <c r="A76" s="52" t="s">
        <v>28</v>
      </c>
      <c r="B76" s="51">
        <f>SUM(B55:B75)</f>
        <v>0</v>
      </c>
      <c r="C76" s="30">
        <f t="shared" ref="C76:G76" si="2">SUM(C55:C75)</f>
        <v>0</v>
      </c>
      <c r="D76" s="205">
        <f t="shared" si="2"/>
        <v>0</v>
      </c>
      <c r="E76" s="53">
        <f t="shared" si="2"/>
        <v>0</v>
      </c>
      <c r="F76" s="206">
        <f t="shared" si="2"/>
        <v>0</v>
      </c>
      <c r="G76" s="54">
        <f t="shared" si="2"/>
        <v>0</v>
      </c>
    </row>
    <row r="77" spans="1:19" ht="13.5" customHeight="1" x14ac:dyDescent="0.25"/>
    <row r="78" spans="1:19" x14ac:dyDescent="0.25">
      <c r="A78" s="31" t="s">
        <v>90</v>
      </c>
      <c r="B78" s="207" t="s">
        <v>191</v>
      </c>
      <c r="C78" s="28" t="s">
        <v>4</v>
      </c>
      <c r="D78" s="35" t="s">
        <v>34</v>
      </c>
    </row>
    <row r="79" spans="1:19" x14ac:dyDescent="0.25">
      <c r="A79" s="4" t="s">
        <v>42</v>
      </c>
      <c r="B79" s="4"/>
      <c r="C79" s="4"/>
      <c r="D79" s="4">
        <f>B79-C79</f>
        <v>0</v>
      </c>
    </row>
    <row r="80" spans="1:19" ht="13.5" customHeight="1" x14ac:dyDescent="0.25"/>
    <row r="81" spans="1:4" x14ac:dyDescent="0.25">
      <c r="A81" s="31" t="s">
        <v>96</v>
      </c>
      <c r="B81" s="207" t="s">
        <v>191</v>
      </c>
      <c r="C81" s="28" t="s">
        <v>4</v>
      </c>
      <c r="D81" s="35" t="s">
        <v>34</v>
      </c>
    </row>
    <row r="82" spans="1:4" x14ac:dyDescent="0.25">
      <c r="A82" s="4" t="s">
        <v>112</v>
      </c>
      <c r="B82" s="4"/>
      <c r="C82" s="4"/>
      <c r="D82" s="4">
        <f>B82-C82</f>
        <v>0</v>
      </c>
    </row>
    <row r="83" spans="1:4" x14ac:dyDescent="0.25">
      <c r="A83" s="4" t="s">
        <v>113</v>
      </c>
      <c r="B83" s="4"/>
      <c r="C83" s="4"/>
      <c r="D83" s="4">
        <f t="shared" ref="D83:D93" si="3">B83-C83</f>
        <v>0</v>
      </c>
    </row>
    <row r="84" spans="1:4" x14ac:dyDescent="0.25">
      <c r="A84" s="4" t="s">
        <v>114</v>
      </c>
      <c r="B84" s="4"/>
      <c r="C84" s="4"/>
      <c r="D84" s="4">
        <f t="shared" si="3"/>
        <v>0</v>
      </c>
    </row>
    <row r="85" spans="1:4" x14ac:dyDescent="0.25">
      <c r="A85" s="4" t="s">
        <v>18</v>
      </c>
      <c r="B85" s="4"/>
      <c r="C85" s="4"/>
      <c r="D85" s="4">
        <f t="shared" si="3"/>
        <v>0</v>
      </c>
    </row>
    <row r="86" spans="1:4" x14ac:dyDescent="0.25">
      <c r="A86" s="4" t="s">
        <v>19</v>
      </c>
      <c r="B86" s="4"/>
      <c r="C86" s="4"/>
      <c r="D86" s="4">
        <f t="shared" si="3"/>
        <v>0</v>
      </c>
    </row>
    <row r="87" spans="1:4" x14ac:dyDescent="0.25">
      <c r="A87" s="4" t="s">
        <v>20</v>
      </c>
      <c r="B87" s="4"/>
      <c r="C87" s="4"/>
      <c r="D87" s="4">
        <f t="shared" si="3"/>
        <v>0</v>
      </c>
    </row>
    <row r="88" spans="1:4" x14ac:dyDescent="0.25">
      <c r="A88" s="4" t="s">
        <v>115</v>
      </c>
      <c r="B88" s="4"/>
      <c r="C88" s="4"/>
      <c r="D88" s="4">
        <f t="shared" si="3"/>
        <v>0</v>
      </c>
    </row>
    <row r="89" spans="1:4" x14ac:dyDescent="0.25">
      <c r="A89" s="4" t="s">
        <v>116</v>
      </c>
      <c r="B89" s="4"/>
      <c r="C89" s="4"/>
      <c r="D89" s="4">
        <f t="shared" si="3"/>
        <v>0</v>
      </c>
    </row>
    <row r="90" spans="1:4" x14ac:dyDescent="0.25">
      <c r="A90" s="4" t="s">
        <v>117</v>
      </c>
      <c r="B90" s="4"/>
      <c r="C90" s="4"/>
      <c r="D90" s="4">
        <f t="shared" si="3"/>
        <v>0</v>
      </c>
    </row>
    <row r="91" spans="1:4" x14ac:dyDescent="0.25">
      <c r="A91" s="4" t="s">
        <v>118</v>
      </c>
      <c r="B91" s="4"/>
      <c r="C91" s="4"/>
      <c r="D91" s="4">
        <f t="shared" si="3"/>
        <v>0</v>
      </c>
    </row>
    <row r="92" spans="1:4" x14ac:dyDescent="0.25">
      <c r="A92" s="4" t="s">
        <v>119</v>
      </c>
      <c r="B92" s="4"/>
      <c r="C92" s="4"/>
      <c r="D92" s="4">
        <f t="shared" si="3"/>
        <v>0</v>
      </c>
    </row>
    <row r="93" spans="1:4" x14ac:dyDescent="0.25">
      <c r="A93" s="4" t="s">
        <v>120</v>
      </c>
      <c r="B93" s="4"/>
      <c r="C93" s="4"/>
      <c r="D93" s="4">
        <f t="shared" si="3"/>
        <v>0</v>
      </c>
    </row>
    <row r="94" spans="1:4" x14ac:dyDescent="0.25">
      <c r="A94" s="34" t="s">
        <v>28</v>
      </c>
      <c r="B94" s="207">
        <f>SUM(B82:B93)</f>
        <v>0</v>
      </c>
      <c r="C94" s="28">
        <f>SUM(C82:C93)</f>
        <v>0</v>
      </c>
      <c r="D94" s="35">
        <f>SUM(D82:D93)</f>
        <v>0</v>
      </c>
    </row>
    <row r="96" spans="1:4" ht="15.75" customHeight="1" thickBot="1" x14ac:dyDescent="0.3">
      <c r="A96" s="7"/>
      <c r="B96" s="7"/>
      <c r="C96" s="7"/>
      <c r="D96" s="7"/>
    </row>
    <row r="97" spans="1:29" x14ac:dyDescent="0.25">
      <c r="A97" s="227" t="s">
        <v>98</v>
      </c>
      <c r="B97" s="228" t="s">
        <v>191</v>
      </c>
      <c r="C97" s="229"/>
      <c r="D97" s="229"/>
      <c r="E97" s="230" t="s">
        <v>4</v>
      </c>
      <c r="F97" s="230"/>
      <c r="G97" s="230"/>
      <c r="H97" s="231" t="s">
        <v>34</v>
      </c>
      <c r="I97" s="231"/>
      <c r="J97" s="231"/>
      <c r="K97" s="122"/>
      <c r="L97" s="232" t="s">
        <v>251</v>
      </c>
      <c r="M97" s="233"/>
      <c r="N97" s="233"/>
      <c r="O97" s="233"/>
      <c r="P97" s="233"/>
      <c r="Q97" s="233"/>
      <c r="R97" s="233"/>
      <c r="S97" s="233"/>
      <c r="T97" s="233"/>
      <c r="U97" s="233"/>
      <c r="V97" s="233"/>
      <c r="W97" s="233"/>
      <c r="X97" s="233"/>
      <c r="Y97" s="233"/>
      <c r="Z97" s="233"/>
      <c r="AA97" s="233"/>
      <c r="AB97" s="233"/>
      <c r="AC97" s="234"/>
    </row>
    <row r="98" spans="1:29" x14ac:dyDescent="0.25">
      <c r="A98" s="227"/>
      <c r="B98" s="207" t="s">
        <v>43</v>
      </c>
      <c r="C98" s="207" t="s">
        <v>44</v>
      </c>
      <c r="D98" s="207" t="s">
        <v>45</v>
      </c>
      <c r="E98" s="205" t="s">
        <v>53</v>
      </c>
      <c r="F98" s="205" t="s">
        <v>54</v>
      </c>
      <c r="G98" s="205" t="s">
        <v>45</v>
      </c>
      <c r="H98" s="206" t="s">
        <v>53</v>
      </c>
      <c r="I98" s="206" t="s">
        <v>54</v>
      </c>
      <c r="J98" s="206" t="s">
        <v>55</v>
      </c>
      <c r="K98" s="123"/>
      <c r="L98" s="133" t="s">
        <v>179</v>
      </c>
      <c r="M98" s="120" t="s">
        <v>186</v>
      </c>
      <c r="N98" s="120" t="s">
        <v>187</v>
      </c>
      <c r="O98" s="120" t="s">
        <v>188</v>
      </c>
      <c r="P98" s="120" t="s">
        <v>180</v>
      </c>
      <c r="Q98" s="120" t="s">
        <v>181</v>
      </c>
      <c r="R98" s="120" t="s">
        <v>190</v>
      </c>
      <c r="S98" s="120" t="s">
        <v>182</v>
      </c>
      <c r="T98" s="120" t="s">
        <v>54</v>
      </c>
      <c r="U98" s="120" t="s">
        <v>55</v>
      </c>
      <c r="V98" s="120" t="s">
        <v>183</v>
      </c>
      <c r="W98" s="120" t="s">
        <v>46</v>
      </c>
      <c r="X98" s="120" t="s">
        <v>47</v>
      </c>
      <c r="Y98" s="120" t="s">
        <v>189</v>
      </c>
      <c r="Z98" s="120" t="s">
        <v>174</v>
      </c>
      <c r="AA98" s="120" t="s">
        <v>175</v>
      </c>
      <c r="AB98" s="120" t="s">
        <v>184</v>
      </c>
      <c r="AC98" s="134" t="s">
        <v>185</v>
      </c>
    </row>
    <row r="99" spans="1:29" x14ac:dyDescent="0.25">
      <c r="A99" s="4" t="s">
        <v>59</v>
      </c>
      <c r="B99" s="40"/>
      <c r="C99" s="56"/>
      <c r="D99" s="56"/>
      <c r="E99" s="40"/>
      <c r="F99" s="56"/>
      <c r="G99" s="56"/>
      <c r="H99" s="130">
        <f>B99-E99</f>
        <v>0</v>
      </c>
      <c r="I99" s="56">
        <f>C99-F99</f>
        <v>0</v>
      </c>
      <c r="J99" s="56">
        <f>D99-G99</f>
        <v>0</v>
      </c>
      <c r="K99" s="124"/>
      <c r="L99" s="135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6"/>
      <c r="AC99" s="136"/>
    </row>
    <row r="100" spans="1:29" x14ac:dyDescent="0.25">
      <c r="A100" s="4" t="s">
        <v>23</v>
      </c>
      <c r="B100" s="40"/>
      <c r="C100" s="244" t="s">
        <v>58</v>
      </c>
      <c r="D100" s="245"/>
      <c r="E100" s="40"/>
      <c r="F100" s="244"/>
      <c r="G100" s="245"/>
      <c r="H100" s="130">
        <f t="shared" ref="H100:J118" si="4">B100-E100</f>
        <v>0</v>
      </c>
      <c r="I100" s="244" t="s">
        <v>58</v>
      </c>
      <c r="J100" s="245"/>
      <c r="K100" s="124"/>
      <c r="L100" s="135"/>
      <c r="M100" s="9"/>
      <c r="N100" s="4"/>
      <c r="O100" s="4"/>
      <c r="P100" s="4"/>
      <c r="Q100" s="4"/>
      <c r="R100" s="4"/>
      <c r="S100" s="4"/>
      <c r="T100" s="4"/>
      <c r="U100" s="9"/>
      <c r="V100" s="9"/>
      <c r="W100" s="9"/>
      <c r="X100" s="9"/>
      <c r="Y100" s="9"/>
      <c r="Z100" s="9"/>
      <c r="AA100" s="9"/>
      <c r="AB100" s="6"/>
      <c r="AC100" s="136"/>
    </row>
    <row r="101" spans="1:29" x14ac:dyDescent="0.25">
      <c r="A101" s="4" t="s">
        <v>100</v>
      </c>
      <c r="B101" s="40"/>
      <c r="C101" s="56"/>
      <c r="D101" s="56"/>
      <c r="E101" s="40"/>
      <c r="F101" s="56"/>
      <c r="G101" s="56"/>
      <c r="H101" s="130">
        <f t="shared" si="4"/>
        <v>0</v>
      </c>
      <c r="I101" s="56">
        <f t="shared" si="4"/>
        <v>0</v>
      </c>
      <c r="J101" s="56">
        <f t="shared" si="4"/>
        <v>0</v>
      </c>
      <c r="K101" s="124"/>
      <c r="L101" s="135"/>
      <c r="M101" s="9"/>
      <c r="N101" s="4"/>
      <c r="O101" s="4"/>
      <c r="P101" s="4"/>
      <c r="Q101" s="4"/>
      <c r="R101" s="4"/>
      <c r="S101" s="4"/>
      <c r="T101" s="4"/>
      <c r="U101" s="9"/>
      <c r="V101" s="9"/>
      <c r="W101" s="9"/>
      <c r="X101" s="9"/>
      <c r="Y101" s="9"/>
      <c r="Z101" s="9"/>
      <c r="AA101" s="9"/>
      <c r="AB101" s="6"/>
      <c r="AC101" s="136"/>
    </row>
    <row r="102" spans="1:29" s="14" customFormat="1" x14ac:dyDescent="0.25">
      <c r="A102" s="4" t="s">
        <v>102</v>
      </c>
      <c r="B102" s="40"/>
      <c r="C102" s="56"/>
      <c r="D102" s="56"/>
      <c r="E102" s="40"/>
      <c r="F102" s="56"/>
      <c r="G102" s="56"/>
      <c r="H102" s="130">
        <f t="shared" si="4"/>
        <v>0</v>
      </c>
      <c r="I102" s="56">
        <f t="shared" si="4"/>
        <v>0</v>
      </c>
      <c r="J102" s="56">
        <f t="shared" si="4"/>
        <v>0</v>
      </c>
      <c r="K102" s="125"/>
      <c r="L102" s="141"/>
      <c r="M102" s="13"/>
      <c r="N102" s="6"/>
      <c r="O102" s="6"/>
      <c r="P102" s="6"/>
      <c r="Q102" s="6"/>
      <c r="R102" s="6"/>
      <c r="S102" s="6"/>
      <c r="T102" s="6"/>
      <c r="U102" s="13"/>
      <c r="V102" s="13"/>
      <c r="W102" s="13"/>
      <c r="X102" s="13"/>
      <c r="Y102" s="13"/>
      <c r="Z102" s="13"/>
      <c r="AA102" s="13"/>
      <c r="AB102" s="132"/>
      <c r="AC102" s="143"/>
    </row>
    <row r="103" spans="1:29" x14ac:dyDescent="0.25">
      <c r="A103" s="4" t="s">
        <v>27</v>
      </c>
      <c r="B103" s="40"/>
      <c r="C103" s="56"/>
      <c r="D103" s="56"/>
      <c r="E103" s="40"/>
      <c r="F103" s="56"/>
      <c r="G103" s="56"/>
      <c r="H103" s="130">
        <f t="shared" si="4"/>
        <v>0</v>
      </c>
      <c r="I103" s="56">
        <f t="shared" si="4"/>
        <v>0</v>
      </c>
      <c r="J103" s="56">
        <f t="shared" si="4"/>
        <v>0</v>
      </c>
      <c r="K103" s="126"/>
      <c r="L103" s="135"/>
      <c r="M103" s="9"/>
      <c r="N103" s="4"/>
      <c r="O103" s="4"/>
      <c r="P103" s="4"/>
      <c r="Q103" s="4"/>
      <c r="R103" s="4"/>
      <c r="S103" s="4"/>
      <c r="T103" s="4"/>
      <c r="U103" s="9"/>
      <c r="V103" s="9"/>
      <c r="W103" s="9"/>
      <c r="X103" s="9"/>
      <c r="Y103" s="9"/>
      <c r="Z103" s="9"/>
      <c r="AA103" s="9"/>
      <c r="AB103" s="6"/>
      <c r="AC103" s="136"/>
    </row>
    <row r="104" spans="1:29" x14ac:dyDescent="0.25">
      <c r="A104" s="4" t="s">
        <v>110</v>
      </c>
      <c r="B104" s="40"/>
      <c r="C104" s="56"/>
      <c r="D104" s="56"/>
      <c r="E104" s="40"/>
      <c r="F104" s="56"/>
      <c r="G104" s="56"/>
      <c r="H104" s="130">
        <f t="shared" si="4"/>
        <v>0</v>
      </c>
      <c r="I104" s="56">
        <f t="shared" si="4"/>
        <v>0</v>
      </c>
      <c r="J104" s="56">
        <f t="shared" si="4"/>
        <v>0</v>
      </c>
      <c r="K104" s="121"/>
      <c r="L104" s="135"/>
      <c r="M104" s="9"/>
      <c r="N104" s="4"/>
      <c r="O104" s="4"/>
      <c r="P104" s="4"/>
      <c r="Q104" s="4"/>
      <c r="R104" s="4"/>
      <c r="S104" s="4"/>
      <c r="T104" s="4"/>
      <c r="U104" s="9"/>
      <c r="V104" s="9"/>
      <c r="W104" s="9"/>
      <c r="X104" s="9"/>
      <c r="Y104" s="9"/>
      <c r="Z104" s="9"/>
      <c r="AA104" s="9"/>
      <c r="AB104" s="6"/>
      <c r="AC104" s="136"/>
    </row>
    <row r="105" spans="1:29" x14ac:dyDescent="0.25">
      <c r="A105" s="4" t="s">
        <v>24</v>
      </c>
      <c r="B105" s="40"/>
      <c r="C105" s="56"/>
      <c r="D105" s="56"/>
      <c r="E105" s="40"/>
      <c r="F105" s="56"/>
      <c r="G105" s="56"/>
      <c r="H105" s="130">
        <f t="shared" si="4"/>
        <v>0</v>
      </c>
      <c r="I105" s="56">
        <f t="shared" si="4"/>
        <v>0</v>
      </c>
      <c r="J105" s="56">
        <f t="shared" si="4"/>
        <v>0</v>
      </c>
      <c r="K105" s="121"/>
      <c r="L105" s="135"/>
      <c r="M105" s="9"/>
      <c r="N105" s="4"/>
      <c r="O105" s="4"/>
      <c r="P105" s="4"/>
      <c r="Q105" s="4"/>
      <c r="R105" s="4"/>
      <c r="S105" s="4"/>
      <c r="T105" s="4"/>
      <c r="U105" s="9"/>
      <c r="V105" s="9"/>
      <c r="W105" s="9"/>
      <c r="X105" s="9"/>
      <c r="Y105" s="9"/>
      <c r="Z105" s="9"/>
      <c r="AA105" s="9"/>
      <c r="AB105" s="6"/>
      <c r="AC105" s="136"/>
    </row>
    <row r="106" spans="1:29" x14ac:dyDescent="0.25">
      <c r="A106" s="4" t="s">
        <v>29</v>
      </c>
      <c r="B106" s="40"/>
      <c r="C106" s="56"/>
      <c r="D106" s="56"/>
      <c r="E106" s="40"/>
      <c r="F106" s="56"/>
      <c r="G106" s="56"/>
      <c r="H106" s="130">
        <f t="shared" si="4"/>
        <v>0</v>
      </c>
      <c r="I106" s="56">
        <f t="shared" si="4"/>
        <v>0</v>
      </c>
      <c r="J106" s="56">
        <f t="shared" si="4"/>
        <v>0</v>
      </c>
      <c r="K106" s="121"/>
      <c r="L106" s="135"/>
      <c r="M106" s="9"/>
      <c r="N106" s="4"/>
      <c r="O106" s="4"/>
      <c r="P106" s="4"/>
      <c r="Q106" s="4"/>
      <c r="R106" s="4"/>
      <c r="S106" s="4"/>
      <c r="T106" s="4"/>
      <c r="U106" s="9"/>
      <c r="V106" s="9"/>
      <c r="W106" s="9"/>
      <c r="X106" s="9"/>
      <c r="Y106" s="9"/>
      <c r="Z106" s="9"/>
      <c r="AA106" s="9"/>
      <c r="AB106" s="4"/>
      <c r="AC106" s="137"/>
    </row>
    <row r="107" spans="1:29" x14ac:dyDescent="0.25">
      <c r="A107" s="4" t="s">
        <v>30</v>
      </c>
      <c r="B107" s="40"/>
      <c r="C107" s="56"/>
      <c r="D107" s="56"/>
      <c r="E107" s="40"/>
      <c r="F107" s="56"/>
      <c r="G107" s="56"/>
      <c r="H107" s="130">
        <f t="shared" si="4"/>
        <v>0</v>
      </c>
      <c r="I107" s="56">
        <f t="shared" si="4"/>
        <v>0</v>
      </c>
      <c r="J107" s="56">
        <f t="shared" si="4"/>
        <v>0</v>
      </c>
      <c r="K107" s="121"/>
      <c r="L107" s="135"/>
      <c r="M107" s="9"/>
      <c r="N107" s="4"/>
      <c r="O107" s="4"/>
      <c r="P107" s="4"/>
      <c r="Q107" s="4"/>
      <c r="R107" s="4"/>
      <c r="S107" s="4"/>
      <c r="T107" s="4"/>
      <c r="U107" s="9"/>
      <c r="V107" s="9"/>
      <c r="W107" s="9"/>
      <c r="X107" s="9"/>
      <c r="Y107" s="9"/>
      <c r="Z107" s="9"/>
      <c r="AA107" s="9"/>
      <c r="AB107" s="4"/>
      <c r="AC107" s="137"/>
    </row>
    <row r="108" spans="1:29" x14ac:dyDescent="0.25">
      <c r="A108" s="4" t="s">
        <v>31</v>
      </c>
      <c r="B108" s="40"/>
      <c r="C108" s="56"/>
      <c r="D108" s="56"/>
      <c r="E108" s="40"/>
      <c r="F108" s="56"/>
      <c r="G108" s="56"/>
      <c r="H108" s="130">
        <f t="shared" si="4"/>
        <v>0</v>
      </c>
      <c r="I108" s="56">
        <f t="shared" si="4"/>
        <v>0</v>
      </c>
      <c r="J108" s="56">
        <f t="shared" si="4"/>
        <v>0</v>
      </c>
      <c r="K108" s="121"/>
      <c r="L108" s="135"/>
      <c r="M108" s="9"/>
      <c r="N108" s="4"/>
      <c r="O108" s="4"/>
      <c r="P108" s="4"/>
      <c r="Q108" s="4"/>
      <c r="R108" s="4"/>
      <c r="S108" s="4"/>
      <c r="T108" s="4"/>
      <c r="U108" s="9"/>
      <c r="V108" s="9"/>
      <c r="W108" s="9"/>
      <c r="X108" s="9"/>
      <c r="Y108" s="9"/>
      <c r="Z108" s="9"/>
      <c r="AA108" s="9"/>
      <c r="AB108" s="4"/>
      <c r="AC108" s="137"/>
    </row>
    <row r="109" spans="1:29" ht="15.75" thickBot="1" x14ac:dyDescent="0.3">
      <c r="A109" s="12" t="s">
        <v>17</v>
      </c>
      <c r="B109" s="128"/>
      <c r="C109" s="56"/>
      <c r="D109" s="129"/>
      <c r="E109" s="40"/>
      <c r="F109" s="56"/>
      <c r="G109" s="56"/>
      <c r="H109" s="130">
        <f t="shared" si="4"/>
        <v>0</v>
      </c>
      <c r="I109" s="56">
        <f t="shared" si="4"/>
        <v>0</v>
      </c>
      <c r="J109" s="56">
        <f t="shared" si="4"/>
        <v>0</v>
      </c>
      <c r="K109" s="121"/>
      <c r="L109" s="138"/>
      <c r="M109" s="142"/>
      <c r="N109" s="139"/>
      <c r="O109" s="139"/>
      <c r="P109" s="139"/>
      <c r="Q109" s="139"/>
      <c r="R109" s="139"/>
      <c r="S109" s="139"/>
      <c r="T109" s="139"/>
      <c r="U109" s="142"/>
      <c r="V109" s="142"/>
      <c r="W109" s="142"/>
      <c r="X109" s="142"/>
      <c r="Y109" s="142"/>
      <c r="Z109" s="142"/>
      <c r="AA109" s="142"/>
      <c r="AB109" s="139"/>
      <c r="AC109" s="140"/>
    </row>
    <row r="110" spans="1:29" x14ac:dyDescent="0.25">
      <c r="A110" s="4" t="s">
        <v>104</v>
      </c>
      <c r="B110" s="40"/>
      <c r="C110" s="56"/>
      <c r="D110" s="56"/>
      <c r="E110" s="40"/>
      <c r="F110" s="56"/>
      <c r="G110" s="56"/>
      <c r="H110" s="130">
        <f t="shared" si="4"/>
        <v>0</v>
      </c>
      <c r="I110" s="56">
        <f t="shared" si="4"/>
        <v>0</v>
      </c>
      <c r="J110" s="56">
        <f t="shared" si="4"/>
        <v>0</v>
      </c>
      <c r="K110" s="121"/>
    </row>
    <row r="111" spans="1:29" x14ac:dyDescent="0.25">
      <c r="A111" s="4" t="s">
        <v>38</v>
      </c>
      <c r="B111" s="40"/>
      <c r="C111" s="56"/>
      <c r="D111" s="56"/>
      <c r="E111" s="40"/>
      <c r="F111" s="56"/>
      <c r="G111" s="56"/>
      <c r="H111" s="130">
        <f t="shared" si="4"/>
        <v>0</v>
      </c>
      <c r="I111" s="56">
        <f t="shared" si="4"/>
        <v>0</v>
      </c>
      <c r="J111" s="56">
        <f t="shared" si="4"/>
        <v>0</v>
      </c>
      <c r="K111" s="121"/>
    </row>
    <row r="112" spans="1:29" x14ac:dyDescent="0.25">
      <c r="A112" s="4" t="s">
        <v>33</v>
      </c>
      <c r="B112" s="40"/>
      <c r="C112" s="56"/>
      <c r="D112" s="56"/>
      <c r="E112" s="40"/>
      <c r="F112" s="56"/>
      <c r="G112" s="56"/>
      <c r="H112" s="130">
        <f t="shared" si="4"/>
        <v>0</v>
      </c>
      <c r="I112" s="56">
        <f t="shared" si="4"/>
        <v>0</v>
      </c>
      <c r="J112" s="56">
        <f t="shared" si="4"/>
        <v>0</v>
      </c>
      <c r="K112" s="121"/>
    </row>
    <row r="113" spans="1:11" x14ac:dyDescent="0.25">
      <c r="A113" s="4" t="s">
        <v>25</v>
      </c>
      <c r="B113" s="40"/>
      <c r="C113" s="56"/>
      <c r="D113" s="56"/>
      <c r="E113" s="40"/>
      <c r="F113" s="56"/>
      <c r="G113" s="56"/>
      <c r="H113" s="130">
        <f t="shared" si="4"/>
        <v>0</v>
      </c>
      <c r="I113" s="56">
        <f t="shared" si="4"/>
        <v>0</v>
      </c>
      <c r="J113" s="56">
        <f t="shared" si="4"/>
        <v>0</v>
      </c>
      <c r="K113" s="121"/>
    </row>
    <row r="114" spans="1:11" x14ac:dyDescent="0.25">
      <c r="A114" s="4" t="s">
        <v>122</v>
      </c>
      <c r="B114" s="40"/>
      <c r="C114" s="56"/>
      <c r="D114" s="56"/>
      <c r="E114" s="40"/>
      <c r="F114" s="56"/>
      <c r="G114" s="56"/>
      <c r="H114" s="130">
        <f t="shared" si="4"/>
        <v>0</v>
      </c>
      <c r="I114" s="56">
        <f t="shared" si="4"/>
        <v>0</v>
      </c>
      <c r="J114" s="56">
        <f t="shared" si="4"/>
        <v>0</v>
      </c>
      <c r="K114" s="121"/>
    </row>
    <row r="115" spans="1:11" x14ac:dyDescent="0.25">
      <c r="A115" s="4" t="s">
        <v>123</v>
      </c>
      <c r="B115" s="40"/>
      <c r="C115" s="56"/>
      <c r="D115" s="56"/>
      <c r="E115" s="40"/>
      <c r="F115" s="56"/>
      <c r="G115" s="56"/>
      <c r="H115" s="130">
        <f t="shared" si="4"/>
        <v>0</v>
      </c>
      <c r="I115" s="56">
        <f t="shared" si="4"/>
        <v>0</v>
      </c>
      <c r="J115" s="56">
        <f t="shared" si="4"/>
        <v>0</v>
      </c>
      <c r="K115" s="121"/>
    </row>
    <row r="116" spans="1:11" x14ac:dyDescent="0.25">
      <c r="A116" s="4" t="s">
        <v>108</v>
      </c>
      <c r="B116" s="40"/>
      <c r="C116" s="56"/>
      <c r="D116" s="56"/>
      <c r="E116" s="40"/>
      <c r="F116" s="56"/>
      <c r="G116" s="56"/>
      <c r="H116" s="130">
        <f t="shared" si="4"/>
        <v>0</v>
      </c>
      <c r="I116" s="56">
        <f t="shared" si="4"/>
        <v>0</v>
      </c>
      <c r="J116" s="56">
        <f t="shared" si="4"/>
        <v>0</v>
      </c>
      <c r="K116" s="121"/>
    </row>
    <row r="117" spans="1:11" x14ac:dyDescent="0.25">
      <c r="A117" s="4" t="s">
        <v>26</v>
      </c>
      <c r="B117" s="40"/>
      <c r="C117" s="56"/>
      <c r="D117" s="56"/>
      <c r="E117" s="40"/>
      <c r="F117" s="56"/>
      <c r="G117" s="56"/>
      <c r="H117" s="130">
        <f t="shared" si="4"/>
        <v>0</v>
      </c>
      <c r="I117" s="56">
        <f t="shared" si="4"/>
        <v>0</v>
      </c>
      <c r="J117" s="56">
        <f t="shared" si="4"/>
        <v>0</v>
      </c>
      <c r="K117" s="121"/>
    </row>
    <row r="118" spans="1:11" x14ac:dyDescent="0.25">
      <c r="A118" s="4" t="s">
        <v>109</v>
      </c>
      <c r="B118" s="40"/>
      <c r="C118" s="56"/>
      <c r="D118" s="56"/>
      <c r="E118" s="40"/>
      <c r="F118" s="56"/>
      <c r="G118" s="56"/>
      <c r="H118" s="130">
        <f t="shared" si="4"/>
        <v>0</v>
      </c>
      <c r="I118" s="56">
        <f t="shared" si="4"/>
        <v>0</v>
      </c>
      <c r="J118" s="56">
        <f t="shared" si="4"/>
        <v>0</v>
      </c>
      <c r="K118" s="121"/>
    </row>
    <row r="119" spans="1:11" x14ac:dyDescent="0.25">
      <c r="A119" s="34" t="s">
        <v>28</v>
      </c>
      <c r="B119" s="207">
        <f t="shared" ref="B119:J119" si="5">SUM(B99:B118)</f>
        <v>0</v>
      </c>
      <c r="C119" s="30">
        <f t="shared" si="5"/>
        <v>0</v>
      </c>
      <c r="D119" s="30">
        <f t="shared" si="5"/>
        <v>0</v>
      </c>
      <c r="E119" s="205">
        <f t="shared" si="5"/>
        <v>0</v>
      </c>
      <c r="F119" s="53">
        <f t="shared" si="5"/>
        <v>0</v>
      </c>
      <c r="G119" s="53">
        <f t="shared" si="5"/>
        <v>0</v>
      </c>
      <c r="H119" s="131">
        <f t="shared" si="5"/>
        <v>0</v>
      </c>
      <c r="I119" s="54">
        <f t="shared" si="5"/>
        <v>0</v>
      </c>
      <c r="J119" s="54">
        <f t="shared" si="5"/>
        <v>0</v>
      </c>
      <c r="K119" s="121"/>
    </row>
    <row r="120" spans="1:11" x14ac:dyDescent="0.25">
      <c r="K120" s="125"/>
    </row>
    <row r="121" spans="1:11" ht="15" customHeight="1" x14ac:dyDescent="0.25">
      <c r="A121" s="32" t="s">
        <v>97</v>
      </c>
      <c r="B121" s="207" t="s">
        <v>191</v>
      </c>
      <c r="C121" s="207"/>
      <c r="D121" s="246" t="s">
        <v>4</v>
      </c>
      <c r="E121" s="247"/>
      <c r="F121" s="248" t="s">
        <v>34</v>
      </c>
      <c r="G121" s="249"/>
      <c r="H121" s="250" t="s">
        <v>194</v>
      </c>
      <c r="I121" s="251"/>
      <c r="J121" s="248" t="s">
        <v>34</v>
      </c>
      <c r="K121" s="249"/>
    </row>
    <row r="122" spans="1:11" x14ac:dyDescent="0.25">
      <c r="A122" s="32"/>
      <c r="B122" s="207" t="s">
        <v>40</v>
      </c>
      <c r="C122" s="207" t="s">
        <v>57</v>
      </c>
      <c r="D122" s="29" t="s">
        <v>56</v>
      </c>
      <c r="E122" s="28" t="s">
        <v>53</v>
      </c>
      <c r="F122" s="35" t="s">
        <v>40</v>
      </c>
      <c r="G122" s="35" t="s">
        <v>39</v>
      </c>
      <c r="H122" s="147" t="s">
        <v>195</v>
      </c>
      <c r="I122" s="147" t="s">
        <v>39</v>
      </c>
      <c r="J122" s="35" t="s">
        <v>40</v>
      </c>
      <c r="K122" s="35" t="s">
        <v>39</v>
      </c>
    </row>
    <row r="123" spans="1:11" x14ac:dyDescent="0.25">
      <c r="A123" s="4" t="s">
        <v>22</v>
      </c>
      <c r="B123" s="9"/>
      <c r="C123" s="4"/>
      <c r="D123" s="38"/>
      <c r="E123" s="4"/>
      <c r="F123" s="149">
        <f>B123-D123</f>
        <v>0</v>
      </c>
      <c r="G123" s="150">
        <f>C123-E123</f>
        <v>0</v>
      </c>
      <c r="H123" s="4"/>
      <c r="I123" s="4"/>
      <c r="J123" s="149">
        <f>B123-H123</f>
        <v>0</v>
      </c>
      <c r="K123" s="150">
        <f>C123-I123</f>
        <v>0</v>
      </c>
    </row>
    <row r="124" spans="1:11" x14ac:dyDescent="0.25">
      <c r="A124" s="4" t="s">
        <v>23</v>
      </c>
      <c r="B124" s="9"/>
      <c r="C124" s="4"/>
      <c r="D124" s="38"/>
      <c r="E124" s="4"/>
      <c r="F124" s="149">
        <f t="shared" ref="F124:G133" si="6">B124-D124</f>
        <v>0</v>
      </c>
      <c r="G124" s="150">
        <f t="shared" si="6"/>
        <v>0</v>
      </c>
      <c r="H124" s="4"/>
      <c r="I124" s="4"/>
      <c r="J124" s="149">
        <f t="shared" ref="J124:K133" si="7">B124-H124</f>
        <v>0</v>
      </c>
      <c r="K124" s="150">
        <f t="shared" si="7"/>
        <v>0</v>
      </c>
    </row>
    <row r="125" spans="1:11" x14ac:dyDescent="0.25">
      <c r="A125" s="4" t="s">
        <v>102</v>
      </c>
      <c r="B125" s="9"/>
      <c r="C125" s="4"/>
      <c r="D125" s="38"/>
      <c r="E125" s="4"/>
      <c r="F125" s="149">
        <f t="shared" si="6"/>
        <v>0</v>
      </c>
      <c r="G125" s="150">
        <f t="shared" si="6"/>
        <v>0</v>
      </c>
      <c r="H125" s="4"/>
      <c r="I125" s="4"/>
      <c r="J125" s="149">
        <f t="shared" si="7"/>
        <v>0</v>
      </c>
      <c r="K125" s="150">
        <f t="shared" si="7"/>
        <v>0</v>
      </c>
    </row>
    <row r="126" spans="1:11" x14ac:dyDescent="0.25">
      <c r="A126" s="4" t="s">
        <v>27</v>
      </c>
      <c r="B126" s="9"/>
      <c r="C126" s="4"/>
      <c r="D126" s="38"/>
      <c r="E126" s="4"/>
      <c r="F126" s="149">
        <f t="shared" si="6"/>
        <v>0</v>
      </c>
      <c r="G126" s="150">
        <f t="shared" si="6"/>
        <v>0</v>
      </c>
      <c r="H126" s="4"/>
      <c r="I126" s="4"/>
      <c r="J126" s="149">
        <f t="shared" si="7"/>
        <v>0</v>
      </c>
      <c r="K126" s="150">
        <f t="shared" si="7"/>
        <v>0</v>
      </c>
    </row>
    <row r="127" spans="1:11" x14ac:dyDescent="0.25">
      <c r="A127" s="4" t="s">
        <v>15</v>
      </c>
      <c r="B127" s="9"/>
      <c r="C127" s="4"/>
      <c r="D127" s="38"/>
      <c r="E127" s="4"/>
      <c r="F127" s="149">
        <f t="shared" si="6"/>
        <v>0</v>
      </c>
      <c r="G127" s="150">
        <f t="shared" si="6"/>
        <v>0</v>
      </c>
      <c r="H127" s="4"/>
      <c r="I127" s="4"/>
      <c r="J127" s="149">
        <f t="shared" si="7"/>
        <v>0</v>
      </c>
      <c r="K127" s="150">
        <f t="shared" si="7"/>
        <v>0</v>
      </c>
    </row>
    <row r="128" spans="1:11" x14ac:dyDescent="0.25">
      <c r="A128" s="4" t="s">
        <v>31</v>
      </c>
      <c r="B128" s="9"/>
      <c r="C128" s="4"/>
      <c r="D128" s="38"/>
      <c r="E128" s="4"/>
      <c r="F128" s="149">
        <f t="shared" si="6"/>
        <v>0</v>
      </c>
      <c r="G128" s="150">
        <f t="shared" si="6"/>
        <v>0</v>
      </c>
      <c r="H128" s="4"/>
      <c r="I128" s="4"/>
      <c r="J128" s="149">
        <f t="shared" si="7"/>
        <v>0</v>
      </c>
      <c r="K128" s="150">
        <f t="shared" si="7"/>
        <v>0</v>
      </c>
    </row>
    <row r="129" spans="1:12" x14ac:dyDescent="0.25">
      <c r="A129" s="4" t="s">
        <v>17</v>
      </c>
      <c r="B129" s="9"/>
      <c r="C129" s="4"/>
      <c r="D129" s="38"/>
      <c r="E129" s="4"/>
      <c r="F129" s="149">
        <f t="shared" si="6"/>
        <v>0</v>
      </c>
      <c r="G129" s="150">
        <f t="shared" si="6"/>
        <v>0</v>
      </c>
      <c r="H129" s="4"/>
      <c r="I129" s="4"/>
      <c r="J129" s="149">
        <f t="shared" si="7"/>
        <v>0</v>
      </c>
      <c r="K129" s="150">
        <f t="shared" si="7"/>
        <v>0</v>
      </c>
    </row>
    <row r="130" spans="1:12" x14ac:dyDescent="0.25">
      <c r="A130" s="4" t="s">
        <v>32</v>
      </c>
      <c r="B130" s="9"/>
      <c r="C130" s="4"/>
      <c r="D130" s="38"/>
      <c r="E130" s="4"/>
      <c r="F130" s="149">
        <f t="shared" si="6"/>
        <v>0</v>
      </c>
      <c r="G130" s="150">
        <f t="shared" si="6"/>
        <v>0</v>
      </c>
      <c r="H130" s="4"/>
      <c r="I130" s="4"/>
      <c r="J130" s="149">
        <f t="shared" si="7"/>
        <v>0</v>
      </c>
      <c r="K130" s="150">
        <f t="shared" si="7"/>
        <v>0</v>
      </c>
    </row>
    <row r="131" spans="1:12" x14ac:dyDescent="0.25">
      <c r="A131" s="4" t="s">
        <v>33</v>
      </c>
      <c r="B131" s="9"/>
      <c r="C131" s="4"/>
      <c r="D131" s="38"/>
      <c r="E131" s="4"/>
      <c r="F131" s="149">
        <f t="shared" si="6"/>
        <v>0</v>
      </c>
      <c r="G131" s="150">
        <f t="shared" si="6"/>
        <v>0</v>
      </c>
      <c r="H131" s="4"/>
      <c r="I131" s="4"/>
      <c r="J131" s="149">
        <f t="shared" si="7"/>
        <v>0</v>
      </c>
      <c r="K131" s="150">
        <f t="shared" si="7"/>
        <v>0</v>
      </c>
    </row>
    <row r="132" spans="1:12" x14ac:dyDescent="0.25">
      <c r="A132" s="4" t="s">
        <v>14</v>
      </c>
      <c r="B132" s="9"/>
      <c r="C132" s="4"/>
      <c r="D132" s="38"/>
      <c r="E132" s="4"/>
      <c r="F132" s="149">
        <f t="shared" si="6"/>
        <v>0</v>
      </c>
      <c r="G132" s="150">
        <f t="shared" si="6"/>
        <v>0</v>
      </c>
      <c r="H132" s="4"/>
      <c r="I132" s="4"/>
      <c r="J132" s="149">
        <f t="shared" si="7"/>
        <v>0</v>
      </c>
      <c r="K132" s="150">
        <f t="shared" si="7"/>
        <v>0</v>
      </c>
    </row>
    <row r="133" spans="1:12" x14ac:dyDescent="0.25">
      <c r="A133" s="4" t="s">
        <v>121</v>
      </c>
      <c r="B133" s="9"/>
      <c r="C133" s="4"/>
      <c r="D133" s="38"/>
      <c r="E133" s="4"/>
      <c r="F133" s="149">
        <f t="shared" si="6"/>
        <v>0</v>
      </c>
      <c r="G133" s="150">
        <f t="shared" si="6"/>
        <v>0</v>
      </c>
      <c r="H133" s="4"/>
      <c r="I133" s="4"/>
      <c r="J133" s="149">
        <f t="shared" si="7"/>
        <v>0</v>
      </c>
      <c r="K133" s="150">
        <f t="shared" si="7"/>
        <v>0</v>
      </c>
    </row>
    <row r="134" spans="1:12" x14ac:dyDescent="0.25">
      <c r="A134" s="34" t="s">
        <v>28</v>
      </c>
      <c r="B134" s="30">
        <f t="shared" ref="B134:E134" si="8">SUM(B123:B133)</f>
        <v>0</v>
      </c>
      <c r="C134" s="207">
        <f t="shared" si="8"/>
        <v>0</v>
      </c>
      <c r="D134" s="55">
        <f t="shared" si="8"/>
        <v>0</v>
      </c>
      <c r="E134" s="28">
        <f t="shared" si="8"/>
        <v>0</v>
      </c>
      <c r="F134" s="36">
        <f t="shared" ref="F134:K134" si="9">SUM(F123:F133)</f>
        <v>0</v>
      </c>
      <c r="G134" s="151">
        <f t="shared" si="9"/>
        <v>0</v>
      </c>
      <c r="H134" s="147">
        <f t="shared" si="9"/>
        <v>0</v>
      </c>
      <c r="I134" s="147">
        <f t="shared" si="9"/>
        <v>0</v>
      </c>
      <c r="J134" s="36">
        <f t="shared" si="9"/>
        <v>0</v>
      </c>
      <c r="K134" s="151">
        <f t="shared" si="9"/>
        <v>0</v>
      </c>
    </row>
    <row r="135" spans="1:12" x14ac:dyDescent="0.25">
      <c r="K135" s="125"/>
    </row>
    <row r="136" spans="1:12" ht="18.75" customHeight="1" x14ac:dyDescent="0.25">
      <c r="A136" s="31" t="s">
        <v>99</v>
      </c>
      <c r="B136" s="207" t="s">
        <v>191</v>
      </c>
      <c r="C136" s="33" t="s">
        <v>4</v>
      </c>
      <c r="D136" s="35" t="s">
        <v>34</v>
      </c>
      <c r="L136" s="127"/>
    </row>
    <row r="137" spans="1:12" x14ac:dyDescent="0.25">
      <c r="A137" s="31" t="s">
        <v>178</v>
      </c>
      <c r="B137" s="49"/>
      <c r="C137" s="49"/>
      <c r="D137" s="49">
        <f>B137-C137</f>
        <v>0</v>
      </c>
    </row>
    <row r="138" spans="1:12" x14ac:dyDescent="0.25">
      <c r="A138" s="8"/>
      <c r="B138" s="8"/>
      <c r="C138" s="8"/>
      <c r="D138" s="8"/>
      <c r="E138" s="8"/>
      <c r="F138" s="8"/>
    </row>
    <row r="139" spans="1:12" x14ac:dyDescent="0.25">
      <c r="A139" s="252" t="s">
        <v>196</v>
      </c>
      <c r="B139" s="254" t="s">
        <v>191</v>
      </c>
      <c r="C139" s="230" t="s">
        <v>4</v>
      </c>
      <c r="D139" s="231" t="s">
        <v>34</v>
      </c>
      <c r="E139" s="8"/>
      <c r="F139" s="8"/>
    </row>
    <row r="140" spans="1:12" x14ac:dyDescent="0.25">
      <c r="A140" s="253"/>
      <c r="B140" s="254"/>
      <c r="C140" s="230"/>
      <c r="D140" s="231"/>
      <c r="E140" s="8"/>
      <c r="F140" s="8"/>
    </row>
    <row r="141" spans="1:12" x14ac:dyDescent="0.25">
      <c r="A141" s="152" t="s">
        <v>197</v>
      </c>
      <c r="B141" s="153"/>
      <c r="C141" s="153"/>
      <c r="D141" s="152">
        <f>B141-C141</f>
        <v>0</v>
      </c>
      <c r="E141" s="8"/>
      <c r="F141" s="8"/>
    </row>
    <row r="142" spans="1:12" x14ac:dyDescent="0.25">
      <c r="A142" s="152" t="s">
        <v>198</v>
      </c>
      <c r="B142" s="153"/>
      <c r="C142" s="153"/>
      <c r="D142" s="152">
        <f t="shared" ref="D142:D144" si="10">B142-C142</f>
        <v>0</v>
      </c>
      <c r="E142" s="8"/>
      <c r="F142" s="8"/>
    </row>
    <row r="143" spans="1:12" x14ac:dyDescent="0.25">
      <c r="A143" s="152" t="s">
        <v>199</v>
      </c>
      <c r="B143" s="153"/>
      <c r="C143" s="153"/>
      <c r="D143" s="152">
        <f t="shared" si="10"/>
        <v>0</v>
      </c>
      <c r="E143" s="8"/>
      <c r="F143" s="8"/>
    </row>
    <row r="144" spans="1:12" x14ac:dyDescent="0.25">
      <c r="A144" s="152" t="s">
        <v>200</v>
      </c>
      <c r="B144" s="153"/>
      <c r="C144" s="153"/>
      <c r="D144" s="152">
        <f t="shared" si="10"/>
        <v>0</v>
      </c>
      <c r="E144" s="8"/>
      <c r="F144" s="8"/>
    </row>
    <row r="145" spans="1:6" x14ac:dyDescent="0.25">
      <c r="B145" s="154"/>
    </row>
    <row r="146" spans="1:6" ht="16.5" customHeight="1" x14ac:dyDescent="0.25">
      <c r="A146" s="155" t="s">
        <v>486</v>
      </c>
      <c r="B146" s="204" t="s">
        <v>191</v>
      </c>
      <c r="C146" s="205" t="s">
        <v>4</v>
      </c>
      <c r="D146" s="206" t="s">
        <v>34</v>
      </c>
    </row>
    <row r="147" spans="1:6" x14ac:dyDescent="0.25">
      <c r="A147" s="4" t="s">
        <v>52</v>
      </c>
      <c r="B147" s="13"/>
      <c r="C147" s="13"/>
      <c r="D147" s="9">
        <f>B147-C147</f>
        <v>0</v>
      </c>
    </row>
    <row r="148" spans="1:6" x14ac:dyDescent="0.25">
      <c r="A148" s="4" t="s">
        <v>48</v>
      </c>
      <c r="B148" s="13"/>
      <c r="C148" s="13"/>
      <c r="D148" s="9">
        <f>B148-C148</f>
        <v>0</v>
      </c>
      <c r="F148" s="15"/>
    </row>
    <row r="149" spans="1:6" x14ac:dyDescent="0.25">
      <c r="A149" s="4" t="s">
        <v>49</v>
      </c>
      <c r="B149" s="13"/>
      <c r="C149" s="13"/>
      <c r="D149" s="9">
        <f>B149-C149</f>
        <v>0</v>
      </c>
    </row>
    <row r="150" spans="1:6" x14ac:dyDescent="0.25">
      <c r="A150" s="4" t="s">
        <v>50</v>
      </c>
      <c r="B150" s="13"/>
      <c r="C150" s="13"/>
      <c r="D150" s="9">
        <f>B150-C150</f>
        <v>0</v>
      </c>
    </row>
    <row r="151" spans="1:6" x14ac:dyDescent="0.25">
      <c r="A151" s="4" t="s">
        <v>51</v>
      </c>
      <c r="B151" s="9"/>
      <c r="C151" s="13"/>
      <c r="D151" s="9">
        <f>B151-C151</f>
        <v>0</v>
      </c>
    </row>
    <row r="152" spans="1:6" x14ac:dyDescent="0.25">
      <c r="A152" s="31" t="s">
        <v>28</v>
      </c>
      <c r="B152" s="30">
        <f>SUM(B147:B151)</f>
        <v>0</v>
      </c>
      <c r="C152" s="10">
        <f>SUM(C147:C151)</f>
        <v>0</v>
      </c>
      <c r="D152" s="36">
        <f>SUM(D147:D151)</f>
        <v>0</v>
      </c>
      <c r="F152" s="15"/>
    </row>
    <row r="154" spans="1:6" x14ac:dyDescent="0.25">
      <c r="A154" s="39"/>
      <c r="B154" s="255"/>
      <c r="C154" s="255"/>
      <c r="D154" s="255"/>
      <c r="E154" s="255"/>
      <c r="F154" s="255"/>
    </row>
  </sheetData>
  <mergeCells count="22">
    <mergeCell ref="A139:A140"/>
    <mergeCell ref="B139:B140"/>
    <mergeCell ref="C139:C140"/>
    <mergeCell ref="D139:D140"/>
    <mergeCell ref="B154:F154"/>
    <mergeCell ref="C100:D100"/>
    <mergeCell ref="F100:G100"/>
    <mergeCell ref="I100:J100"/>
    <mergeCell ref="D121:E121"/>
    <mergeCell ref="F121:G121"/>
    <mergeCell ref="H121:I121"/>
    <mergeCell ref="J121:K121"/>
    <mergeCell ref="A53:A54"/>
    <mergeCell ref="B53:C53"/>
    <mergeCell ref="D53:E53"/>
    <mergeCell ref="F53:G53"/>
    <mergeCell ref="I53:S53"/>
    <mergeCell ref="A97:A98"/>
    <mergeCell ref="B97:D97"/>
    <mergeCell ref="E97:G97"/>
    <mergeCell ref="H97:J97"/>
    <mergeCell ref="L97:AC97"/>
  </mergeCells>
  <conditionalFormatting sqref="D51 D2 D41 D5:D9 D82:D94 D48:D49 D44:D46 F138:F144 K104:K119 H100 K99:K101 H99:J99 H101:J118">
    <cfRule type="cellIs" dxfId="8" priority="9" operator="notEqual">
      <formula>0</formula>
    </cfRule>
  </conditionalFormatting>
  <conditionalFormatting sqref="D79 F55:G75">
    <cfRule type="cellIs" dxfId="7" priority="8" operator="notEqual">
      <formula>0</formula>
    </cfRule>
  </conditionalFormatting>
  <conditionalFormatting sqref="D137">
    <cfRule type="cellIs" dxfId="6" priority="7" operator="notEqual">
      <formula>0</formula>
    </cfRule>
  </conditionalFormatting>
  <conditionalFormatting sqref="D152 F123:G134">
    <cfRule type="cellIs" dxfId="5" priority="6" operator="notEqual">
      <formula>0</formula>
    </cfRule>
  </conditionalFormatting>
  <conditionalFormatting sqref="D48">
    <cfRule type="cellIs" dxfId="4" priority="5" operator="notEqual">
      <formula>0</formula>
    </cfRule>
  </conditionalFormatting>
  <conditionalFormatting sqref="D147:D151">
    <cfRule type="cellIs" dxfId="3" priority="4" operator="notEqual">
      <formula>0</formula>
    </cfRule>
  </conditionalFormatting>
  <conditionalFormatting sqref="D141:D144">
    <cfRule type="cellIs" dxfId="2" priority="3" operator="notEqual">
      <formula>0</formula>
    </cfRule>
  </conditionalFormatting>
  <conditionalFormatting sqref="F44:F45">
    <cfRule type="cellIs" dxfId="1" priority="2" operator="notEqual">
      <formula>0</formula>
    </cfRule>
  </conditionalFormatting>
  <conditionalFormatting sqref="J123:K134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LiloThread">
                <anchor moveWithCells="1" sizeWithCells="1">
                  <from>
                    <xdr:col>4</xdr:col>
                    <xdr:colOff>266700</xdr:colOff>
                    <xdr:row>0</xdr:row>
                    <xdr:rowOff>95250</xdr:rowOff>
                  </from>
                  <to>
                    <xdr:col>5</xdr:col>
                    <xdr:colOff>371475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54"/>
  <sheetViews>
    <sheetView workbookViewId="0">
      <selection activeCell="H7" sqref="H7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3.140625" style="3" bestFit="1" customWidth="1"/>
    <col min="5" max="5" width="13.5703125" style="3" bestFit="1" customWidth="1"/>
    <col min="6" max="6" width="11.28515625" style="3" bestFit="1" customWidth="1"/>
    <col min="7" max="7" width="13.140625" style="3" bestFit="1" customWidth="1"/>
    <col min="8" max="8" width="12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4" x14ac:dyDescent="0.25">
      <c r="A1" s="31" t="s">
        <v>91</v>
      </c>
      <c r="B1" s="207" t="s">
        <v>191</v>
      </c>
      <c r="C1" s="28" t="s">
        <v>125</v>
      </c>
      <c r="D1" s="35" t="s">
        <v>34</v>
      </c>
    </row>
    <row r="2" spans="1:4" x14ac:dyDescent="0.25">
      <c r="A2" s="6" t="s">
        <v>42</v>
      </c>
      <c r="B2" s="4"/>
      <c r="C2" s="4"/>
      <c r="D2" s="4">
        <f>B2-C2</f>
        <v>0</v>
      </c>
    </row>
    <row r="3" spans="1:4" ht="15" customHeight="1" x14ac:dyDescent="0.25">
      <c r="A3" s="7"/>
      <c r="B3" s="8"/>
      <c r="C3" s="8"/>
      <c r="D3" s="8"/>
    </row>
    <row r="4" spans="1:4" x14ac:dyDescent="0.25">
      <c r="A4" s="31" t="s">
        <v>92</v>
      </c>
      <c r="B4" s="207" t="s">
        <v>191</v>
      </c>
      <c r="C4" s="28" t="s">
        <v>125</v>
      </c>
      <c r="D4" s="35" t="s">
        <v>34</v>
      </c>
    </row>
    <row r="5" spans="1:4" x14ac:dyDescent="0.25">
      <c r="A5" s="4" t="s">
        <v>21</v>
      </c>
      <c r="B5" s="4"/>
      <c r="C5" s="4"/>
      <c r="D5" s="4">
        <f>B5-C5</f>
        <v>0</v>
      </c>
    </row>
    <row r="6" spans="1:4" x14ac:dyDescent="0.25">
      <c r="A6" s="4" t="s">
        <v>22</v>
      </c>
      <c r="B6" s="4"/>
      <c r="C6" s="4"/>
      <c r="D6" s="4">
        <f>B6-C6</f>
        <v>0</v>
      </c>
    </row>
    <row r="7" spans="1:4" x14ac:dyDescent="0.25">
      <c r="A7" s="4" t="s">
        <v>27</v>
      </c>
      <c r="B7" s="4"/>
      <c r="C7" s="4"/>
      <c r="D7" s="4">
        <f>B7-C7</f>
        <v>0</v>
      </c>
    </row>
    <row r="8" spans="1:4" x14ac:dyDescent="0.25">
      <c r="A8" s="4" t="s">
        <v>14</v>
      </c>
      <c r="B8" s="4"/>
      <c r="C8" s="4"/>
      <c r="D8" s="4">
        <f>B8-C8</f>
        <v>0</v>
      </c>
    </row>
    <row r="9" spans="1:4" x14ac:dyDescent="0.25">
      <c r="A9" s="34" t="s">
        <v>28</v>
      </c>
      <c r="B9" s="207">
        <f>SUM(B5:B8)</f>
        <v>0</v>
      </c>
      <c r="C9" s="28">
        <f>SUM(C5:C8)</f>
        <v>0</v>
      </c>
      <c r="D9" s="35">
        <f>SUM(D5:D8)</f>
        <v>0</v>
      </c>
    </row>
    <row r="10" spans="1:4" ht="15" customHeight="1" x14ac:dyDescent="0.25"/>
    <row r="11" spans="1:4" x14ac:dyDescent="0.25">
      <c r="A11" s="31" t="s">
        <v>93</v>
      </c>
      <c r="B11" s="207" t="s">
        <v>191</v>
      </c>
      <c r="C11" s="28" t="s">
        <v>4</v>
      </c>
      <c r="D11" s="35" t="s">
        <v>34</v>
      </c>
    </row>
    <row r="12" spans="1:4" x14ac:dyDescent="0.25">
      <c r="A12" s="47"/>
      <c r="B12" s="48"/>
      <c r="C12" s="49"/>
      <c r="D12" s="49">
        <f t="shared" ref="D12:D40" si="0">B12-C12</f>
        <v>0</v>
      </c>
    </row>
    <row r="13" spans="1:4" x14ac:dyDescent="0.25">
      <c r="A13" s="40">
        <v>1</v>
      </c>
      <c r="B13" s="40"/>
      <c r="C13" s="4"/>
      <c r="D13" s="49">
        <f t="shared" si="0"/>
        <v>0</v>
      </c>
    </row>
    <row r="14" spans="1:4" x14ac:dyDescent="0.25">
      <c r="A14" s="40">
        <v>2</v>
      </c>
      <c r="B14" s="40"/>
      <c r="C14" s="4"/>
      <c r="D14" s="49">
        <f t="shared" si="0"/>
        <v>0</v>
      </c>
    </row>
    <row r="15" spans="1:4" x14ac:dyDescent="0.25">
      <c r="A15" s="40">
        <v>3</v>
      </c>
      <c r="B15" s="40"/>
      <c r="C15" s="4"/>
      <c r="D15" s="49">
        <f t="shared" si="0"/>
        <v>0</v>
      </c>
    </row>
    <row r="16" spans="1:4" x14ac:dyDescent="0.25">
      <c r="A16" s="40">
        <v>4</v>
      </c>
      <c r="B16" s="40"/>
      <c r="C16" s="4"/>
      <c r="D16" s="49">
        <f t="shared" si="0"/>
        <v>0</v>
      </c>
    </row>
    <row r="17" spans="1:4" x14ac:dyDescent="0.25">
      <c r="A17" s="40" t="s">
        <v>21</v>
      </c>
      <c r="B17" s="40"/>
      <c r="C17" s="4"/>
      <c r="D17" s="49">
        <f t="shared" si="0"/>
        <v>0</v>
      </c>
    </row>
    <row r="18" spans="1:4" x14ac:dyDescent="0.25">
      <c r="A18" s="40" t="s">
        <v>23</v>
      </c>
      <c r="B18" s="40"/>
      <c r="C18" s="4"/>
      <c r="D18" s="49">
        <f t="shared" si="0"/>
        <v>0</v>
      </c>
    </row>
    <row r="19" spans="1:4" x14ac:dyDescent="0.25">
      <c r="A19" s="40" t="s">
        <v>100</v>
      </c>
      <c r="B19" s="40"/>
      <c r="C19" s="4"/>
      <c r="D19" s="49">
        <f t="shared" si="0"/>
        <v>0</v>
      </c>
    </row>
    <row r="20" spans="1:4" x14ac:dyDescent="0.25">
      <c r="A20" s="40" t="s">
        <v>101</v>
      </c>
      <c r="B20" s="40"/>
      <c r="C20" s="4"/>
      <c r="D20" s="49">
        <f t="shared" si="0"/>
        <v>0</v>
      </c>
    </row>
    <row r="21" spans="1:4" x14ac:dyDescent="0.25">
      <c r="A21" s="40" t="s">
        <v>102</v>
      </c>
      <c r="B21" s="40"/>
      <c r="C21" s="4"/>
      <c r="D21" s="49">
        <f t="shared" si="0"/>
        <v>0</v>
      </c>
    </row>
    <row r="22" spans="1:4" x14ac:dyDescent="0.25">
      <c r="A22" s="40" t="s">
        <v>103</v>
      </c>
      <c r="B22" s="40"/>
      <c r="C22" s="4"/>
      <c r="D22" s="49">
        <f t="shared" si="0"/>
        <v>0</v>
      </c>
    </row>
    <row r="23" spans="1:4" x14ac:dyDescent="0.25">
      <c r="A23" s="40" t="s">
        <v>27</v>
      </c>
      <c r="B23" s="40"/>
      <c r="C23" s="4"/>
      <c r="D23" s="49">
        <f t="shared" si="0"/>
        <v>0</v>
      </c>
    </row>
    <row r="24" spans="1:4" x14ac:dyDescent="0.25">
      <c r="A24" s="40" t="s">
        <v>24</v>
      </c>
      <c r="B24" s="40"/>
      <c r="C24" s="4"/>
      <c r="D24" s="49">
        <f t="shared" si="0"/>
        <v>0</v>
      </c>
    </row>
    <row r="25" spans="1:4" x14ac:dyDescent="0.25">
      <c r="A25" s="40" t="s">
        <v>15</v>
      </c>
      <c r="B25" s="40"/>
      <c r="C25" s="4"/>
      <c r="D25" s="49">
        <f t="shared" si="0"/>
        <v>0</v>
      </c>
    </row>
    <row r="26" spans="1:4" x14ac:dyDescent="0.25">
      <c r="A26" s="40" t="s">
        <v>29</v>
      </c>
      <c r="B26" s="40"/>
      <c r="C26" s="4"/>
      <c r="D26" s="49">
        <f t="shared" si="0"/>
        <v>0</v>
      </c>
    </row>
    <row r="27" spans="1:4" x14ac:dyDescent="0.25">
      <c r="A27" s="40" t="s">
        <v>30</v>
      </c>
      <c r="B27" s="40"/>
      <c r="C27" s="4"/>
      <c r="D27" s="49">
        <f t="shared" si="0"/>
        <v>0</v>
      </c>
    </row>
    <row r="28" spans="1:4" x14ac:dyDescent="0.25">
      <c r="A28" s="40" t="s">
        <v>31</v>
      </c>
      <c r="B28" s="40"/>
      <c r="C28" s="4"/>
      <c r="D28" s="49">
        <f t="shared" si="0"/>
        <v>0</v>
      </c>
    </row>
    <row r="29" spans="1:4" x14ac:dyDescent="0.25">
      <c r="A29" s="40" t="s">
        <v>17</v>
      </c>
      <c r="B29" s="40"/>
      <c r="C29" s="4"/>
      <c r="D29" s="49">
        <f t="shared" si="0"/>
        <v>0</v>
      </c>
    </row>
    <row r="30" spans="1:4" x14ac:dyDescent="0.25">
      <c r="A30" s="40" t="s">
        <v>32</v>
      </c>
      <c r="B30" s="40"/>
      <c r="C30" s="4"/>
      <c r="D30" s="49">
        <f t="shared" si="0"/>
        <v>0</v>
      </c>
    </row>
    <row r="31" spans="1:4" x14ac:dyDescent="0.25">
      <c r="A31" s="40" t="s">
        <v>104</v>
      </c>
      <c r="B31" s="40"/>
      <c r="C31" s="4"/>
      <c r="D31" s="49">
        <f t="shared" si="0"/>
        <v>0</v>
      </c>
    </row>
    <row r="32" spans="1:4" x14ac:dyDescent="0.25">
      <c r="A32" s="40" t="s">
        <v>33</v>
      </c>
      <c r="B32" s="40"/>
      <c r="C32" s="4"/>
      <c r="D32" s="49">
        <f t="shared" si="0"/>
        <v>0</v>
      </c>
    </row>
    <row r="33" spans="1:6" x14ac:dyDescent="0.25">
      <c r="A33" s="40" t="s">
        <v>25</v>
      </c>
      <c r="B33" s="40"/>
      <c r="C33" s="4"/>
      <c r="D33" s="49">
        <f t="shared" si="0"/>
        <v>0</v>
      </c>
    </row>
    <row r="34" spans="1:6" x14ac:dyDescent="0.25">
      <c r="A34" s="40" t="s">
        <v>14</v>
      </c>
      <c r="B34" s="40"/>
      <c r="C34" s="4"/>
      <c r="D34" s="49">
        <f t="shared" si="0"/>
        <v>0</v>
      </c>
    </row>
    <row r="35" spans="1:6" x14ac:dyDescent="0.25">
      <c r="A35" s="40" t="s">
        <v>105</v>
      </c>
      <c r="B35" s="40"/>
      <c r="C35" s="4"/>
      <c r="D35" s="49">
        <f t="shared" si="0"/>
        <v>0</v>
      </c>
    </row>
    <row r="36" spans="1:6" x14ac:dyDescent="0.25">
      <c r="A36" s="40" t="s">
        <v>106</v>
      </c>
      <c r="B36" s="40"/>
      <c r="C36" s="4"/>
      <c r="D36" s="49">
        <f t="shared" si="0"/>
        <v>0</v>
      </c>
    </row>
    <row r="37" spans="1:6" x14ac:dyDescent="0.25">
      <c r="A37" s="40" t="s">
        <v>107</v>
      </c>
      <c r="B37" s="40"/>
      <c r="C37" s="4"/>
      <c r="D37" s="49">
        <f t="shared" si="0"/>
        <v>0</v>
      </c>
    </row>
    <row r="38" spans="1:6" x14ac:dyDescent="0.25">
      <c r="A38" s="40" t="s">
        <v>108</v>
      </c>
      <c r="B38" s="40"/>
      <c r="C38" s="4"/>
      <c r="D38" s="49">
        <f t="shared" si="0"/>
        <v>0</v>
      </c>
    </row>
    <row r="39" spans="1:6" x14ac:dyDescent="0.25">
      <c r="A39" s="40" t="s">
        <v>26</v>
      </c>
      <c r="B39" s="40"/>
      <c r="C39" s="4"/>
      <c r="D39" s="49">
        <f t="shared" si="0"/>
        <v>0</v>
      </c>
    </row>
    <row r="40" spans="1:6" x14ac:dyDescent="0.25">
      <c r="A40" s="40" t="s">
        <v>109</v>
      </c>
      <c r="B40" s="40"/>
      <c r="C40" s="4"/>
      <c r="D40" s="49">
        <f t="shared" si="0"/>
        <v>0</v>
      </c>
    </row>
    <row r="41" spans="1:6" x14ac:dyDescent="0.25">
      <c r="A41" s="50" t="s">
        <v>28</v>
      </c>
      <c r="B41" s="207">
        <f>SUM(B12:B40)</f>
        <v>0</v>
      </c>
      <c r="C41" s="28">
        <f>SUM(C12:C40)</f>
        <v>0</v>
      </c>
      <c r="D41" s="35">
        <f>SUM(D12:D40)</f>
        <v>0</v>
      </c>
    </row>
    <row r="42" spans="1:6" ht="15" customHeight="1" x14ac:dyDescent="0.25"/>
    <row r="43" spans="1:6" x14ac:dyDescent="0.25">
      <c r="A43" s="31" t="s">
        <v>94</v>
      </c>
      <c r="B43" s="207" t="s">
        <v>191</v>
      </c>
      <c r="C43" s="28" t="s">
        <v>4</v>
      </c>
      <c r="D43" s="35" t="s">
        <v>34</v>
      </c>
      <c r="E43" s="147" t="s">
        <v>192</v>
      </c>
      <c r="F43" s="35" t="s">
        <v>34</v>
      </c>
    </row>
    <row r="44" spans="1:6" x14ac:dyDescent="0.25">
      <c r="A44" s="4" t="s">
        <v>35</v>
      </c>
      <c r="B44" s="4"/>
      <c r="C44" s="4"/>
      <c r="D44" s="4">
        <f>B44-C44</f>
        <v>0</v>
      </c>
      <c r="E44" s="4"/>
      <c r="F44" s="4">
        <f>B44-E44</f>
        <v>0</v>
      </c>
    </row>
    <row r="45" spans="1:6" x14ac:dyDescent="0.25">
      <c r="A45" s="4" t="s">
        <v>36</v>
      </c>
      <c r="B45" s="4"/>
      <c r="C45" s="4"/>
      <c r="D45" s="4">
        <f>B45-C45</f>
        <v>0</v>
      </c>
      <c r="E45" s="4"/>
      <c r="F45" s="4">
        <f>B45-E45</f>
        <v>0</v>
      </c>
    </row>
    <row r="46" spans="1:6" ht="13.5" customHeight="1" x14ac:dyDescent="0.25">
      <c r="A46" s="8"/>
      <c r="B46" s="8"/>
      <c r="C46" s="8"/>
      <c r="D46" s="8"/>
    </row>
    <row r="47" spans="1:6" x14ac:dyDescent="0.25">
      <c r="A47" s="31" t="s">
        <v>193</v>
      </c>
      <c r="B47" s="207" t="s">
        <v>191</v>
      </c>
      <c r="C47" s="28" t="s">
        <v>4</v>
      </c>
      <c r="D47" s="35" t="s">
        <v>34</v>
      </c>
    </row>
    <row r="48" spans="1:6" x14ac:dyDescent="0.25">
      <c r="A48" s="4" t="s">
        <v>60</v>
      </c>
      <c r="B48" s="148"/>
      <c r="C48" s="4"/>
      <c r="D48" s="4">
        <f>B48-C48</f>
        <v>0</v>
      </c>
    </row>
    <row r="49" spans="1:19" ht="13.5" customHeight="1" x14ac:dyDescent="0.25">
      <c r="A49" s="8"/>
      <c r="B49" s="8"/>
      <c r="C49" s="8"/>
      <c r="D49" s="8"/>
    </row>
    <row r="50" spans="1:19" x14ac:dyDescent="0.25">
      <c r="A50" s="31" t="s">
        <v>16</v>
      </c>
      <c r="B50" s="207" t="s">
        <v>191</v>
      </c>
      <c r="C50" s="28" t="s">
        <v>4</v>
      </c>
      <c r="D50" s="35" t="s">
        <v>34</v>
      </c>
    </row>
    <row r="51" spans="1:19" x14ac:dyDescent="0.25">
      <c r="A51" s="6" t="s">
        <v>37</v>
      </c>
      <c r="B51" s="4"/>
      <c r="C51" s="4"/>
      <c r="D51" s="4">
        <f>B51-C51</f>
        <v>0</v>
      </c>
    </row>
    <row r="52" spans="1:19" ht="45" customHeight="1" thickBot="1" x14ac:dyDescent="0.3">
      <c r="A52" s="7"/>
      <c r="B52" s="8"/>
      <c r="C52" s="8"/>
      <c r="D52" s="8"/>
    </row>
    <row r="53" spans="1:19" x14ac:dyDescent="0.25">
      <c r="A53" s="235" t="s">
        <v>95</v>
      </c>
      <c r="B53" s="237" t="s">
        <v>191</v>
      </c>
      <c r="C53" s="237"/>
      <c r="D53" s="238" t="s">
        <v>4</v>
      </c>
      <c r="E53" s="239"/>
      <c r="F53" s="240" t="s">
        <v>34</v>
      </c>
      <c r="G53" s="240"/>
      <c r="I53" s="241" t="s">
        <v>250</v>
      </c>
      <c r="J53" s="242"/>
      <c r="K53" s="242"/>
      <c r="L53" s="242"/>
      <c r="M53" s="242"/>
      <c r="N53" s="242"/>
      <c r="O53" s="242"/>
      <c r="P53" s="242"/>
      <c r="Q53" s="242"/>
      <c r="R53" s="242"/>
      <c r="S53" s="243"/>
    </row>
    <row r="54" spans="1:19" x14ac:dyDescent="0.25">
      <c r="A54" s="236"/>
      <c r="B54" s="207" t="s">
        <v>39</v>
      </c>
      <c r="C54" s="207" t="s">
        <v>40</v>
      </c>
      <c r="D54" s="28" t="s">
        <v>39</v>
      </c>
      <c r="E54" s="28" t="s">
        <v>40</v>
      </c>
      <c r="F54" s="35" t="s">
        <v>41</v>
      </c>
      <c r="G54" s="35" t="s">
        <v>40</v>
      </c>
      <c r="I54" s="133" t="s">
        <v>170</v>
      </c>
      <c r="J54" s="120" t="s">
        <v>177</v>
      </c>
      <c r="K54" s="120" t="s">
        <v>171</v>
      </c>
      <c r="L54" s="120" t="s">
        <v>172</v>
      </c>
      <c r="M54" s="120" t="s">
        <v>173</v>
      </c>
      <c r="N54" s="120" t="s">
        <v>40</v>
      </c>
      <c r="O54" s="120" t="s">
        <v>176</v>
      </c>
      <c r="P54" s="120" t="s">
        <v>174</v>
      </c>
      <c r="Q54" s="120" t="s">
        <v>175</v>
      </c>
      <c r="R54" s="120" t="s">
        <v>184</v>
      </c>
      <c r="S54" s="134" t="s">
        <v>185</v>
      </c>
    </row>
    <row r="55" spans="1:19" s="17" customFormat="1" x14ac:dyDescent="0.25">
      <c r="A55" s="16" t="s">
        <v>59</v>
      </c>
      <c r="B55" s="11"/>
      <c r="C55" s="37"/>
      <c r="D55" s="11"/>
      <c r="E55" s="37"/>
      <c r="F55" s="6">
        <f>B55-D55</f>
        <v>0</v>
      </c>
      <c r="G55" s="13">
        <f>C55-E55</f>
        <v>0</v>
      </c>
      <c r="I55" s="141"/>
      <c r="J55" s="6"/>
      <c r="K55" s="6"/>
      <c r="L55" s="6"/>
      <c r="M55" s="6"/>
      <c r="N55" s="6"/>
      <c r="O55" s="6"/>
      <c r="P55" s="6"/>
      <c r="Q55" s="6"/>
      <c r="R55" s="6"/>
      <c r="S55" s="136"/>
    </row>
    <row r="56" spans="1:19" s="17" customFormat="1" x14ac:dyDescent="0.25">
      <c r="A56" s="16" t="s">
        <v>22</v>
      </c>
      <c r="B56" s="11"/>
      <c r="C56" s="37"/>
      <c r="D56" s="11"/>
      <c r="E56" s="37"/>
      <c r="F56" s="6">
        <f t="shared" ref="F56:G75" si="1">B56-D56</f>
        <v>0</v>
      </c>
      <c r="G56" s="13">
        <f t="shared" si="1"/>
        <v>0</v>
      </c>
      <c r="I56" s="141"/>
      <c r="J56" s="6"/>
      <c r="K56" s="6"/>
      <c r="L56" s="6"/>
      <c r="M56" s="6"/>
      <c r="N56" s="6"/>
      <c r="O56" s="6"/>
      <c r="P56" s="6"/>
      <c r="Q56" s="6"/>
      <c r="R56" s="6"/>
      <c r="S56" s="136"/>
    </row>
    <row r="57" spans="1:19" s="17" customFormat="1" x14ac:dyDescent="0.25">
      <c r="A57" s="16" t="s">
        <v>23</v>
      </c>
      <c r="B57" s="11"/>
      <c r="C57" s="37"/>
      <c r="D57" s="11"/>
      <c r="E57" s="37"/>
      <c r="F57" s="6">
        <f t="shared" si="1"/>
        <v>0</v>
      </c>
      <c r="G57" s="13">
        <f t="shared" si="1"/>
        <v>0</v>
      </c>
      <c r="I57" s="141"/>
      <c r="J57" s="6"/>
      <c r="K57" s="6"/>
      <c r="L57" s="6"/>
      <c r="M57" s="6"/>
      <c r="N57" s="6"/>
      <c r="O57" s="6"/>
      <c r="P57" s="6"/>
      <c r="Q57" s="6"/>
      <c r="R57" s="6"/>
      <c r="S57" s="136"/>
    </row>
    <row r="58" spans="1:19" s="17" customFormat="1" x14ac:dyDescent="0.25">
      <c r="A58" s="16" t="s">
        <v>100</v>
      </c>
      <c r="B58" s="11"/>
      <c r="C58" s="37"/>
      <c r="D58" s="11"/>
      <c r="E58" s="37"/>
      <c r="F58" s="6">
        <f t="shared" si="1"/>
        <v>0</v>
      </c>
      <c r="G58" s="13">
        <f t="shared" si="1"/>
        <v>0</v>
      </c>
      <c r="I58" s="141"/>
      <c r="J58" s="6"/>
      <c r="K58" s="6"/>
      <c r="L58" s="6"/>
      <c r="M58" s="6"/>
      <c r="N58" s="6"/>
      <c r="O58" s="6"/>
      <c r="P58" s="6"/>
      <c r="Q58" s="6"/>
      <c r="R58" s="6"/>
      <c r="S58" s="136"/>
    </row>
    <row r="59" spans="1:19" s="17" customFormat="1" x14ac:dyDescent="0.25">
      <c r="A59" s="16" t="s">
        <v>101</v>
      </c>
      <c r="B59" s="11"/>
      <c r="C59" s="37"/>
      <c r="D59" s="11"/>
      <c r="E59" s="37"/>
      <c r="F59" s="6">
        <f t="shared" si="1"/>
        <v>0</v>
      </c>
      <c r="G59" s="13">
        <f t="shared" si="1"/>
        <v>0</v>
      </c>
      <c r="I59" s="141"/>
      <c r="J59" s="6"/>
      <c r="K59" s="6"/>
      <c r="L59" s="6"/>
      <c r="M59" s="6"/>
      <c r="N59" s="6"/>
      <c r="O59" s="6"/>
      <c r="P59" s="6"/>
      <c r="Q59" s="6"/>
      <c r="R59" s="6"/>
      <c r="S59" s="136"/>
    </row>
    <row r="60" spans="1:19" s="17" customFormat="1" x14ac:dyDescent="0.25">
      <c r="A60" s="16" t="s">
        <v>103</v>
      </c>
      <c r="B60" s="11"/>
      <c r="C60" s="37"/>
      <c r="D60" s="11"/>
      <c r="E60" s="37"/>
      <c r="F60" s="6">
        <f t="shared" si="1"/>
        <v>0</v>
      </c>
      <c r="G60" s="13">
        <f t="shared" si="1"/>
        <v>0</v>
      </c>
      <c r="I60" s="141"/>
      <c r="J60" s="6"/>
      <c r="K60" s="6"/>
      <c r="L60" s="6"/>
      <c r="M60" s="6"/>
      <c r="N60" s="6"/>
      <c r="O60" s="6"/>
      <c r="P60" s="6"/>
      <c r="Q60" s="6"/>
      <c r="R60" s="6"/>
      <c r="S60" s="136"/>
    </row>
    <row r="61" spans="1:19" s="17" customFormat="1" x14ac:dyDescent="0.25">
      <c r="A61" s="16" t="s">
        <v>27</v>
      </c>
      <c r="B61" s="11"/>
      <c r="C61" s="37"/>
      <c r="D61" s="11"/>
      <c r="E61" s="37"/>
      <c r="F61" s="6">
        <f t="shared" si="1"/>
        <v>0</v>
      </c>
      <c r="G61" s="13">
        <f t="shared" si="1"/>
        <v>0</v>
      </c>
      <c r="I61" s="141"/>
      <c r="J61" s="6"/>
      <c r="K61" s="6"/>
      <c r="L61" s="6"/>
      <c r="M61" s="6"/>
      <c r="N61" s="6"/>
      <c r="O61" s="6"/>
      <c r="P61" s="6"/>
      <c r="Q61" s="6"/>
      <c r="R61" s="6"/>
      <c r="S61" s="136"/>
    </row>
    <row r="62" spans="1:19" x14ac:dyDescent="0.25">
      <c r="A62" s="5" t="s">
        <v>110</v>
      </c>
      <c r="B62" s="11"/>
      <c r="C62" s="37"/>
      <c r="D62" s="4"/>
      <c r="E62" s="9"/>
      <c r="F62" s="6">
        <f t="shared" si="1"/>
        <v>0</v>
      </c>
      <c r="G62" s="13">
        <f t="shared" si="1"/>
        <v>0</v>
      </c>
      <c r="I62" s="135"/>
      <c r="J62" s="4"/>
      <c r="K62" s="4"/>
      <c r="L62" s="4"/>
      <c r="M62" s="4"/>
      <c r="N62" s="4"/>
      <c r="O62" s="4"/>
      <c r="P62" s="4"/>
      <c r="Q62" s="4"/>
      <c r="R62" s="4"/>
      <c r="S62" s="137"/>
    </row>
    <row r="63" spans="1:19" x14ac:dyDescent="0.25">
      <c r="A63" s="5" t="s">
        <v>111</v>
      </c>
      <c r="B63" s="11"/>
      <c r="C63" s="37"/>
      <c r="D63" s="4"/>
      <c r="E63" s="9"/>
      <c r="F63" s="6">
        <f t="shared" si="1"/>
        <v>0</v>
      </c>
      <c r="G63" s="13">
        <f t="shared" si="1"/>
        <v>0</v>
      </c>
      <c r="I63" s="135"/>
      <c r="J63" s="4"/>
      <c r="K63" s="4"/>
      <c r="L63" s="4"/>
      <c r="M63" s="4"/>
      <c r="N63" s="4"/>
      <c r="O63" s="4"/>
      <c r="P63" s="4"/>
      <c r="Q63" s="4"/>
      <c r="R63" s="4"/>
      <c r="S63" s="137"/>
    </row>
    <row r="64" spans="1:19" x14ac:dyDescent="0.25">
      <c r="A64" s="5" t="s">
        <v>24</v>
      </c>
      <c r="B64" s="4"/>
      <c r="C64" s="9"/>
      <c r="D64" s="4"/>
      <c r="E64" s="9"/>
      <c r="F64" s="6">
        <f t="shared" si="1"/>
        <v>0</v>
      </c>
      <c r="G64" s="13">
        <f t="shared" si="1"/>
        <v>0</v>
      </c>
      <c r="I64" s="135"/>
      <c r="J64" s="4"/>
      <c r="K64" s="4"/>
      <c r="L64" s="4"/>
      <c r="M64" s="4"/>
      <c r="N64" s="4"/>
      <c r="O64" s="4"/>
      <c r="P64" s="4"/>
      <c r="Q64" s="4"/>
      <c r="R64" s="4"/>
      <c r="S64" s="137"/>
    </row>
    <row r="65" spans="1:19" ht="15.75" thickBot="1" x14ac:dyDescent="0.3">
      <c r="A65" s="5" t="s">
        <v>15</v>
      </c>
      <c r="B65" s="4"/>
      <c r="C65" s="9"/>
      <c r="D65" s="4"/>
      <c r="E65" s="9"/>
      <c r="F65" s="6">
        <f t="shared" si="1"/>
        <v>0</v>
      </c>
      <c r="G65" s="13">
        <f t="shared" si="1"/>
        <v>0</v>
      </c>
      <c r="I65" s="138"/>
      <c r="J65" s="139"/>
      <c r="K65" s="139"/>
      <c r="L65" s="139"/>
      <c r="M65" s="139"/>
      <c r="N65" s="139"/>
      <c r="O65" s="139"/>
      <c r="P65" s="139"/>
      <c r="Q65" s="139"/>
      <c r="R65" s="139"/>
      <c r="S65" s="140"/>
    </row>
    <row r="66" spans="1:19" x14ac:dyDescent="0.25">
      <c r="A66" s="5" t="s">
        <v>29</v>
      </c>
      <c r="B66" s="4"/>
      <c r="C66" s="9"/>
      <c r="D66" s="4"/>
      <c r="E66" s="9"/>
      <c r="F66" s="6">
        <f t="shared" si="1"/>
        <v>0</v>
      </c>
      <c r="G66" s="13">
        <f t="shared" si="1"/>
        <v>0</v>
      </c>
    </row>
    <row r="67" spans="1:19" x14ac:dyDescent="0.25">
      <c r="A67" s="5" t="s">
        <v>30</v>
      </c>
      <c r="B67" s="4"/>
      <c r="C67" s="9"/>
      <c r="D67" s="4"/>
      <c r="E67" s="9"/>
      <c r="F67" s="6">
        <f t="shared" si="1"/>
        <v>0</v>
      </c>
      <c r="G67" s="13">
        <f t="shared" si="1"/>
        <v>0</v>
      </c>
    </row>
    <row r="68" spans="1:19" x14ac:dyDescent="0.25">
      <c r="A68" s="5" t="s">
        <v>31</v>
      </c>
      <c r="B68" s="4"/>
      <c r="C68" s="9"/>
      <c r="D68" s="4"/>
      <c r="E68" s="9"/>
      <c r="F68" s="6">
        <f t="shared" si="1"/>
        <v>0</v>
      </c>
      <c r="G68" s="13">
        <f t="shared" si="1"/>
        <v>0</v>
      </c>
    </row>
    <row r="69" spans="1:19" x14ac:dyDescent="0.25">
      <c r="A69" s="5" t="s">
        <v>17</v>
      </c>
      <c r="B69" s="4"/>
      <c r="C69" s="9"/>
      <c r="D69" s="4"/>
      <c r="E69" s="9"/>
      <c r="F69" s="6">
        <f t="shared" si="1"/>
        <v>0</v>
      </c>
      <c r="G69" s="13">
        <f t="shared" si="1"/>
        <v>0</v>
      </c>
    </row>
    <row r="70" spans="1:19" x14ac:dyDescent="0.25">
      <c r="A70" s="5" t="s">
        <v>38</v>
      </c>
      <c r="B70" s="4"/>
      <c r="C70" s="9"/>
      <c r="D70" s="4"/>
      <c r="E70" s="9"/>
      <c r="F70" s="6">
        <f t="shared" si="1"/>
        <v>0</v>
      </c>
      <c r="G70" s="13">
        <f t="shared" si="1"/>
        <v>0</v>
      </c>
    </row>
    <row r="71" spans="1:19" x14ac:dyDescent="0.25">
      <c r="A71" s="5" t="s">
        <v>33</v>
      </c>
      <c r="B71" s="4"/>
      <c r="C71" s="9"/>
      <c r="D71" s="4"/>
      <c r="E71" s="9"/>
      <c r="F71" s="6">
        <f t="shared" si="1"/>
        <v>0</v>
      </c>
      <c r="G71" s="13">
        <f t="shared" si="1"/>
        <v>0</v>
      </c>
    </row>
    <row r="72" spans="1:19" x14ac:dyDescent="0.25">
      <c r="A72" s="5" t="s">
        <v>25</v>
      </c>
      <c r="B72" s="4"/>
      <c r="C72" s="9"/>
      <c r="D72" s="4"/>
      <c r="E72" s="9"/>
      <c r="F72" s="6">
        <f t="shared" si="1"/>
        <v>0</v>
      </c>
      <c r="G72" s="13">
        <f t="shared" si="1"/>
        <v>0</v>
      </c>
    </row>
    <row r="73" spans="1:19" x14ac:dyDescent="0.25">
      <c r="A73" s="5" t="s">
        <v>14</v>
      </c>
      <c r="B73" s="4"/>
      <c r="C73" s="9"/>
      <c r="D73" s="4"/>
      <c r="E73" s="9"/>
      <c r="F73" s="6">
        <f t="shared" si="1"/>
        <v>0</v>
      </c>
      <c r="G73" s="13">
        <f t="shared" si="1"/>
        <v>0</v>
      </c>
    </row>
    <row r="74" spans="1:19" x14ac:dyDescent="0.25">
      <c r="A74" s="5" t="s">
        <v>105</v>
      </c>
      <c r="B74" s="4"/>
      <c r="C74" s="9"/>
      <c r="D74" s="4"/>
      <c r="E74" s="9"/>
      <c r="F74" s="6">
        <f t="shared" si="1"/>
        <v>0</v>
      </c>
      <c r="G74" s="13">
        <f t="shared" si="1"/>
        <v>0</v>
      </c>
    </row>
    <row r="75" spans="1:19" x14ac:dyDescent="0.25">
      <c r="A75" s="5" t="s">
        <v>26</v>
      </c>
      <c r="B75" s="4"/>
      <c r="C75" s="9"/>
      <c r="D75" s="4"/>
      <c r="E75" s="9"/>
      <c r="F75" s="6">
        <f t="shared" si="1"/>
        <v>0</v>
      </c>
      <c r="G75" s="13">
        <f t="shared" si="1"/>
        <v>0</v>
      </c>
    </row>
    <row r="76" spans="1:19" s="20" customFormat="1" x14ac:dyDescent="0.25">
      <c r="A76" s="52" t="s">
        <v>28</v>
      </c>
      <c r="B76" s="51">
        <f>SUM(B55:B75)</f>
        <v>0</v>
      </c>
      <c r="C76" s="30">
        <f t="shared" ref="C76:G76" si="2">SUM(C55:C75)</f>
        <v>0</v>
      </c>
      <c r="D76" s="205">
        <f t="shared" si="2"/>
        <v>0</v>
      </c>
      <c r="E76" s="53">
        <f t="shared" si="2"/>
        <v>0</v>
      </c>
      <c r="F76" s="206">
        <f t="shared" si="2"/>
        <v>0</v>
      </c>
      <c r="G76" s="54">
        <f t="shared" si="2"/>
        <v>0</v>
      </c>
    </row>
    <row r="77" spans="1:19" ht="13.5" customHeight="1" x14ac:dyDescent="0.25"/>
    <row r="78" spans="1:19" x14ac:dyDescent="0.25">
      <c r="A78" s="31" t="s">
        <v>90</v>
      </c>
      <c r="B78" s="207" t="s">
        <v>191</v>
      </c>
      <c r="C78" s="28" t="s">
        <v>4</v>
      </c>
      <c r="D78" s="35" t="s">
        <v>34</v>
      </c>
    </row>
    <row r="79" spans="1:19" x14ac:dyDescent="0.25">
      <c r="A79" s="4" t="s">
        <v>42</v>
      </c>
      <c r="B79" s="4"/>
      <c r="C79" s="4"/>
      <c r="D79" s="4">
        <f>B79-C79</f>
        <v>0</v>
      </c>
    </row>
    <row r="80" spans="1:19" ht="13.5" customHeight="1" x14ac:dyDescent="0.25"/>
    <row r="81" spans="1:4" x14ac:dyDescent="0.25">
      <c r="A81" s="31" t="s">
        <v>96</v>
      </c>
      <c r="B81" s="207" t="s">
        <v>191</v>
      </c>
      <c r="C81" s="28" t="s">
        <v>4</v>
      </c>
      <c r="D81" s="35" t="s">
        <v>34</v>
      </c>
    </row>
    <row r="82" spans="1:4" x14ac:dyDescent="0.25">
      <c r="A82" s="4" t="s">
        <v>112</v>
      </c>
      <c r="B82" s="4"/>
      <c r="C82" s="4"/>
      <c r="D82" s="4">
        <f>B82-C82</f>
        <v>0</v>
      </c>
    </row>
    <row r="83" spans="1:4" x14ac:dyDescent="0.25">
      <c r="A83" s="4" t="s">
        <v>113</v>
      </c>
      <c r="B83" s="4"/>
      <c r="C83" s="4"/>
      <c r="D83" s="4">
        <f t="shared" ref="D83:D93" si="3">B83-C83</f>
        <v>0</v>
      </c>
    </row>
    <row r="84" spans="1:4" x14ac:dyDescent="0.25">
      <c r="A84" s="4" t="s">
        <v>114</v>
      </c>
      <c r="B84" s="4"/>
      <c r="C84" s="4"/>
      <c r="D84" s="4">
        <f t="shared" si="3"/>
        <v>0</v>
      </c>
    </row>
    <row r="85" spans="1:4" x14ac:dyDescent="0.25">
      <c r="A85" s="4" t="s">
        <v>18</v>
      </c>
      <c r="B85" s="4"/>
      <c r="C85" s="4"/>
      <c r="D85" s="4">
        <f t="shared" si="3"/>
        <v>0</v>
      </c>
    </row>
    <row r="86" spans="1:4" x14ac:dyDescent="0.25">
      <c r="A86" s="4" t="s">
        <v>19</v>
      </c>
      <c r="B86" s="4"/>
      <c r="C86" s="4"/>
      <c r="D86" s="4">
        <f t="shared" si="3"/>
        <v>0</v>
      </c>
    </row>
    <row r="87" spans="1:4" x14ac:dyDescent="0.25">
      <c r="A87" s="4" t="s">
        <v>20</v>
      </c>
      <c r="B87" s="4"/>
      <c r="C87" s="4"/>
      <c r="D87" s="4">
        <f t="shared" si="3"/>
        <v>0</v>
      </c>
    </row>
    <row r="88" spans="1:4" x14ac:dyDescent="0.25">
      <c r="A88" s="4" t="s">
        <v>115</v>
      </c>
      <c r="B88" s="4"/>
      <c r="C88" s="4"/>
      <c r="D88" s="4">
        <f t="shared" si="3"/>
        <v>0</v>
      </c>
    </row>
    <row r="89" spans="1:4" x14ac:dyDescent="0.25">
      <c r="A89" s="4" t="s">
        <v>116</v>
      </c>
      <c r="B89" s="4"/>
      <c r="C89" s="4"/>
      <c r="D89" s="4">
        <f t="shared" si="3"/>
        <v>0</v>
      </c>
    </row>
    <row r="90" spans="1:4" x14ac:dyDescent="0.25">
      <c r="A90" s="4" t="s">
        <v>117</v>
      </c>
      <c r="B90" s="4"/>
      <c r="C90" s="4"/>
      <c r="D90" s="4">
        <f t="shared" si="3"/>
        <v>0</v>
      </c>
    </row>
    <row r="91" spans="1:4" x14ac:dyDescent="0.25">
      <c r="A91" s="4" t="s">
        <v>118</v>
      </c>
      <c r="B91" s="4"/>
      <c r="C91" s="4"/>
      <c r="D91" s="4">
        <f t="shared" si="3"/>
        <v>0</v>
      </c>
    </row>
    <row r="92" spans="1:4" x14ac:dyDescent="0.25">
      <c r="A92" s="4" t="s">
        <v>119</v>
      </c>
      <c r="B92" s="4"/>
      <c r="C92" s="4"/>
      <c r="D92" s="4">
        <f t="shared" si="3"/>
        <v>0</v>
      </c>
    </row>
    <row r="93" spans="1:4" x14ac:dyDescent="0.25">
      <c r="A93" s="4" t="s">
        <v>120</v>
      </c>
      <c r="B93" s="4"/>
      <c r="C93" s="4"/>
      <c r="D93" s="4">
        <f t="shared" si="3"/>
        <v>0</v>
      </c>
    </row>
    <row r="94" spans="1:4" x14ac:dyDescent="0.25">
      <c r="A94" s="34" t="s">
        <v>28</v>
      </c>
      <c r="B94" s="207">
        <f>SUM(B82:B93)</f>
        <v>0</v>
      </c>
      <c r="C94" s="28">
        <f>SUM(C82:C93)</f>
        <v>0</v>
      </c>
      <c r="D94" s="35">
        <f>SUM(D82:D93)</f>
        <v>0</v>
      </c>
    </row>
    <row r="96" spans="1:4" ht="15.75" customHeight="1" thickBot="1" x14ac:dyDescent="0.3">
      <c r="A96" s="7"/>
      <c r="B96" s="7"/>
      <c r="C96" s="7"/>
      <c r="D96" s="7"/>
    </row>
    <row r="97" spans="1:29" x14ac:dyDescent="0.25">
      <c r="A97" s="227" t="s">
        <v>98</v>
      </c>
      <c r="B97" s="228" t="s">
        <v>191</v>
      </c>
      <c r="C97" s="229"/>
      <c r="D97" s="229"/>
      <c r="E97" s="230" t="s">
        <v>4</v>
      </c>
      <c r="F97" s="230"/>
      <c r="G97" s="230"/>
      <c r="H97" s="231" t="s">
        <v>34</v>
      </c>
      <c r="I97" s="231"/>
      <c r="J97" s="231"/>
      <c r="K97" s="122"/>
      <c r="L97" s="232" t="s">
        <v>251</v>
      </c>
      <c r="M97" s="233"/>
      <c r="N97" s="233"/>
      <c r="O97" s="233"/>
      <c r="P97" s="233"/>
      <c r="Q97" s="233"/>
      <c r="R97" s="233"/>
      <c r="S97" s="233"/>
      <c r="T97" s="233"/>
      <c r="U97" s="233"/>
      <c r="V97" s="233"/>
      <c r="W97" s="233"/>
      <c r="X97" s="233"/>
      <c r="Y97" s="233"/>
      <c r="Z97" s="233"/>
      <c r="AA97" s="233"/>
      <c r="AB97" s="233"/>
      <c r="AC97" s="234"/>
    </row>
    <row r="98" spans="1:29" x14ac:dyDescent="0.25">
      <c r="A98" s="227"/>
      <c r="B98" s="207" t="s">
        <v>43</v>
      </c>
      <c r="C98" s="207" t="s">
        <v>44</v>
      </c>
      <c r="D98" s="207" t="s">
        <v>45</v>
      </c>
      <c r="E98" s="205" t="s">
        <v>53</v>
      </c>
      <c r="F98" s="205" t="s">
        <v>54</v>
      </c>
      <c r="G98" s="205" t="s">
        <v>45</v>
      </c>
      <c r="H98" s="206" t="s">
        <v>53</v>
      </c>
      <c r="I98" s="206" t="s">
        <v>54</v>
      </c>
      <c r="J98" s="206" t="s">
        <v>55</v>
      </c>
      <c r="K98" s="123"/>
      <c r="L98" s="133" t="s">
        <v>179</v>
      </c>
      <c r="M98" s="120" t="s">
        <v>186</v>
      </c>
      <c r="N98" s="120" t="s">
        <v>187</v>
      </c>
      <c r="O98" s="120" t="s">
        <v>188</v>
      </c>
      <c r="P98" s="120" t="s">
        <v>180</v>
      </c>
      <c r="Q98" s="120" t="s">
        <v>181</v>
      </c>
      <c r="R98" s="120" t="s">
        <v>190</v>
      </c>
      <c r="S98" s="120" t="s">
        <v>182</v>
      </c>
      <c r="T98" s="120" t="s">
        <v>54</v>
      </c>
      <c r="U98" s="120" t="s">
        <v>55</v>
      </c>
      <c r="V98" s="120" t="s">
        <v>183</v>
      </c>
      <c r="W98" s="120" t="s">
        <v>46</v>
      </c>
      <c r="X98" s="120" t="s">
        <v>47</v>
      </c>
      <c r="Y98" s="120" t="s">
        <v>189</v>
      </c>
      <c r="Z98" s="120" t="s">
        <v>174</v>
      </c>
      <c r="AA98" s="120" t="s">
        <v>175</v>
      </c>
      <c r="AB98" s="120" t="s">
        <v>184</v>
      </c>
      <c r="AC98" s="134" t="s">
        <v>185</v>
      </c>
    </row>
    <row r="99" spans="1:29" x14ac:dyDescent="0.25">
      <c r="A99" s="4" t="s">
        <v>59</v>
      </c>
      <c r="B99" s="40"/>
      <c r="C99" s="56"/>
      <c r="D99" s="56"/>
      <c r="E99" s="40"/>
      <c r="F99" s="56"/>
      <c r="G99" s="56"/>
      <c r="H99" s="130">
        <f>B99-E99</f>
        <v>0</v>
      </c>
      <c r="I99" s="56">
        <f>C99-F99</f>
        <v>0</v>
      </c>
      <c r="J99" s="56">
        <f>D99-G99</f>
        <v>0</v>
      </c>
      <c r="K99" s="124"/>
      <c r="L99" s="135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6"/>
      <c r="AC99" s="136"/>
    </row>
    <row r="100" spans="1:29" x14ac:dyDescent="0.25">
      <c r="A100" s="4" t="s">
        <v>23</v>
      </c>
      <c r="B100" s="40"/>
      <c r="C100" s="244" t="s">
        <v>58</v>
      </c>
      <c r="D100" s="245"/>
      <c r="E100" s="40"/>
      <c r="F100" s="244"/>
      <c r="G100" s="245"/>
      <c r="H100" s="130">
        <f t="shared" ref="H100:J118" si="4">B100-E100</f>
        <v>0</v>
      </c>
      <c r="I100" s="244" t="s">
        <v>58</v>
      </c>
      <c r="J100" s="245"/>
      <c r="K100" s="124"/>
      <c r="L100" s="135"/>
      <c r="M100" s="9"/>
      <c r="N100" s="4"/>
      <c r="O100" s="4"/>
      <c r="P100" s="4"/>
      <c r="Q100" s="4"/>
      <c r="R100" s="4"/>
      <c r="S100" s="4"/>
      <c r="T100" s="4"/>
      <c r="U100" s="9"/>
      <c r="V100" s="9"/>
      <c r="W100" s="9"/>
      <c r="X100" s="9"/>
      <c r="Y100" s="9"/>
      <c r="Z100" s="9"/>
      <c r="AA100" s="9"/>
      <c r="AB100" s="6"/>
      <c r="AC100" s="136"/>
    </row>
    <row r="101" spans="1:29" x14ac:dyDescent="0.25">
      <c r="A101" s="4" t="s">
        <v>100</v>
      </c>
      <c r="B101" s="40"/>
      <c r="C101" s="56"/>
      <c r="D101" s="56"/>
      <c r="E101" s="40"/>
      <c r="F101" s="56"/>
      <c r="G101" s="56"/>
      <c r="H101" s="130">
        <f t="shared" si="4"/>
        <v>0</v>
      </c>
      <c r="I101" s="56">
        <f t="shared" si="4"/>
        <v>0</v>
      </c>
      <c r="J101" s="56">
        <f t="shared" si="4"/>
        <v>0</v>
      </c>
      <c r="K101" s="124"/>
      <c r="L101" s="135"/>
      <c r="M101" s="9"/>
      <c r="N101" s="4"/>
      <c r="O101" s="4"/>
      <c r="P101" s="4"/>
      <c r="Q101" s="4"/>
      <c r="R101" s="4"/>
      <c r="S101" s="4"/>
      <c r="T101" s="4"/>
      <c r="U101" s="9"/>
      <c r="V101" s="9"/>
      <c r="W101" s="9"/>
      <c r="X101" s="9"/>
      <c r="Y101" s="9"/>
      <c r="Z101" s="9"/>
      <c r="AA101" s="9"/>
      <c r="AB101" s="6"/>
      <c r="AC101" s="136"/>
    </row>
    <row r="102" spans="1:29" s="14" customFormat="1" x14ac:dyDescent="0.25">
      <c r="A102" s="4" t="s">
        <v>102</v>
      </c>
      <c r="B102" s="40"/>
      <c r="C102" s="56"/>
      <c r="D102" s="56"/>
      <c r="E102" s="40"/>
      <c r="F102" s="56"/>
      <c r="G102" s="56"/>
      <c r="H102" s="130">
        <f t="shared" si="4"/>
        <v>0</v>
      </c>
      <c r="I102" s="56">
        <f t="shared" si="4"/>
        <v>0</v>
      </c>
      <c r="J102" s="56">
        <f t="shared" si="4"/>
        <v>0</v>
      </c>
      <c r="K102" s="125"/>
      <c r="L102" s="141"/>
      <c r="M102" s="13"/>
      <c r="N102" s="6"/>
      <c r="O102" s="6"/>
      <c r="P102" s="6"/>
      <c r="Q102" s="6"/>
      <c r="R102" s="6"/>
      <c r="S102" s="6"/>
      <c r="T102" s="6"/>
      <c r="U102" s="13"/>
      <c r="V102" s="13"/>
      <c r="W102" s="13"/>
      <c r="X102" s="13"/>
      <c r="Y102" s="13"/>
      <c r="Z102" s="13"/>
      <c r="AA102" s="13"/>
      <c r="AB102" s="132"/>
      <c r="AC102" s="143"/>
    </row>
    <row r="103" spans="1:29" x14ac:dyDescent="0.25">
      <c r="A103" s="4" t="s">
        <v>27</v>
      </c>
      <c r="B103" s="40"/>
      <c r="C103" s="56"/>
      <c r="D103" s="56"/>
      <c r="E103" s="40"/>
      <c r="F103" s="56"/>
      <c r="G103" s="56"/>
      <c r="H103" s="130">
        <f t="shared" si="4"/>
        <v>0</v>
      </c>
      <c r="I103" s="56">
        <f t="shared" si="4"/>
        <v>0</v>
      </c>
      <c r="J103" s="56">
        <f t="shared" si="4"/>
        <v>0</v>
      </c>
      <c r="K103" s="126"/>
      <c r="L103" s="135"/>
      <c r="M103" s="9"/>
      <c r="N103" s="4"/>
      <c r="O103" s="4"/>
      <c r="P103" s="4"/>
      <c r="Q103" s="4"/>
      <c r="R103" s="4"/>
      <c r="S103" s="4"/>
      <c r="T103" s="4"/>
      <c r="U103" s="9"/>
      <c r="V103" s="9"/>
      <c r="W103" s="9"/>
      <c r="X103" s="9"/>
      <c r="Y103" s="9"/>
      <c r="Z103" s="9"/>
      <c r="AA103" s="9"/>
      <c r="AB103" s="6"/>
      <c r="AC103" s="136"/>
    </row>
    <row r="104" spans="1:29" x14ac:dyDescent="0.25">
      <c r="A104" s="4" t="s">
        <v>110</v>
      </c>
      <c r="B104" s="40"/>
      <c r="C104" s="56"/>
      <c r="D104" s="56"/>
      <c r="E104" s="40"/>
      <c r="F104" s="56"/>
      <c r="G104" s="56"/>
      <c r="H104" s="130">
        <f t="shared" si="4"/>
        <v>0</v>
      </c>
      <c r="I104" s="56">
        <f t="shared" si="4"/>
        <v>0</v>
      </c>
      <c r="J104" s="56">
        <f t="shared" si="4"/>
        <v>0</v>
      </c>
      <c r="K104" s="121"/>
      <c r="L104" s="135"/>
      <c r="M104" s="9"/>
      <c r="N104" s="4"/>
      <c r="O104" s="4"/>
      <c r="P104" s="4"/>
      <c r="Q104" s="4"/>
      <c r="R104" s="4"/>
      <c r="S104" s="4"/>
      <c r="T104" s="4"/>
      <c r="U104" s="9"/>
      <c r="V104" s="9"/>
      <c r="W104" s="9"/>
      <c r="X104" s="9"/>
      <c r="Y104" s="9"/>
      <c r="Z104" s="9"/>
      <c r="AA104" s="9"/>
      <c r="AB104" s="6"/>
      <c r="AC104" s="136"/>
    </row>
    <row r="105" spans="1:29" x14ac:dyDescent="0.25">
      <c r="A105" s="4" t="s">
        <v>24</v>
      </c>
      <c r="B105" s="40"/>
      <c r="C105" s="56"/>
      <c r="D105" s="56"/>
      <c r="E105" s="40"/>
      <c r="F105" s="56"/>
      <c r="G105" s="56"/>
      <c r="H105" s="130">
        <f t="shared" si="4"/>
        <v>0</v>
      </c>
      <c r="I105" s="56">
        <f t="shared" si="4"/>
        <v>0</v>
      </c>
      <c r="J105" s="56">
        <f t="shared" si="4"/>
        <v>0</v>
      </c>
      <c r="K105" s="121"/>
      <c r="L105" s="135"/>
      <c r="M105" s="9"/>
      <c r="N105" s="4"/>
      <c r="O105" s="4"/>
      <c r="P105" s="4"/>
      <c r="Q105" s="4"/>
      <c r="R105" s="4"/>
      <c r="S105" s="4"/>
      <c r="T105" s="4"/>
      <c r="U105" s="9"/>
      <c r="V105" s="9"/>
      <c r="W105" s="9"/>
      <c r="X105" s="9"/>
      <c r="Y105" s="9"/>
      <c r="Z105" s="9"/>
      <c r="AA105" s="9"/>
      <c r="AB105" s="6"/>
      <c r="AC105" s="136"/>
    </row>
    <row r="106" spans="1:29" x14ac:dyDescent="0.25">
      <c r="A106" s="4" t="s">
        <v>29</v>
      </c>
      <c r="B106" s="40"/>
      <c r="C106" s="56"/>
      <c r="D106" s="56"/>
      <c r="E106" s="40"/>
      <c r="F106" s="56"/>
      <c r="G106" s="56"/>
      <c r="H106" s="130">
        <f t="shared" si="4"/>
        <v>0</v>
      </c>
      <c r="I106" s="56">
        <f t="shared" si="4"/>
        <v>0</v>
      </c>
      <c r="J106" s="56">
        <f t="shared" si="4"/>
        <v>0</v>
      </c>
      <c r="K106" s="121"/>
      <c r="L106" s="135"/>
      <c r="M106" s="9"/>
      <c r="N106" s="4"/>
      <c r="O106" s="4"/>
      <c r="P106" s="4"/>
      <c r="Q106" s="4"/>
      <c r="R106" s="4"/>
      <c r="S106" s="4"/>
      <c r="T106" s="4"/>
      <c r="U106" s="9"/>
      <c r="V106" s="9"/>
      <c r="W106" s="9"/>
      <c r="X106" s="9"/>
      <c r="Y106" s="9"/>
      <c r="Z106" s="9"/>
      <c r="AA106" s="9"/>
      <c r="AB106" s="4"/>
      <c r="AC106" s="137"/>
    </row>
    <row r="107" spans="1:29" x14ac:dyDescent="0.25">
      <c r="A107" s="4" t="s">
        <v>30</v>
      </c>
      <c r="B107" s="40"/>
      <c r="C107" s="56"/>
      <c r="D107" s="56"/>
      <c r="E107" s="40"/>
      <c r="F107" s="56"/>
      <c r="G107" s="56"/>
      <c r="H107" s="130">
        <f t="shared" si="4"/>
        <v>0</v>
      </c>
      <c r="I107" s="56">
        <f t="shared" si="4"/>
        <v>0</v>
      </c>
      <c r="J107" s="56">
        <f t="shared" si="4"/>
        <v>0</v>
      </c>
      <c r="K107" s="121"/>
      <c r="L107" s="135"/>
      <c r="M107" s="9"/>
      <c r="N107" s="4"/>
      <c r="O107" s="4"/>
      <c r="P107" s="4"/>
      <c r="Q107" s="4"/>
      <c r="R107" s="4"/>
      <c r="S107" s="4"/>
      <c r="T107" s="4"/>
      <c r="U107" s="9"/>
      <c r="V107" s="9"/>
      <c r="W107" s="9"/>
      <c r="X107" s="9"/>
      <c r="Y107" s="9"/>
      <c r="Z107" s="9"/>
      <c r="AA107" s="9"/>
      <c r="AB107" s="4"/>
      <c r="AC107" s="137"/>
    </row>
    <row r="108" spans="1:29" x14ac:dyDescent="0.25">
      <c r="A108" s="4" t="s">
        <v>31</v>
      </c>
      <c r="B108" s="40"/>
      <c r="C108" s="56"/>
      <c r="D108" s="56"/>
      <c r="E108" s="40"/>
      <c r="F108" s="56"/>
      <c r="G108" s="56"/>
      <c r="H108" s="130">
        <f t="shared" si="4"/>
        <v>0</v>
      </c>
      <c r="I108" s="56">
        <f t="shared" si="4"/>
        <v>0</v>
      </c>
      <c r="J108" s="56">
        <f t="shared" si="4"/>
        <v>0</v>
      </c>
      <c r="K108" s="121"/>
      <c r="L108" s="135"/>
      <c r="M108" s="9"/>
      <c r="N108" s="4"/>
      <c r="O108" s="4"/>
      <c r="P108" s="4"/>
      <c r="Q108" s="4"/>
      <c r="R108" s="4"/>
      <c r="S108" s="4"/>
      <c r="T108" s="4"/>
      <c r="U108" s="9"/>
      <c r="V108" s="9"/>
      <c r="W108" s="9"/>
      <c r="X108" s="9"/>
      <c r="Y108" s="9"/>
      <c r="Z108" s="9"/>
      <c r="AA108" s="9"/>
      <c r="AB108" s="4"/>
      <c r="AC108" s="137"/>
    </row>
    <row r="109" spans="1:29" ht="15.75" thickBot="1" x14ac:dyDescent="0.3">
      <c r="A109" s="12" t="s">
        <v>17</v>
      </c>
      <c r="B109" s="128"/>
      <c r="C109" s="56"/>
      <c r="D109" s="129"/>
      <c r="E109" s="40"/>
      <c r="F109" s="56"/>
      <c r="G109" s="56"/>
      <c r="H109" s="130">
        <f t="shared" si="4"/>
        <v>0</v>
      </c>
      <c r="I109" s="56">
        <f t="shared" si="4"/>
        <v>0</v>
      </c>
      <c r="J109" s="56">
        <f t="shared" si="4"/>
        <v>0</v>
      </c>
      <c r="K109" s="121"/>
      <c r="L109" s="138"/>
      <c r="M109" s="142"/>
      <c r="N109" s="139"/>
      <c r="O109" s="139"/>
      <c r="P109" s="139"/>
      <c r="Q109" s="139"/>
      <c r="R109" s="139"/>
      <c r="S109" s="139"/>
      <c r="T109" s="139"/>
      <c r="U109" s="142"/>
      <c r="V109" s="142"/>
      <c r="W109" s="142"/>
      <c r="X109" s="142"/>
      <c r="Y109" s="142"/>
      <c r="Z109" s="142"/>
      <c r="AA109" s="142"/>
      <c r="AB109" s="139"/>
      <c r="AC109" s="140"/>
    </row>
    <row r="110" spans="1:29" x14ac:dyDescent="0.25">
      <c r="A110" s="4" t="s">
        <v>104</v>
      </c>
      <c r="B110" s="40"/>
      <c r="C110" s="56"/>
      <c r="D110" s="56"/>
      <c r="E110" s="40"/>
      <c r="F110" s="56"/>
      <c r="G110" s="56"/>
      <c r="H110" s="130">
        <f t="shared" si="4"/>
        <v>0</v>
      </c>
      <c r="I110" s="56">
        <f t="shared" si="4"/>
        <v>0</v>
      </c>
      <c r="J110" s="56">
        <f t="shared" si="4"/>
        <v>0</v>
      </c>
      <c r="K110" s="121"/>
    </row>
    <row r="111" spans="1:29" x14ac:dyDescent="0.25">
      <c r="A111" s="4" t="s">
        <v>38</v>
      </c>
      <c r="B111" s="40"/>
      <c r="C111" s="56"/>
      <c r="D111" s="56"/>
      <c r="E111" s="40"/>
      <c r="F111" s="56"/>
      <c r="G111" s="56"/>
      <c r="H111" s="130">
        <f t="shared" si="4"/>
        <v>0</v>
      </c>
      <c r="I111" s="56">
        <f t="shared" si="4"/>
        <v>0</v>
      </c>
      <c r="J111" s="56">
        <f t="shared" si="4"/>
        <v>0</v>
      </c>
      <c r="K111" s="121"/>
    </row>
    <row r="112" spans="1:29" x14ac:dyDescent="0.25">
      <c r="A112" s="4" t="s">
        <v>33</v>
      </c>
      <c r="B112" s="40"/>
      <c r="C112" s="56"/>
      <c r="D112" s="56"/>
      <c r="E112" s="40"/>
      <c r="F112" s="56"/>
      <c r="G112" s="56"/>
      <c r="H112" s="130">
        <f t="shared" si="4"/>
        <v>0</v>
      </c>
      <c r="I112" s="56">
        <f t="shared" si="4"/>
        <v>0</v>
      </c>
      <c r="J112" s="56">
        <f t="shared" si="4"/>
        <v>0</v>
      </c>
      <c r="K112" s="121"/>
    </row>
    <row r="113" spans="1:11" x14ac:dyDescent="0.25">
      <c r="A113" s="4" t="s">
        <v>25</v>
      </c>
      <c r="B113" s="40"/>
      <c r="C113" s="56"/>
      <c r="D113" s="56"/>
      <c r="E113" s="40"/>
      <c r="F113" s="56"/>
      <c r="G113" s="56"/>
      <c r="H113" s="130">
        <f t="shared" si="4"/>
        <v>0</v>
      </c>
      <c r="I113" s="56">
        <f t="shared" si="4"/>
        <v>0</v>
      </c>
      <c r="J113" s="56">
        <f t="shared" si="4"/>
        <v>0</v>
      </c>
      <c r="K113" s="121"/>
    </row>
    <row r="114" spans="1:11" x14ac:dyDescent="0.25">
      <c r="A114" s="4" t="s">
        <v>122</v>
      </c>
      <c r="B114" s="40"/>
      <c r="C114" s="56"/>
      <c r="D114" s="56"/>
      <c r="E114" s="40"/>
      <c r="F114" s="56"/>
      <c r="G114" s="56"/>
      <c r="H114" s="130">
        <f t="shared" si="4"/>
        <v>0</v>
      </c>
      <c r="I114" s="56">
        <f t="shared" si="4"/>
        <v>0</v>
      </c>
      <c r="J114" s="56">
        <f t="shared" si="4"/>
        <v>0</v>
      </c>
      <c r="K114" s="121"/>
    </row>
    <row r="115" spans="1:11" x14ac:dyDescent="0.25">
      <c r="A115" s="4" t="s">
        <v>123</v>
      </c>
      <c r="B115" s="40"/>
      <c r="C115" s="56"/>
      <c r="D115" s="56"/>
      <c r="E115" s="40"/>
      <c r="F115" s="56"/>
      <c r="G115" s="56"/>
      <c r="H115" s="130">
        <f t="shared" si="4"/>
        <v>0</v>
      </c>
      <c r="I115" s="56">
        <f t="shared" si="4"/>
        <v>0</v>
      </c>
      <c r="J115" s="56">
        <f t="shared" si="4"/>
        <v>0</v>
      </c>
      <c r="K115" s="121"/>
    </row>
    <row r="116" spans="1:11" x14ac:dyDescent="0.25">
      <c r="A116" s="4" t="s">
        <v>108</v>
      </c>
      <c r="B116" s="40"/>
      <c r="C116" s="56"/>
      <c r="D116" s="56"/>
      <c r="E116" s="40"/>
      <c r="F116" s="56"/>
      <c r="G116" s="56"/>
      <c r="H116" s="130">
        <f t="shared" si="4"/>
        <v>0</v>
      </c>
      <c r="I116" s="56">
        <f t="shared" si="4"/>
        <v>0</v>
      </c>
      <c r="J116" s="56">
        <f t="shared" si="4"/>
        <v>0</v>
      </c>
      <c r="K116" s="121"/>
    </row>
    <row r="117" spans="1:11" x14ac:dyDescent="0.25">
      <c r="A117" s="4" t="s">
        <v>26</v>
      </c>
      <c r="B117" s="40"/>
      <c r="C117" s="56"/>
      <c r="D117" s="56"/>
      <c r="E117" s="40"/>
      <c r="F117" s="56"/>
      <c r="G117" s="56"/>
      <c r="H117" s="130">
        <f t="shared" si="4"/>
        <v>0</v>
      </c>
      <c r="I117" s="56">
        <f t="shared" si="4"/>
        <v>0</v>
      </c>
      <c r="J117" s="56">
        <f t="shared" si="4"/>
        <v>0</v>
      </c>
      <c r="K117" s="121"/>
    </row>
    <row r="118" spans="1:11" x14ac:dyDescent="0.25">
      <c r="A118" s="4" t="s">
        <v>109</v>
      </c>
      <c r="B118" s="40"/>
      <c r="C118" s="56"/>
      <c r="D118" s="56"/>
      <c r="E118" s="40"/>
      <c r="F118" s="56"/>
      <c r="G118" s="56"/>
      <c r="H118" s="130">
        <f t="shared" si="4"/>
        <v>0</v>
      </c>
      <c r="I118" s="56">
        <f t="shared" si="4"/>
        <v>0</v>
      </c>
      <c r="J118" s="56">
        <f t="shared" si="4"/>
        <v>0</v>
      </c>
      <c r="K118" s="121"/>
    </row>
    <row r="119" spans="1:11" x14ac:dyDescent="0.25">
      <c r="A119" s="34" t="s">
        <v>28</v>
      </c>
      <c r="B119" s="207">
        <f t="shared" ref="B119:J119" si="5">SUM(B99:B118)</f>
        <v>0</v>
      </c>
      <c r="C119" s="30">
        <f t="shared" si="5"/>
        <v>0</v>
      </c>
      <c r="D119" s="30">
        <f t="shared" si="5"/>
        <v>0</v>
      </c>
      <c r="E119" s="205">
        <f t="shared" si="5"/>
        <v>0</v>
      </c>
      <c r="F119" s="53">
        <f t="shared" si="5"/>
        <v>0</v>
      </c>
      <c r="G119" s="53">
        <f t="shared" si="5"/>
        <v>0</v>
      </c>
      <c r="H119" s="131">
        <f t="shared" si="5"/>
        <v>0</v>
      </c>
      <c r="I119" s="54">
        <f t="shared" si="5"/>
        <v>0</v>
      </c>
      <c r="J119" s="54">
        <f t="shared" si="5"/>
        <v>0</v>
      </c>
      <c r="K119" s="121"/>
    </row>
    <row r="120" spans="1:11" x14ac:dyDescent="0.25">
      <c r="K120" s="125"/>
    </row>
    <row r="121" spans="1:11" ht="15" customHeight="1" x14ac:dyDescent="0.25">
      <c r="A121" s="32" t="s">
        <v>97</v>
      </c>
      <c r="B121" s="207" t="s">
        <v>191</v>
      </c>
      <c r="C121" s="207"/>
      <c r="D121" s="246" t="s">
        <v>4</v>
      </c>
      <c r="E121" s="247"/>
      <c r="F121" s="248" t="s">
        <v>34</v>
      </c>
      <c r="G121" s="249"/>
      <c r="H121" s="250" t="s">
        <v>194</v>
      </c>
      <c r="I121" s="251"/>
      <c r="J121" s="248" t="s">
        <v>34</v>
      </c>
      <c r="K121" s="249"/>
    </row>
    <row r="122" spans="1:11" x14ac:dyDescent="0.25">
      <c r="A122" s="32"/>
      <c r="B122" s="207" t="s">
        <v>40</v>
      </c>
      <c r="C122" s="207" t="s">
        <v>57</v>
      </c>
      <c r="D122" s="29" t="s">
        <v>56</v>
      </c>
      <c r="E122" s="28" t="s">
        <v>53</v>
      </c>
      <c r="F122" s="35" t="s">
        <v>40</v>
      </c>
      <c r="G122" s="35" t="s">
        <v>39</v>
      </c>
      <c r="H122" s="147" t="s">
        <v>195</v>
      </c>
      <c r="I122" s="147" t="s">
        <v>39</v>
      </c>
      <c r="J122" s="35" t="s">
        <v>40</v>
      </c>
      <c r="K122" s="35" t="s">
        <v>39</v>
      </c>
    </row>
    <row r="123" spans="1:11" x14ac:dyDescent="0.25">
      <c r="A123" s="4" t="s">
        <v>22</v>
      </c>
      <c r="B123" s="9"/>
      <c r="C123" s="4"/>
      <c r="D123" s="38"/>
      <c r="E123" s="4"/>
      <c r="F123" s="149">
        <f>B123-D123</f>
        <v>0</v>
      </c>
      <c r="G123" s="150">
        <f>C123-E123</f>
        <v>0</v>
      </c>
      <c r="H123" s="4"/>
      <c r="I123" s="4"/>
      <c r="J123" s="149">
        <f>B123-H123</f>
        <v>0</v>
      </c>
      <c r="K123" s="150">
        <f>C123-I123</f>
        <v>0</v>
      </c>
    </row>
    <row r="124" spans="1:11" x14ac:dyDescent="0.25">
      <c r="A124" s="4" t="s">
        <v>23</v>
      </c>
      <c r="B124" s="9"/>
      <c r="C124" s="4"/>
      <c r="D124" s="38"/>
      <c r="E124" s="4"/>
      <c r="F124" s="149">
        <f t="shared" ref="F124:G133" si="6">B124-D124</f>
        <v>0</v>
      </c>
      <c r="G124" s="150">
        <f t="shared" si="6"/>
        <v>0</v>
      </c>
      <c r="H124" s="4"/>
      <c r="I124" s="4"/>
      <c r="J124" s="149">
        <f t="shared" ref="J124:K133" si="7">B124-H124</f>
        <v>0</v>
      </c>
      <c r="K124" s="150">
        <f t="shared" si="7"/>
        <v>0</v>
      </c>
    </row>
    <row r="125" spans="1:11" x14ac:dyDescent="0.25">
      <c r="A125" s="4" t="s">
        <v>102</v>
      </c>
      <c r="B125" s="9"/>
      <c r="C125" s="4"/>
      <c r="D125" s="38"/>
      <c r="E125" s="4"/>
      <c r="F125" s="149">
        <f t="shared" si="6"/>
        <v>0</v>
      </c>
      <c r="G125" s="150">
        <f t="shared" si="6"/>
        <v>0</v>
      </c>
      <c r="H125" s="4"/>
      <c r="I125" s="4"/>
      <c r="J125" s="149">
        <f t="shared" si="7"/>
        <v>0</v>
      </c>
      <c r="K125" s="150">
        <f t="shared" si="7"/>
        <v>0</v>
      </c>
    </row>
    <row r="126" spans="1:11" x14ac:dyDescent="0.25">
      <c r="A126" s="4" t="s">
        <v>27</v>
      </c>
      <c r="B126" s="9"/>
      <c r="C126" s="4"/>
      <c r="D126" s="38"/>
      <c r="E126" s="4"/>
      <c r="F126" s="149">
        <f t="shared" si="6"/>
        <v>0</v>
      </c>
      <c r="G126" s="150">
        <f t="shared" si="6"/>
        <v>0</v>
      </c>
      <c r="H126" s="4"/>
      <c r="I126" s="4"/>
      <c r="J126" s="149">
        <f t="shared" si="7"/>
        <v>0</v>
      </c>
      <c r="K126" s="150">
        <f t="shared" si="7"/>
        <v>0</v>
      </c>
    </row>
    <row r="127" spans="1:11" x14ac:dyDescent="0.25">
      <c r="A127" s="4" t="s">
        <v>15</v>
      </c>
      <c r="B127" s="9"/>
      <c r="C127" s="4"/>
      <c r="D127" s="38"/>
      <c r="E127" s="4"/>
      <c r="F127" s="149">
        <f t="shared" si="6"/>
        <v>0</v>
      </c>
      <c r="G127" s="150">
        <f t="shared" si="6"/>
        <v>0</v>
      </c>
      <c r="H127" s="4"/>
      <c r="I127" s="4"/>
      <c r="J127" s="149">
        <f t="shared" si="7"/>
        <v>0</v>
      </c>
      <c r="K127" s="150">
        <f t="shared" si="7"/>
        <v>0</v>
      </c>
    </row>
    <row r="128" spans="1:11" x14ac:dyDescent="0.25">
      <c r="A128" s="4" t="s">
        <v>31</v>
      </c>
      <c r="B128" s="9"/>
      <c r="C128" s="4"/>
      <c r="D128" s="38"/>
      <c r="E128" s="4"/>
      <c r="F128" s="149">
        <f t="shared" si="6"/>
        <v>0</v>
      </c>
      <c r="G128" s="150">
        <f t="shared" si="6"/>
        <v>0</v>
      </c>
      <c r="H128" s="4"/>
      <c r="I128" s="4"/>
      <c r="J128" s="149">
        <f t="shared" si="7"/>
        <v>0</v>
      </c>
      <c r="K128" s="150">
        <f t="shared" si="7"/>
        <v>0</v>
      </c>
    </row>
    <row r="129" spans="1:12" x14ac:dyDescent="0.25">
      <c r="A129" s="4" t="s">
        <v>17</v>
      </c>
      <c r="B129" s="9"/>
      <c r="C129" s="4"/>
      <c r="D129" s="38"/>
      <c r="E129" s="4"/>
      <c r="F129" s="149">
        <f t="shared" si="6"/>
        <v>0</v>
      </c>
      <c r="G129" s="150">
        <f t="shared" si="6"/>
        <v>0</v>
      </c>
      <c r="H129" s="4"/>
      <c r="I129" s="4"/>
      <c r="J129" s="149">
        <f t="shared" si="7"/>
        <v>0</v>
      </c>
      <c r="K129" s="150">
        <f t="shared" si="7"/>
        <v>0</v>
      </c>
    </row>
    <row r="130" spans="1:12" x14ac:dyDescent="0.25">
      <c r="A130" s="4" t="s">
        <v>32</v>
      </c>
      <c r="B130" s="9"/>
      <c r="C130" s="4"/>
      <c r="D130" s="38"/>
      <c r="E130" s="4"/>
      <c r="F130" s="149">
        <f t="shared" si="6"/>
        <v>0</v>
      </c>
      <c r="G130" s="150">
        <f t="shared" si="6"/>
        <v>0</v>
      </c>
      <c r="H130" s="4"/>
      <c r="I130" s="4"/>
      <c r="J130" s="149">
        <f t="shared" si="7"/>
        <v>0</v>
      </c>
      <c r="K130" s="150">
        <f t="shared" si="7"/>
        <v>0</v>
      </c>
    </row>
    <row r="131" spans="1:12" x14ac:dyDescent="0.25">
      <c r="A131" s="4" t="s">
        <v>33</v>
      </c>
      <c r="B131" s="9"/>
      <c r="C131" s="4"/>
      <c r="D131" s="38"/>
      <c r="E131" s="4"/>
      <c r="F131" s="149">
        <f t="shared" si="6"/>
        <v>0</v>
      </c>
      <c r="G131" s="150">
        <f t="shared" si="6"/>
        <v>0</v>
      </c>
      <c r="H131" s="4"/>
      <c r="I131" s="4"/>
      <c r="J131" s="149">
        <f t="shared" si="7"/>
        <v>0</v>
      </c>
      <c r="K131" s="150">
        <f t="shared" si="7"/>
        <v>0</v>
      </c>
    </row>
    <row r="132" spans="1:12" x14ac:dyDescent="0.25">
      <c r="A132" s="4" t="s">
        <v>14</v>
      </c>
      <c r="B132" s="9"/>
      <c r="C132" s="4"/>
      <c r="D132" s="38"/>
      <c r="E132" s="4"/>
      <c r="F132" s="149">
        <f t="shared" si="6"/>
        <v>0</v>
      </c>
      <c r="G132" s="150">
        <f t="shared" si="6"/>
        <v>0</v>
      </c>
      <c r="H132" s="4"/>
      <c r="I132" s="4"/>
      <c r="J132" s="149">
        <f t="shared" si="7"/>
        <v>0</v>
      </c>
      <c r="K132" s="150">
        <f t="shared" si="7"/>
        <v>0</v>
      </c>
    </row>
    <row r="133" spans="1:12" x14ac:dyDescent="0.25">
      <c r="A133" s="4" t="s">
        <v>121</v>
      </c>
      <c r="B133" s="9"/>
      <c r="C133" s="4"/>
      <c r="D133" s="38"/>
      <c r="E133" s="4"/>
      <c r="F133" s="149">
        <f t="shared" si="6"/>
        <v>0</v>
      </c>
      <c r="G133" s="150">
        <f t="shared" si="6"/>
        <v>0</v>
      </c>
      <c r="H133" s="4"/>
      <c r="I133" s="4"/>
      <c r="J133" s="149">
        <f t="shared" si="7"/>
        <v>0</v>
      </c>
      <c r="K133" s="150">
        <f t="shared" si="7"/>
        <v>0</v>
      </c>
    </row>
    <row r="134" spans="1:12" x14ac:dyDescent="0.25">
      <c r="A134" s="34" t="s">
        <v>28</v>
      </c>
      <c r="B134" s="30">
        <f t="shared" ref="B134:E134" si="8">SUM(B123:B133)</f>
        <v>0</v>
      </c>
      <c r="C134" s="207">
        <f t="shared" si="8"/>
        <v>0</v>
      </c>
      <c r="D134" s="55">
        <f t="shared" si="8"/>
        <v>0</v>
      </c>
      <c r="E134" s="28">
        <f t="shared" si="8"/>
        <v>0</v>
      </c>
      <c r="F134" s="36">
        <f t="shared" ref="F134:K134" si="9">SUM(F123:F133)</f>
        <v>0</v>
      </c>
      <c r="G134" s="151">
        <f t="shared" si="9"/>
        <v>0</v>
      </c>
      <c r="H134" s="147">
        <f t="shared" si="9"/>
        <v>0</v>
      </c>
      <c r="I134" s="147">
        <f t="shared" si="9"/>
        <v>0</v>
      </c>
      <c r="J134" s="36">
        <f t="shared" si="9"/>
        <v>0</v>
      </c>
      <c r="K134" s="151">
        <f t="shared" si="9"/>
        <v>0</v>
      </c>
    </row>
    <row r="135" spans="1:12" x14ac:dyDescent="0.25">
      <c r="K135" s="125"/>
    </row>
    <row r="136" spans="1:12" ht="18.75" customHeight="1" x14ac:dyDescent="0.25">
      <c r="A136" s="31" t="s">
        <v>99</v>
      </c>
      <c r="B136" s="207" t="s">
        <v>191</v>
      </c>
      <c r="C136" s="33" t="s">
        <v>4</v>
      </c>
      <c r="D136" s="35" t="s">
        <v>34</v>
      </c>
      <c r="L136" s="127"/>
    </row>
    <row r="137" spans="1:12" x14ac:dyDescent="0.25">
      <c r="A137" s="31" t="s">
        <v>178</v>
      </c>
      <c r="B137" s="49"/>
      <c r="C137" s="49"/>
      <c r="D137" s="49">
        <f>B137-C137</f>
        <v>0</v>
      </c>
    </row>
    <row r="138" spans="1:12" x14ac:dyDescent="0.25">
      <c r="A138" s="8"/>
      <c r="B138" s="8"/>
      <c r="C138" s="8"/>
      <c r="D138" s="8"/>
      <c r="E138" s="8"/>
      <c r="F138" s="8"/>
    </row>
    <row r="139" spans="1:12" x14ac:dyDescent="0.25">
      <c r="A139" s="252" t="s">
        <v>196</v>
      </c>
      <c r="B139" s="254" t="s">
        <v>191</v>
      </c>
      <c r="C139" s="230" t="s">
        <v>4</v>
      </c>
      <c r="D139" s="231" t="s">
        <v>34</v>
      </c>
      <c r="E139" s="8"/>
      <c r="F139" s="8"/>
    </row>
    <row r="140" spans="1:12" x14ac:dyDescent="0.25">
      <c r="A140" s="253"/>
      <c r="B140" s="254"/>
      <c r="C140" s="230"/>
      <c r="D140" s="231"/>
      <c r="E140" s="8"/>
      <c r="F140" s="8"/>
    </row>
    <row r="141" spans="1:12" x14ac:dyDescent="0.25">
      <c r="A141" s="152" t="s">
        <v>197</v>
      </c>
      <c r="B141" s="153"/>
      <c r="C141" s="153"/>
      <c r="D141" s="152">
        <f>B141-C141</f>
        <v>0</v>
      </c>
      <c r="E141" s="8"/>
      <c r="F141" s="8"/>
    </row>
    <row r="142" spans="1:12" x14ac:dyDescent="0.25">
      <c r="A142" s="152" t="s">
        <v>198</v>
      </c>
      <c r="B142" s="153"/>
      <c r="C142" s="153"/>
      <c r="D142" s="152">
        <f t="shared" ref="D142:D144" si="10">B142-C142</f>
        <v>0</v>
      </c>
      <c r="E142" s="8"/>
      <c r="F142" s="8"/>
    </row>
    <row r="143" spans="1:12" x14ac:dyDescent="0.25">
      <c r="A143" s="152" t="s">
        <v>199</v>
      </c>
      <c r="B143" s="153"/>
      <c r="C143" s="153"/>
      <c r="D143" s="152">
        <f t="shared" si="10"/>
        <v>0</v>
      </c>
      <c r="E143" s="8"/>
      <c r="F143" s="8"/>
    </row>
    <row r="144" spans="1:12" x14ac:dyDescent="0.25">
      <c r="A144" s="152" t="s">
        <v>200</v>
      </c>
      <c r="B144" s="153"/>
      <c r="C144" s="153"/>
      <c r="D144" s="152">
        <f t="shared" si="10"/>
        <v>0</v>
      </c>
      <c r="E144" s="8"/>
      <c r="F144" s="8"/>
    </row>
    <row r="145" spans="1:6" x14ac:dyDescent="0.25">
      <c r="B145" s="154"/>
    </row>
    <row r="146" spans="1:6" ht="16.5" customHeight="1" x14ac:dyDescent="0.25">
      <c r="A146" s="155" t="s">
        <v>486</v>
      </c>
      <c r="B146" s="204" t="s">
        <v>191</v>
      </c>
      <c r="C146" s="205" t="s">
        <v>4</v>
      </c>
      <c r="D146" s="206" t="s">
        <v>34</v>
      </c>
    </row>
    <row r="147" spans="1:6" x14ac:dyDescent="0.25">
      <c r="A147" s="4" t="s">
        <v>52</v>
      </c>
      <c r="B147" s="13"/>
      <c r="C147" s="13"/>
      <c r="D147" s="9">
        <f>B147-C147</f>
        <v>0</v>
      </c>
    </row>
    <row r="148" spans="1:6" x14ac:dyDescent="0.25">
      <c r="A148" s="4" t="s">
        <v>48</v>
      </c>
      <c r="B148" s="13"/>
      <c r="C148" s="13"/>
      <c r="D148" s="9">
        <f>B148-C148</f>
        <v>0</v>
      </c>
      <c r="F148" s="15"/>
    </row>
    <row r="149" spans="1:6" x14ac:dyDescent="0.25">
      <c r="A149" s="4" t="s">
        <v>49</v>
      </c>
      <c r="B149" s="13"/>
      <c r="C149" s="13"/>
      <c r="D149" s="9">
        <f>B149-C149</f>
        <v>0</v>
      </c>
    </row>
    <row r="150" spans="1:6" x14ac:dyDescent="0.25">
      <c r="A150" s="4" t="s">
        <v>50</v>
      </c>
      <c r="B150" s="13"/>
      <c r="C150" s="13"/>
      <c r="D150" s="9">
        <f>B150-C150</f>
        <v>0</v>
      </c>
    </row>
    <row r="151" spans="1:6" x14ac:dyDescent="0.25">
      <c r="A151" s="4" t="s">
        <v>51</v>
      </c>
      <c r="B151" s="9"/>
      <c r="C151" s="13"/>
      <c r="D151" s="9">
        <f>B151-C151</f>
        <v>0</v>
      </c>
    </row>
    <row r="152" spans="1:6" x14ac:dyDescent="0.25">
      <c r="A152" s="31" t="s">
        <v>28</v>
      </c>
      <c r="B152" s="30">
        <f>SUM(B147:B151)</f>
        <v>0</v>
      </c>
      <c r="C152" s="10">
        <f>SUM(C147:C151)</f>
        <v>0</v>
      </c>
      <c r="D152" s="36">
        <f>SUM(D147:D151)</f>
        <v>0</v>
      </c>
      <c r="F152" s="15"/>
    </row>
    <row r="154" spans="1:6" x14ac:dyDescent="0.25">
      <c r="A154" s="39"/>
      <c r="B154" s="255"/>
      <c r="C154" s="255"/>
      <c r="D154" s="255"/>
      <c r="E154" s="255"/>
      <c r="F154" s="255"/>
    </row>
  </sheetData>
  <mergeCells count="22">
    <mergeCell ref="A139:A140"/>
    <mergeCell ref="B139:B140"/>
    <mergeCell ref="C139:C140"/>
    <mergeCell ref="D139:D140"/>
    <mergeCell ref="B154:F154"/>
    <mergeCell ref="C100:D100"/>
    <mergeCell ref="F100:G100"/>
    <mergeCell ref="I100:J100"/>
    <mergeCell ref="D121:E121"/>
    <mergeCell ref="F121:G121"/>
    <mergeCell ref="H121:I121"/>
    <mergeCell ref="J121:K121"/>
    <mergeCell ref="A53:A54"/>
    <mergeCell ref="B53:C53"/>
    <mergeCell ref="D53:E53"/>
    <mergeCell ref="F53:G53"/>
    <mergeCell ref="I53:S53"/>
    <mergeCell ref="A97:A98"/>
    <mergeCell ref="B97:D97"/>
    <mergeCell ref="E97:G97"/>
    <mergeCell ref="H97:J97"/>
    <mergeCell ref="L97:AC97"/>
  </mergeCells>
  <conditionalFormatting sqref="D51 D2 D41 D5:D9 D82:D94 D48:D49 D44:D46 F138:F144 K104:K119 H100 K99:K101 H99:J99 H101:J118">
    <cfRule type="cellIs" dxfId="17" priority="9" operator="notEqual">
      <formula>0</formula>
    </cfRule>
  </conditionalFormatting>
  <conditionalFormatting sqref="D79 F55:G75">
    <cfRule type="cellIs" dxfId="16" priority="8" operator="notEqual">
      <formula>0</formula>
    </cfRule>
  </conditionalFormatting>
  <conditionalFormatting sqref="D137">
    <cfRule type="cellIs" dxfId="15" priority="7" operator="notEqual">
      <formula>0</formula>
    </cfRule>
  </conditionalFormatting>
  <conditionalFormatting sqref="D152 F123:G134">
    <cfRule type="cellIs" dxfId="14" priority="6" operator="notEqual">
      <formula>0</formula>
    </cfRule>
  </conditionalFormatting>
  <conditionalFormatting sqref="D48">
    <cfRule type="cellIs" dxfId="13" priority="5" operator="notEqual">
      <formula>0</formula>
    </cfRule>
  </conditionalFormatting>
  <conditionalFormatting sqref="D147:D151">
    <cfRule type="cellIs" dxfId="12" priority="4" operator="notEqual">
      <formula>0</formula>
    </cfRule>
  </conditionalFormatting>
  <conditionalFormatting sqref="D141:D144">
    <cfRule type="cellIs" dxfId="11" priority="3" operator="notEqual">
      <formula>0</formula>
    </cfRule>
  </conditionalFormatting>
  <conditionalFormatting sqref="F44:F45">
    <cfRule type="cellIs" dxfId="10" priority="2" operator="notEqual">
      <formula>0</formula>
    </cfRule>
  </conditionalFormatting>
  <conditionalFormatting sqref="J123:K134">
    <cfRule type="cellIs" dxfId="9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inLiloThread">
                <anchor moveWithCells="1" sizeWithCells="1">
                  <from>
                    <xdr:col>4</xdr:col>
                    <xdr:colOff>266700</xdr:colOff>
                    <xdr:row>0</xdr:row>
                    <xdr:rowOff>95250</xdr:rowOff>
                  </from>
                  <to>
                    <xdr:col>5</xdr:col>
                    <xdr:colOff>371475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154"/>
  <sheetViews>
    <sheetView workbookViewId="0">
      <selection activeCell="H7" sqref="H7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3.140625" style="3" bestFit="1" customWidth="1"/>
    <col min="5" max="5" width="13.5703125" style="3" bestFit="1" customWidth="1"/>
    <col min="6" max="6" width="11.28515625" style="3" bestFit="1" customWidth="1"/>
    <col min="7" max="7" width="13.140625" style="3" bestFit="1" customWidth="1"/>
    <col min="8" max="8" width="12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4" x14ac:dyDescent="0.25">
      <c r="A1" s="31" t="s">
        <v>91</v>
      </c>
      <c r="B1" s="146" t="s">
        <v>191</v>
      </c>
      <c r="C1" s="28" t="s">
        <v>125</v>
      </c>
      <c r="D1" s="35" t="s">
        <v>34</v>
      </c>
    </row>
    <row r="2" spans="1:4" x14ac:dyDescent="0.25">
      <c r="A2" s="6" t="s">
        <v>42</v>
      </c>
      <c r="B2" s="4"/>
      <c r="C2" s="4"/>
      <c r="D2" s="4">
        <f>B2-C2</f>
        <v>0</v>
      </c>
    </row>
    <row r="3" spans="1:4" ht="15" customHeight="1" x14ac:dyDescent="0.25">
      <c r="A3" s="7"/>
      <c r="B3" s="8"/>
      <c r="C3" s="8"/>
      <c r="D3" s="8"/>
    </row>
    <row r="4" spans="1:4" x14ac:dyDescent="0.25">
      <c r="A4" s="31" t="s">
        <v>92</v>
      </c>
      <c r="B4" s="146" t="s">
        <v>191</v>
      </c>
      <c r="C4" s="28" t="s">
        <v>125</v>
      </c>
      <c r="D4" s="35" t="s">
        <v>34</v>
      </c>
    </row>
    <row r="5" spans="1:4" x14ac:dyDescent="0.25">
      <c r="A5" s="4" t="s">
        <v>21</v>
      </c>
      <c r="B5" s="4"/>
      <c r="C5" s="4"/>
      <c r="D5" s="4">
        <f>B5-C5</f>
        <v>0</v>
      </c>
    </row>
    <row r="6" spans="1:4" x14ac:dyDescent="0.25">
      <c r="A6" s="4" t="s">
        <v>22</v>
      </c>
      <c r="B6" s="4"/>
      <c r="C6" s="4"/>
      <c r="D6" s="4">
        <f>B6-C6</f>
        <v>0</v>
      </c>
    </row>
    <row r="7" spans="1:4" x14ac:dyDescent="0.25">
      <c r="A7" s="4" t="s">
        <v>27</v>
      </c>
      <c r="B7" s="4"/>
      <c r="C7" s="4"/>
      <c r="D7" s="4">
        <f>B7-C7</f>
        <v>0</v>
      </c>
    </row>
    <row r="8" spans="1:4" x14ac:dyDescent="0.25">
      <c r="A8" s="4" t="s">
        <v>14</v>
      </c>
      <c r="B8" s="4"/>
      <c r="C8" s="4"/>
      <c r="D8" s="4">
        <f>B8-C8</f>
        <v>0</v>
      </c>
    </row>
    <row r="9" spans="1:4" x14ac:dyDescent="0.25">
      <c r="A9" s="34" t="s">
        <v>28</v>
      </c>
      <c r="B9" s="146">
        <f>SUM(B5:B8)</f>
        <v>0</v>
      </c>
      <c r="C9" s="28">
        <f>SUM(C5:C8)</f>
        <v>0</v>
      </c>
      <c r="D9" s="35">
        <f>SUM(D5:D8)</f>
        <v>0</v>
      </c>
    </row>
    <row r="10" spans="1:4" ht="15" customHeight="1" x14ac:dyDescent="0.25"/>
    <row r="11" spans="1:4" x14ac:dyDescent="0.25">
      <c r="A11" s="31" t="s">
        <v>93</v>
      </c>
      <c r="B11" s="146" t="s">
        <v>191</v>
      </c>
      <c r="C11" s="28" t="s">
        <v>4</v>
      </c>
      <c r="D11" s="35" t="s">
        <v>34</v>
      </c>
    </row>
    <row r="12" spans="1:4" x14ac:dyDescent="0.25">
      <c r="A12" s="47"/>
      <c r="B12" s="48"/>
      <c r="C12" s="49"/>
      <c r="D12" s="49">
        <f t="shared" ref="D12:D40" si="0">B12-C12</f>
        <v>0</v>
      </c>
    </row>
    <row r="13" spans="1:4" x14ac:dyDescent="0.25">
      <c r="A13" s="40">
        <v>1</v>
      </c>
      <c r="B13" s="40"/>
      <c r="C13" s="4"/>
      <c r="D13" s="49">
        <f t="shared" si="0"/>
        <v>0</v>
      </c>
    </row>
    <row r="14" spans="1:4" x14ac:dyDescent="0.25">
      <c r="A14" s="40">
        <v>2</v>
      </c>
      <c r="B14" s="40"/>
      <c r="C14" s="4"/>
      <c r="D14" s="49">
        <f t="shared" si="0"/>
        <v>0</v>
      </c>
    </row>
    <row r="15" spans="1:4" x14ac:dyDescent="0.25">
      <c r="A15" s="40">
        <v>3</v>
      </c>
      <c r="B15" s="40"/>
      <c r="C15" s="4"/>
      <c r="D15" s="49">
        <f t="shared" si="0"/>
        <v>0</v>
      </c>
    </row>
    <row r="16" spans="1:4" x14ac:dyDescent="0.25">
      <c r="A16" s="40">
        <v>4</v>
      </c>
      <c r="B16" s="40"/>
      <c r="C16" s="4"/>
      <c r="D16" s="49">
        <f t="shared" si="0"/>
        <v>0</v>
      </c>
    </row>
    <row r="17" spans="1:4" x14ac:dyDescent="0.25">
      <c r="A17" s="40" t="s">
        <v>21</v>
      </c>
      <c r="B17" s="40"/>
      <c r="C17" s="4"/>
      <c r="D17" s="49">
        <f t="shared" si="0"/>
        <v>0</v>
      </c>
    </row>
    <row r="18" spans="1:4" x14ac:dyDescent="0.25">
      <c r="A18" s="40" t="s">
        <v>23</v>
      </c>
      <c r="B18" s="40"/>
      <c r="C18" s="4"/>
      <c r="D18" s="49">
        <f t="shared" si="0"/>
        <v>0</v>
      </c>
    </row>
    <row r="19" spans="1:4" x14ac:dyDescent="0.25">
      <c r="A19" s="40" t="s">
        <v>100</v>
      </c>
      <c r="B19" s="40"/>
      <c r="C19" s="4"/>
      <c r="D19" s="49">
        <f t="shared" si="0"/>
        <v>0</v>
      </c>
    </row>
    <row r="20" spans="1:4" x14ac:dyDescent="0.25">
      <c r="A20" s="40" t="s">
        <v>101</v>
      </c>
      <c r="B20" s="40"/>
      <c r="C20" s="4"/>
      <c r="D20" s="49">
        <f t="shared" si="0"/>
        <v>0</v>
      </c>
    </row>
    <row r="21" spans="1:4" x14ac:dyDescent="0.25">
      <c r="A21" s="40" t="s">
        <v>102</v>
      </c>
      <c r="B21" s="40"/>
      <c r="C21" s="4"/>
      <c r="D21" s="49">
        <f t="shared" si="0"/>
        <v>0</v>
      </c>
    </row>
    <row r="22" spans="1:4" x14ac:dyDescent="0.25">
      <c r="A22" s="40" t="s">
        <v>103</v>
      </c>
      <c r="B22" s="40"/>
      <c r="C22" s="4"/>
      <c r="D22" s="49">
        <f t="shared" si="0"/>
        <v>0</v>
      </c>
    </row>
    <row r="23" spans="1:4" x14ac:dyDescent="0.25">
      <c r="A23" s="40" t="s">
        <v>27</v>
      </c>
      <c r="B23" s="40"/>
      <c r="C23" s="4"/>
      <c r="D23" s="49">
        <f t="shared" si="0"/>
        <v>0</v>
      </c>
    </row>
    <row r="24" spans="1:4" x14ac:dyDescent="0.25">
      <c r="A24" s="40" t="s">
        <v>24</v>
      </c>
      <c r="B24" s="40"/>
      <c r="C24" s="4"/>
      <c r="D24" s="49">
        <f t="shared" si="0"/>
        <v>0</v>
      </c>
    </row>
    <row r="25" spans="1:4" x14ac:dyDescent="0.25">
      <c r="A25" s="40" t="s">
        <v>15</v>
      </c>
      <c r="B25" s="40"/>
      <c r="C25" s="4"/>
      <c r="D25" s="49">
        <f t="shared" si="0"/>
        <v>0</v>
      </c>
    </row>
    <row r="26" spans="1:4" x14ac:dyDescent="0.25">
      <c r="A26" s="40" t="s">
        <v>29</v>
      </c>
      <c r="B26" s="40"/>
      <c r="C26" s="4"/>
      <c r="D26" s="49">
        <f t="shared" si="0"/>
        <v>0</v>
      </c>
    </row>
    <row r="27" spans="1:4" x14ac:dyDescent="0.25">
      <c r="A27" s="40" t="s">
        <v>30</v>
      </c>
      <c r="B27" s="40"/>
      <c r="C27" s="4"/>
      <c r="D27" s="49">
        <f t="shared" si="0"/>
        <v>0</v>
      </c>
    </row>
    <row r="28" spans="1:4" x14ac:dyDescent="0.25">
      <c r="A28" s="40" t="s">
        <v>31</v>
      </c>
      <c r="B28" s="40"/>
      <c r="C28" s="4"/>
      <c r="D28" s="49">
        <f t="shared" si="0"/>
        <v>0</v>
      </c>
    </row>
    <row r="29" spans="1:4" x14ac:dyDescent="0.25">
      <c r="A29" s="40" t="s">
        <v>17</v>
      </c>
      <c r="B29" s="40"/>
      <c r="C29" s="4"/>
      <c r="D29" s="49">
        <f t="shared" si="0"/>
        <v>0</v>
      </c>
    </row>
    <row r="30" spans="1:4" x14ac:dyDescent="0.25">
      <c r="A30" s="40" t="s">
        <v>32</v>
      </c>
      <c r="B30" s="40"/>
      <c r="C30" s="4"/>
      <c r="D30" s="49">
        <f t="shared" si="0"/>
        <v>0</v>
      </c>
    </row>
    <row r="31" spans="1:4" x14ac:dyDescent="0.25">
      <c r="A31" s="40" t="s">
        <v>104</v>
      </c>
      <c r="B31" s="40"/>
      <c r="C31" s="4"/>
      <c r="D31" s="49">
        <f t="shared" si="0"/>
        <v>0</v>
      </c>
    </row>
    <row r="32" spans="1:4" x14ac:dyDescent="0.25">
      <c r="A32" s="40" t="s">
        <v>33</v>
      </c>
      <c r="B32" s="40"/>
      <c r="C32" s="4"/>
      <c r="D32" s="49">
        <f t="shared" si="0"/>
        <v>0</v>
      </c>
    </row>
    <row r="33" spans="1:6" x14ac:dyDescent="0.25">
      <c r="A33" s="40" t="s">
        <v>25</v>
      </c>
      <c r="B33" s="40"/>
      <c r="C33" s="4"/>
      <c r="D33" s="49">
        <f t="shared" si="0"/>
        <v>0</v>
      </c>
    </row>
    <row r="34" spans="1:6" x14ac:dyDescent="0.25">
      <c r="A34" s="40" t="s">
        <v>14</v>
      </c>
      <c r="B34" s="40"/>
      <c r="C34" s="4"/>
      <c r="D34" s="49">
        <f t="shared" si="0"/>
        <v>0</v>
      </c>
    </row>
    <row r="35" spans="1:6" x14ac:dyDescent="0.25">
      <c r="A35" s="40" t="s">
        <v>105</v>
      </c>
      <c r="B35" s="40"/>
      <c r="C35" s="4"/>
      <c r="D35" s="49">
        <f t="shared" si="0"/>
        <v>0</v>
      </c>
    </row>
    <row r="36" spans="1:6" x14ac:dyDescent="0.25">
      <c r="A36" s="40" t="s">
        <v>106</v>
      </c>
      <c r="B36" s="40"/>
      <c r="C36" s="4"/>
      <c r="D36" s="49">
        <f t="shared" si="0"/>
        <v>0</v>
      </c>
    </row>
    <row r="37" spans="1:6" x14ac:dyDescent="0.25">
      <c r="A37" s="40" t="s">
        <v>107</v>
      </c>
      <c r="B37" s="40"/>
      <c r="C37" s="4"/>
      <c r="D37" s="49">
        <f t="shared" si="0"/>
        <v>0</v>
      </c>
    </row>
    <row r="38" spans="1:6" x14ac:dyDescent="0.25">
      <c r="A38" s="40" t="s">
        <v>108</v>
      </c>
      <c r="B38" s="40"/>
      <c r="C38" s="4"/>
      <c r="D38" s="49">
        <f t="shared" si="0"/>
        <v>0</v>
      </c>
    </row>
    <row r="39" spans="1:6" x14ac:dyDescent="0.25">
      <c r="A39" s="40" t="s">
        <v>26</v>
      </c>
      <c r="B39" s="40"/>
      <c r="C39" s="4"/>
      <c r="D39" s="49">
        <f t="shared" si="0"/>
        <v>0</v>
      </c>
    </row>
    <row r="40" spans="1:6" x14ac:dyDescent="0.25">
      <c r="A40" s="40" t="s">
        <v>109</v>
      </c>
      <c r="B40" s="40"/>
      <c r="C40" s="4"/>
      <c r="D40" s="49">
        <f t="shared" si="0"/>
        <v>0</v>
      </c>
    </row>
    <row r="41" spans="1:6" x14ac:dyDescent="0.25">
      <c r="A41" s="50" t="s">
        <v>28</v>
      </c>
      <c r="B41" s="146">
        <f>SUM(B12:B40)</f>
        <v>0</v>
      </c>
      <c r="C41" s="28">
        <f>SUM(C12:C40)</f>
        <v>0</v>
      </c>
      <c r="D41" s="35">
        <f>SUM(D12:D40)</f>
        <v>0</v>
      </c>
    </row>
    <row r="42" spans="1:6" ht="15" customHeight="1" x14ac:dyDescent="0.25"/>
    <row r="43" spans="1:6" x14ac:dyDescent="0.25">
      <c r="A43" s="31" t="s">
        <v>94</v>
      </c>
      <c r="B43" s="146" t="s">
        <v>191</v>
      </c>
      <c r="C43" s="28" t="s">
        <v>4</v>
      </c>
      <c r="D43" s="35" t="s">
        <v>34</v>
      </c>
      <c r="E43" s="147" t="s">
        <v>192</v>
      </c>
      <c r="F43" s="35" t="s">
        <v>34</v>
      </c>
    </row>
    <row r="44" spans="1:6" x14ac:dyDescent="0.25">
      <c r="A44" s="4" t="s">
        <v>35</v>
      </c>
      <c r="B44" s="4"/>
      <c r="C44" s="4"/>
      <c r="D44" s="4">
        <f>B44-C44</f>
        <v>0</v>
      </c>
      <c r="E44" s="4"/>
      <c r="F44" s="4">
        <f>B44-E44</f>
        <v>0</v>
      </c>
    </row>
    <row r="45" spans="1:6" x14ac:dyDescent="0.25">
      <c r="A45" s="4" t="s">
        <v>36</v>
      </c>
      <c r="B45" s="4"/>
      <c r="C45" s="4"/>
      <c r="D45" s="4">
        <f>B45-C45</f>
        <v>0</v>
      </c>
      <c r="E45" s="4"/>
      <c r="F45" s="4">
        <f>B45-E45</f>
        <v>0</v>
      </c>
    </row>
    <row r="46" spans="1:6" ht="13.5" customHeight="1" x14ac:dyDescent="0.25">
      <c r="A46" s="8"/>
      <c r="B46" s="8"/>
      <c r="C46" s="8"/>
      <c r="D46" s="8"/>
    </row>
    <row r="47" spans="1:6" x14ac:dyDescent="0.25">
      <c r="A47" s="31" t="s">
        <v>193</v>
      </c>
      <c r="B47" s="146" t="s">
        <v>191</v>
      </c>
      <c r="C47" s="28" t="s">
        <v>4</v>
      </c>
      <c r="D47" s="35" t="s">
        <v>34</v>
      </c>
    </row>
    <row r="48" spans="1:6" x14ac:dyDescent="0.25">
      <c r="A48" s="4" t="s">
        <v>60</v>
      </c>
      <c r="B48" s="148"/>
      <c r="C48" s="4"/>
      <c r="D48" s="4">
        <f>B48-C48</f>
        <v>0</v>
      </c>
    </row>
    <row r="49" spans="1:19" ht="13.5" customHeight="1" x14ac:dyDescent="0.25">
      <c r="A49" s="8"/>
      <c r="B49" s="8"/>
      <c r="C49" s="8"/>
      <c r="D49" s="8"/>
    </row>
    <row r="50" spans="1:19" x14ac:dyDescent="0.25">
      <c r="A50" s="31" t="s">
        <v>16</v>
      </c>
      <c r="B50" s="146" t="s">
        <v>191</v>
      </c>
      <c r="C50" s="28" t="s">
        <v>4</v>
      </c>
      <c r="D50" s="35" t="s">
        <v>34</v>
      </c>
    </row>
    <row r="51" spans="1:19" x14ac:dyDescent="0.25">
      <c r="A51" s="6" t="s">
        <v>37</v>
      </c>
      <c r="B51" s="4"/>
      <c r="C51" s="4"/>
      <c r="D51" s="4">
        <f>B51-C51</f>
        <v>0</v>
      </c>
    </row>
    <row r="52" spans="1:19" ht="45" customHeight="1" thickBot="1" x14ac:dyDescent="0.3">
      <c r="A52" s="7"/>
      <c r="B52" s="8"/>
      <c r="C52" s="8"/>
      <c r="D52" s="8"/>
    </row>
    <row r="53" spans="1:19" x14ac:dyDescent="0.25">
      <c r="A53" s="235" t="s">
        <v>95</v>
      </c>
      <c r="B53" s="237" t="s">
        <v>191</v>
      </c>
      <c r="C53" s="237"/>
      <c r="D53" s="238" t="s">
        <v>4</v>
      </c>
      <c r="E53" s="239"/>
      <c r="F53" s="240" t="s">
        <v>34</v>
      </c>
      <c r="G53" s="240"/>
      <c r="I53" s="241" t="s">
        <v>250</v>
      </c>
      <c r="J53" s="242"/>
      <c r="K53" s="242"/>
      <c r="L53" s="242"/>
      <c r="M53" s="242"/>
      <c r="N53" s="242"/>
      <c r="O53" s="242"/>
      <c r="P53" s="242"/>
      <c r="Q53" s="242"/>
      <c r="R53" s="242"/>
      <c r="S53" s="243"/>
    </row>
    <row r="54" spans="1:19" x14ac:dyDescent="0.25">
      <c r="A54" s="236"/>
      <c r="B54" s="146" t="s">
        <v>39</v>
      </c>
      <c r="C54" s="146" t="s">
        <v>40</v>
      </c>
      <c r="D54" s="28" t="s">
        <v>39</v>
      </c>
      <c r="E54" s="28" t="s">
        <v>40</v>
      </c>
      <c r="F54" s="35" t="s">
        <v>41</v>
      </c>
      <c r="G54" s="35" t="s">
        <v>40</v>
      </c>
      <c r="I54" s="133" t="s">
        <v>170</v>
      </c>
      <c r="J54" s="120" t="s">
        <v>177</v>
      </c>
      <c r="K54" s="120" t="s">
        <v>171</v>
      </c>
      <c r="L54" s="120" t="s">
        <v>172</v>
      </c>
      <c r="M54" s="120" t="s">
        <v>173</v>
      </c>
      <c r="N54" s="120" t="s">
        <v>40</v>
      </c>
      <c r="O54" s="120" t="s">
        <v>176</v>
      </c>
      <c r="P54" s="120" t="s">
        <v>174</v>
      </c>
      <c r="Q54" s="120" t="s">
        <v>175</v>
      </c>
      <c r="R54" s="120" t="s">
        <v>184</v>
      </c>
      <c r="S54" s="134" t="s">
        <v>185</v>
      </c>
    </row>
    <row r="55" spans="1:19" s="17" customFormat="1" x14ac:dyDescent="0.25">
      <c r="A55" s="16" t="s">
        <v>59</v>
      </c>
      <c r="B55" s="11"/>
      <c r="C55" s="37"/>
      <c r="D55" s="11"/>
      <c r="E55" s="37"/>
      <c r="F55" s="6">
        <f>B55-D55</f>
        <v>0</v>
      </c>
      <c r="G55" s="13">
        <f>C55-E55</f>
        <v>0</v>
      </c>
      <c r="I55" s="141"/>
      <c r="J55" s="6"/>
      <c r="K55" s="6"/>
      <c r="L55" s="6"/>
      <c r="M55" s="6"/>
      <c r="N55" s="6"/>
      <c r="O55" s="6"/>
      <c r="P55" s="6"/>
      <c r="Q55" s="6"/>
      <c r="R55" s="6"/>
      <c r="S55" s="136"/>
    </row>
    <row r="56" spans="1:19" s="17" customFormat="1" x14ac:dyDescent="0.25">
      <c r="A56" s="16" t="s">
        <v>22</v>
      </c>
      <c r="B56" s="11"/>
      <c r="C56" s="37"/>
      <c r="D56" s="11"/>
      <c r="E56" s="37"/>
      <c r="F56" s="6">
        <f t="shared" ref="F56:G75" si="1">B56-D56</f>
        <v>0</v>
      </c>
      <c r="G56" s="13">
        <f t="shared" si="1"/>
        <v>0</v>
      </c>
      <c r="I56" s="141"/>
      <c r="J56" s="6"/>
      <c r="K56" s="6"/>
      <c r="L56" s="6"/>
      <c r="M56" s="6"/>
      <c r="N56" s="6"/>
      <c r="O56" s="6"/>
      <c r="P56" s="6"/>
      <c r="Q56" s="6"/>
      <c r="R56" s="6"/>
      <c r="S56" s="136"/>
    </row>
    <row r="57" spans="1:19" s="17" customFormat="1" x14ac:dyDescent="0.25">
      <c r="A57" s="16" t="s">
        <v>23</v>
      </c>
      <c r="B57" s="11"/>
      <c r="C57" s="37"/>
      <c r="D57" s="11"/>
      <c r="E57" s="37"/>
      <c r="F57" s="6">
        <f t="shared" si="1"/>
        <v>0</v>
      </c>
      <c r="G57" s="13">
        <f t="shared" si="1"/>
        <v>0</v>
      </c>
      <c r="I57" s="141"/>
      <c r="J57" s="6"/>
      <c r="K57" s="6"/>
      <c r="L57" s="6"/>
      <c r="M57" s="6"/>
      <c r="N57" s="6"/>
      <c r="O57" s="6"/>
      <c r="P57" s="6"/>
      <c r="Q57" s="6"/>
      <c r="R57" s="6"/>
      <c r="S57" s="136"/>
    </row>
    <row r="58" spans="1:19" s="17" customFormat="1" x14ac:dyDescent="0.25">
      <c r="A58" s="16" t="s">
        <v>100</v>
      </c>
      <c r="B58" s="11"/>
      <c r="C58" s="37"/>
      <c r="D58" s="11"/>
      <c r="E58" s="37"/>
      <c r="F58" s="6">
        <f t="shared" si="1"/>
        <v>0</v>
      </c>
      <c r="G58" s="13">
        <f t="shared" si="1"/>
        <v>0</v>
      </c>
      <c r="I58" s="141"/>
      <c r="J58" s="6"/>
      <c r="K58" s="6"/>
      <c r="L58" s="6"/>
      <c r="M58" s="6"/>
      <c r="N58" s="6"/>
      <c r="O58" s="6"/>
      <c r="P58" s="6"/>
      <c r="Q58" s="6"/>
      <c r="R58" s="6"/>
      <c r="S58" s="136"/>
    </row>
    <row r="59" spans="1:19" s="17" customFormat="1" x14ac:dyDescent="0.25">
      <c r="A59" s="16" t="s">
        <v>101</v>
      </c>
      <c r="B59" s="11"/>
      <c r="C59" s="37"/>
      <c r="D59" s="11"/>
      <c r="E59" s="37"/>
      <c r="F59" s="6">
        <f t="shared" si="1"/>
        <v>0</v>
      </c>
      <c r="G59" s="13">
        <f t="shared" si="1"/>
        <v>0</v>
      </c>
      <c r="I59" s="141"/>
      <c r="J59" s="6"/>
      <c r="K59" s="6"/>
      <c r="L59" s="6"/>
      <c r="M59" s="6"/>
      <c r="N59" s="6"/>
      <c r="O59" s="6"/>
      <c r="P59" s="6"/>
      <c r="Q59" s="6"/>
      <c r="R59" s="6"/>
      <c r="S59" s="136"/>
    </row>
    <row r="60" spans="1:19" s="17" customFormat="1" x14ac:dyDescent="0.25">
      <c r="A60" s="16" t="s">
        <v>103</v>
      </c>
      <c r="B60" s="11"/>
      <c r="C60" s="37"/>
      <c r="D60" s="11"/>
      <c r="E60" s="37"/>
      <c r="F60" s="6">
        <f t="shared" si="1"/>
        <v>0</v>
      </c>
      <c r="G60" s="13">
        <f t="shared" si="1"/>
        <v>0</v>
      </c>
      <c r="I60" s="141"/>
      <c r="J60" s="6"/>
      <c r="K60" s="6"/>
      <c r="L60" s="6"/>
      <c r="M60" s="6"/>
      <c r="N60" s="6"/>
      <c r="O60" s="6"/>
      <c r="P60" s="6"/>
      <c r="Q60" s="6"/>
      <c r="R60" s="6"/>
      <c r="S60" s="136"/>
    </row>
    <row r="61" spans="1:19" s="17" customFormat="1" x14ac:dyDescent="0.25">
      <c r="A61" s="16" t="s">
        <v>27</v>
      </c>
      <c r="B61" s="11"/>
      <c r="C61" s="37"/>
      <c r="D61" s="11"/>
      <c r="E61" s="37"/>
      <c r="F61" s="6">
        <f t="shared" si="1"/>
        <v>0</v>
      </c>
      <c r="G61" s="13">
        <f t="shared" si="1"/>
        <v>0</v>
      </c>
      <c r="I61" s="141"/>
      <c r="J61" s="6"/>
      <c r="K61" s="6"/>
      <c r="L61" s="6"/>
      <c r="M61" s="6"/>
      <c r="N61" s="6"/>
      <c r="O61" s="6"/>
      <c r="P61" s="6"/>
      <c r="Q61" s="6"/>
      <c r="R61" s="6"/>
      <c r="S61" s="136"/>
    </row>
    <row r="62" spans="1:19" x14ac:dyDescent="0.25">
      <c r="A62" s="5" t="s">
        <v>110</v>
      </c>
      <c r="B62" s="11"/>
      <c r="C62" s="37"/>
      <c r="D62" s="4"/>
      <c r="E62" s="9"/>
      <c r="F62" s="6">
        <f t="shared" si="1"/>
        <v>0</v>
      </c>
      <c r="G62" s="13">
        <f t="shared" si="1"/>
        <v>0</v>
      </c>
      <c r="I62" s="135"/>
      <c r="J62" s="4"/>
      <c r="K62" s="4"/>
      <c r="L62" s="4"/>
      <c r="M62" s="4"/>
      <c r="N62" s="4"/>
      <c r="O62" s="4"/>
      <c r="P62" s="4"/>
      <c r="Q62" s="4"/>
      <c r="R62" s="4"/>
      <c r="S62" s="137"/>
    </row>
    <row r="63" spans="1:19" x14ac:dyDescent="0.25">
      <c r="A63" s="5" t="s">
        <v>111</v>
      </c>
      <c r="B63" s="11"/>
      <c r="C63" s="37"/>
      <c r="D63" s="4"/>
      <c r="E63" s="9"/>
      <c r="F63" s="6">
        <f t="shared" si="1"/>
        <v>0</v>
      </c>
      <c r="G63" s="13">
        <f t="shared" si="1"/>
        <v>0</v>
      </c>
      <c r="I63" s="135"/>
      <c r="J63" s="4"/>
      <c r="K63" s="4"/>
      <c r="L63" s="4"/>
      <c r="M63" s="4"/>
      <c r="N63" s="4"/>
      <c r="O63" s="4"/>
      <c r="P63" s="4"/>
      <c r="Q63" s="4"/>
      <c r="R63" s="4"/>
      <c r="S63" s="137"/>
    </row>
    <row r="64" spans="1:19" x14ac:dyDescent="0.25">
      <c r="A64" s="5" t="s">
        <v>24</v>
      </c>
      <c r="B64" s="4"/>
      <c r="C64" s="9"/>
      <c r="D64" s="4"/>
      <c r="E64" s="9"/>
      <c r="F64" s="6">
        <f t="shared" si="1"/>
        <v>0</v>
      </c>
      <c r="G64" s="13">
        <f t="shared" si="1"/>
        <v>0</v>
      </c>
      <c r="I64" s="135"/>
      <c r="J64" s="4"/>
      <c r="K64" s="4"/>
      <c r="L64" s="4"/>
      <c r="M64" s="4"/>
      <c r="N64" s="4"/>
      <c r="O64" s="4"/>
      <c r="P64" s="4"/>
      <c r="Q64" s="4"/>
      <c r="R64" s="4"/>
      <c r="S64" s="137"/>
    </row>
    <row r="65" spans="1:19" ht="15.75" thickBot="1" x14ac:dyDescent="0.3">
      <c r="A65" s="5" t="s">
        <v>15</v>
      </c>
      <c r="B65" s="4"/>
      <c r="C65" s="9"/>
      <c r="D65" s="4"/>
      <c r="E65" s="9"/>
      <c r="F65" s="6">
        <f t="shared" si="1"/>
        <v>0</v>
      </c>
      <c r="G65" s="13">
        <f t="shared" si="1"/>
        <v>0</v>
      </c>
      <c r="I65" s="138"/>
      <c r="J65" s="139"/>
      <c r="K65" s="139"/>
      <c r="L65" s="139"/>
      <c r="M65" s="139"/>
      <c r="N65" s="139"/>
      <c r="O65" s="139"/>
      <c r="P65" s="139"/>
      <c r="Q65" s="139"/>
      <c r="R65" s="139"/>
      <c r="S65" s="140"/>
    </row>
    <row r="66" spans="1:19" x14ac:dyDescent="0.25">
      <c r="A66" s="5" t="s">
        <v>29</v>
      </c>
      <c r="B66" s="4"/>
      <c r="C66" s="9"/>
      <c r="D66" s="4"/>
      <c r="E66" s="9"/>
      <c r="F66" s="6">
        <f t="shared" si="1"/>
        <v>0</v>
      </c>
      <c r="G66" s="13">
        <f t="shared" si="1"/>
        <v>0</v>
      </c>
    </row>
    <row r="67" spans="1:19" x14ac:dyDescent="0.25">
      <c r="A67" s="5" t="s">
        <v>30</v>
      </c>
      <c r="B67" s="4"/>
      <c r="C67" s="9"/>
      <c r="D67" s="4"/>
      <c r="E67" s="9"/>
      <c r="F67" s="6">
        <f t="shared" si="1"/>
        <v>0</v>
      </c>
      <c r="G67" s="13">
        <f t="shared" si="1"/>
        <v>0</v>
      </c>
    </row>
    <row r="68" spans="1:19" x14ac:dyDescent="0.25">
      <c r="A68" s="5" t="s">
        <v>31</v>
      </c>
      <c r="B68" s="4"/>
      <c r="C68" s="9"/>
      <c r="D68" s="4"/>
      <c r="E68" s="9"/>
      <c r="F68" s="6">
        <f t="shared" si="1"/>
        <v>0</v>
      </c>
      <c r="G68" s="13">
        <f t="shared" si="1"/>
        <v>0</v>
      </c>
    </row>
    <row r="69" spans="1:19" x14ac:dyDescent="0.25">
      <c r="A69" s="5" t="s">
        <v>17</v>
      </c>
      <c r="B69" s="4"/>
      <c r="C69" s="9"/>
      <c r="D69" s="4"/>
      <c r="E69" s="9"/>
      <c r="F69" s="6">
        <f t="shared" si="1"/>
        <v>0</v>
      </c>
      <c r="G69" s="13">
        <f t="shared" si="1"/>
        <v>0</v>
      </c>
    </row>
    <row r="70" spans="1:19" x14ac:dyDescent="0.25">
      <c r="A70" s="5" t="s">
        <v>38</v>
      </c>
      <c r="B70" s="4"/>
      <c r="C70" s="9"/>
      <c r="D70" s="4"/>
      <c r="E70" s="9"/>
      <c r="F70" s="6">
        <f t="shared" si="1"/>
        <v>0</v>
      </c>
      <c r="G70" s="13">
        <f t="shared" si="1"/>
        <v>0</v>
      </c>
    </row>
    <row r="71" spans="1:19" x14ac:dyDescent="0.25">
      <c r="A71" s="5" t="s">
        <v>33</v>
      </c>
      <c r="B71" s="4"/>
      <c r="C71" s="9"/>
      <c r="D71" s="4"/>
      <c r="E71" s="9"/>
      <c r="F71" s="6">
        <f t="shared" si="1"/>
        <v>0</v>
      </c>
      <c r="G71" s="13">
        <f t="shared" si="1"/>
        <v>0</v>
      </c>
    </row>
    <row r="72" spans="1:19" x14ac:dyDescent="0.25">
      <c r="A72" s="5" t="s">
        <v>25</v>
      </c>
      <c r="B72" s="4"/>
      <c r="C72" s="9"/>
      <c r="D72" s="4"/>
      <c r="E72" s="9"/>
      <c r="F72" s="6">
        <f t="shared" si="1"/>
        <v>0</v>
      </c>
      <c r="G72" s="13">
        <f t="shared" si="1"/>
        <v>0</v>
      </c>
    </row>
    <row r="73" spans="1:19" x14ac:dyDescent="0.25">
      <c r="A73" s="5" t="s">
        <v>14</v>
      </c>
      <c r="B73" s="4"/>
      <c r="C73" s="9"/>
      <c r="D73" s="4"/>
      <c r="E73" s="9"/>
      <c r="F73" s="6">
        <f t="shared" si="1"/>
        <v>0</v>
      </c>
      <c r="G73" s="13">
        <f t="shared" si="1"/>
        <v>0</v>
      </c>
    </row>
    <row r="74" spans="1:19" x14ac:dyDescent="0.25">
      <c r="A74" s="5" t="s">
        <v>105</v>
      </c>
      <c r="B74" s="4"/>
      <c r="C74" s="9"/>
      <c r="D74" s="4"/>
      <c r="E74" s="9"/>
      <c r="F74" s="6">
        <f t="shared" si="1"/>
        <v>0</v>
      </c>
      <c r="G74" s="13">
        <f t="shared" si="1"/>
        <v>0</v>
      </c>
    </row>
    <row r="75" spans="1:19" x14ac:dyDescent="0.25">
      <c r="A75" s="5" t="s">
        <v>26</v>
      </c>
      <c r="B75" s="4"/>
      <c r="C75" s="9"/>
      <c r="D75" s="4"/>
      <c r="E75" s="9"/>
      <c r="F75" s="6">
        <f t="shared" si="1"/>
        <v>0</v>
      </c>
      <c r="G75" s="13">
        <f t="shared" si="1"/>
        <v>0</v>
      </c>
    </row>
    <row r="76" spans="1:19" s="20" customFormat="1" x14ac:dyDescent="0.25">
      <c r="A76" s="52" t="s">
        <v>28</v>
      </c>
      <c r="B76" s="51">
        <f>SUM(B55:B75)</f>
        <v>0</v>
      </c>
      <c r="C76" s="30">
        <f t="shared" ref="C76:G76" si="2">SUM(C55:C75)</f>
        <v>0</v>
      </c>
      <c r="D76" s="145">
        <f t="shared" si="2"/>
        <v>0</v>
      </c>
      <c r="E76" s="53">
        <f t="shared" si="2"/>
        <v>0</v>
      </c>
      <c r="F76" s="144">
        <f t="shared" si="2"/>
        <v>0</v>
      </c>
      <c r="G76" s="54">
        <f t="shared" si="2"/>
        <v>0</v>
      </c>
    </row>
    <row r="77" spans="1:19" ht="13.5" customHeight="1" x14ac:dyDescent="0.25"/>
    <row r="78" spans="1:19" x14ac:dyDescent="0.25">
      <c r="A78" s="31" t="s">
        <v>90</v>
      </c>
      <c r="B78" s="146" t="s">
        <v>191</v>
      </c>
      <c r="C78" s="28" t="s">
        <v>4</v>
      </c>
      <c r="D78" s="35" t="s">
        <v>34</v>
      </c>
    </row>
    <row r="79" spans="1:19" x14ac:dyDescent="0.25">
      <c r="A79" s="4" t="s">
        <v>42</v>
      </c>
      <c r="B79" s="4"/>
      <c r="C79" s="4"/>
      <c r="D79" s="4">
        <f>B79-C79</f>
        <v>0</v>
      </c>
    </row>
    <row r="80" spans="1:19" ht="13.5" customHeight="1" x14ac:dyDescent="0.25"/>
    <row r="81" spans="1:4" x14ac:dyDescent="0.25">
      <c r="A81" s="31" t="s">
        <v>96</v>
      </c>
      <c r="B81" s="146" t="s">
        <v>191</v>
      </c>
      <c r="C81" s="28" t="s">
        <v>4</v>
      </c>
      <c r="D81" s="35" t="s">
        <v>34</v>
      </c>
    </row>
    <row r="82" spans="1:4" x14ac:dyDescent="0.25">
      <c r="A82" s="4" t="s">
        <v>112</v>
      </c>
      <c r="B82" s="4"/>
      <c r="C82" s="4"/>
      <c r="D82" s="4">
        <f>B82-C82</f>
        <v>0</v>
      </c>
    </row>
    <row r="83" spans="1:4" x14ac:dyDescent="0.25">
      <c r="A83" s="4" t="s">
        <v>113</v>
      </c>
      <c r="B83" s="4"/>
      <c r="C83" s="4"/>
      <c r="D83" s="4">
        <f t="shared" ref="D83:D93" si="3">B83-C83</f>
        <v>0</v>
      </c>
    </row>
    <row r="84" spans="1:4" x14ac:dyDescent="0.25">
      <c r="A84" s="4" t="s">
        <v>114</v>
      </c>
      <c r="B84" s="4"/>
      <c r="C84" s="4"/>
      <c r="D84" s="4">
        <f t="shared" si="3"/>
        <v>0</v>
      </c>
    </row>
    <row r="85" spans="1:4" x14ac:dyDescent="0.25">
      <c r="A85" s="4" t="s">
        <v>18</v>
      </c>
      <c r="B85" s="4"/>
      <c r="C85" s="4"/>
      <c r="D85" s="4">
        <f t="shared" si="3"/>
        <v>0</v>
      </c>
    </row>
    <row r="86" spans="1:4" x14ac:dyDescent="0.25">
      <c r="A86" s="4" t="s">
        <v>19</v>
      </c>
      <c r="B86" s="4"/>
      <c r="C86" s="4"/>
      <c r="D86" s="4">
        <f t="shared" si="3"/>
        <v>0</v>
      </c>
    </row>
    <row r="87" spans="1:4" x14ac:dyDescent="0.25">
      <c r="A87" s="4" t="s">
        <v>20</v>
      </c>
      <c r="B87" s="4"/>
      <c r="C87" s="4"/>
      <c r="D87" s="4">
        <f t="shared" si="3"/>
        <v>0</v>
      </c>
    </row>
    <row r="88" spans="1:4" x14ac:dyDescent="0.25">
      <c r="A88" s="4" t="s">
        <v>115</v>
      </c>
      <c r="B88" s="4"/>
      <c r="C88" s="4"/>
      <c r="D88" s="4">
        <f t="shared" si="3"/>
        <v>0</v>
      </c>
    </row>
    <row r="89" spans="1:4" x14ac:dyDescent="0.25">
      <c r="A89" s="4" t="s">
        <v>116</v>
      </c>
      <c r="B89" s="4"/>
      <c r="C89" s="4"/>
      <c r="D89" s="4">
        <f t="shared" si="3"/>
        <v>0</v>
      </c>
    </row>
    <row r="90" spans="1:4" x14ac:dyDescent="0.25">
      <c r="A90" s="4" t="s">
        <v>117</v>
      </c>
      <c r="B90" s="4"/>
      <c r="C90" s="4"/>
      <c r="D90" s="4">
        <f t="shared" si="3"/>
        <v>0</v>
      </c>
    </row>
    <row r="91" spans="1:4" x14ac:dyDescent="0.25">
      <c r="A91" s="4" t="s">
        <v>118</v>
      </c>
      <c r="B91" s="4"/>
      <c r="C91" s="4"/>
      <c r="D91" s="4">
        <f t="shared" si="3"/>
        <v>0</v>
      </c>
    </row>
    <row r="92" spans="1:4" x14ac:dyDescent="0.25">
      <c r="A92" s="4" t="s">
        <v>119</v>
      </c>
      <c r="B92" s="4"/>
      <c r="C92" s="4"/>
      <c r="D92" s="4">
        <f t="shared" si="3"/>
        <v>0</v>
      </c>
    </row>
    <row r="93" spans="1:4" x14ac:dyDescent="0.25">
      <c r="A93" s="4" t="s">
        <v>120</v>
      </c>
      <c r="B93" s="4"/>
      <c r="C93" s="4"/>
      <c r="D93" s="4">
        <f t="shared" si="3"/>
        <v>0</v>
      </c>
    </row>
    <row r="94" spans="1:4" x14ac:dyDescent="0.25">
      <c r="A94" s="34" t="s">
        <v>28</v>
      </c>
      <c r="B94" s="146">
        <f>SUM(B82:B93)</f>
        <v>0</v>
      </c>
      <c r="C94" s="28">
        <f>SUM(C82:C93)</f>
        <v>0</v>
      </c>
      <c r="D94" s="35">
        <f>SUM(D82:D93)</f>
        <v>0</v>
      </c>
    </row>
    <row r="96" spans="1:4" ht="15.75" customHeight="1" thickBot="1" x14ac:dyDescent="0.3">
      <c r="A96" s="7"/>
      <c r="B96" s="7"/>
      <c r="C96" s="7"/>
      <c r="D96" s="7"/>
    </row>
    <row r="97" spans="1:29" x14ac:dyDescent="0.25">
      <c r="A97" s="227" t="s">
        <v>98</v>
      </c>
      <c r="B97" s="228" t="s">
        <v>191</v>
      </c>
      <c r="C97" s="229"/>
      <c r="D97" s="229"/>
      <c r="E97" s="230" t="s">
        <v>4</v>
      </c>
      <c r="F97" s="230"/>
      <c r="G97" s="230"/>
      <c r="H97" s="231" t="s">
        <v>34</v>
      </c>
      <c r="I97" s="231"/>
      <c r="J97" s="231"/>
      <c r="K97" s="122"/>
      <c r="L97" s="232" t="s">
        <v>251</v>
      </c>
      <c r="M97" s="233"/>
      <c r="N97" s="233"/>
      <c r="O97" s="233"/>
      <c r="P97" s="233"/>
      <c r="Q97" s="233"/>
      <c r="R97" s="233"/>
      <c r="S97" s="233"/>
      <c r="T97" s="233"/>
      <c r="U97" s="233"/>
      <c r="V97" s="233"/>
      <c r="W97" s="233"/>
      <c r="X97" s="233"/>
      <c r="Y97" s="233"/>
      <c r="Z97" s="233"/>
      <c r="AA97" s="233"/>
      <c r="AB97" s="233"/>
      <c r="AC97" s="234"/>
    </row>
    <row r="98" spans="1:29" x14ac:dyDescent="0.25">
      <c r="A98" s="227"/>
      <c r="B98" s="146" t="s">
        <v>43</v>
      </c>
      <c r="C98" s="146" t="s">
        <v>44</v>
      </c>
      <c r="D98" s="146" t="s">
        <v>45</v>
      </c>
      <c r="E98" s="145" t="s">
        <v>53</v>
      </c>
      <c r="F98" s="145" t="s">
        <v>54</v>
      </c>
      <c r="G98" s="145" t="s">
        <v>45</v>
      </c>
      <c r="H98" s="144" t="s">
        <v>53</v>
      </c>
      <c r="I98" s="144" t="s">
        <v>54</v>
      </c>
      <c r="J98" s="144" t="s">
        <v>55</v>
      </c>
      <c r="K98" s="123"/>
      <c r="L98" s="133" t="s">
        <v>179</v>
      </c>
      <c r="M98" s="120" t="s">
        <v>186</v>
      </c>
      <c r="N98" s="120" t="s">
        <v>187</v>
      </c>
      <c r="O98" s="120" t="s">
        <v>188</v>
      </c>
      <c r="P98" s="120" t="s">
        <v>180</v>
      </c>
      <c r="Q98" s="120" t="s">
        <v>181</v>
      </c>
      <c r="R98" s="120" t="s">
        <v>190</v>
      </c>
      <c r="S98" s="120" t="s">
        <v>182</v>
      </c>
      <c r="T98" s="120" t="s">
        <v>54</v>
      </c>
      <c r="U98" s="120" t="s">
        <v>55</v>
      </c>
      <c r="V98" s="120" t="s">
        <v>183</v>
      </c>
      <c r="W98" s="120" t="s">
        <v>46</v>
      </c>
      <c r="X98" s="120" t="s">
        <v>47</v>
      </c>
      <c r="Y98" s="120" t="s">
        <v>189</v>
      </c>
      <c r="Z98" s="120" t="s">
        <v>174</v>
      </c>
      <c r="AA98" s="120" t="s">
        <v>175</v>
      </c>
      <c r="AB98" s="120" t="s">
        <v>184</v>
      </c>
      <c r="AC98" s="134" t="s">
        <v>185</v>
      </c>
    </row>
    <row r="99" spans="1:29" x14ac:dyDescent="0.25">
      <c r="A99" s="4" t="s">
        <v>59</v>
      </c>
      <c r="B99" s="40"/>
      <c r="C99" s="56"/>
      <c r="D99" s="56"/>
      <c r="E99" s="40"/>
      <c r="F99" s="56"/>
      <c r="G99" s="56"/>
      <c r="H99" s="130">
        <f>B99-E99</f>
        <v>0</v>
      </c>
      <c r="I99" s="56">
        <f>C99-F99</f>
        <v>0</v>
      </c>
      <c r="J99" s="56">
        <f>D99-G99</f>
        <v>0</v>
      </c>
      <c r="K99" s="124"/>
      <c r="L99" s="135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6"/>
      <c r="AC99" s="136"/>
    </row>
    <row r="100" spans="1:29" x14ac:dyDescent="0.25">
      <c r="A100" s="4" t="s">
        <v>23</v>
      </c>
      <c r="B100" s="40"/>
      <c r="C100" s="244" t="s">
        <v>58</v>
      </c>
      <c r="D100" s="245"/>
      <c r="E100" s="40"/>
      <c r="F100" s="244"/>
      <c r="G100" s="245"/>
      <c r="H100" s="130">
        <f t="shared" ref="H100:J118" si="4">B100-E100</f>
        <v>0</v>
      </c>
      <c r="I100" s="244" t="s">
        <v>58</v>
      </c>
      <c r="J100" s="245"/>
      <c r="K100" s="124"/>
      <c r="L100" s="135"/>
      <c r="M100" s="9"/>
      <c r="N100" s="4"/>
      <c r="O100" s="4"/>
      <c r="P100" s="4"/>
      <c r="Q100" s="4"/>
      <c r="R100" s="4"/>
      <c r="S100" s="4"/>
      <c r="T100" s="4"/>
      <c r="U100" s="9"/>
      <c r="V100" s="9"/>
      <c r="W100" s="9"/>
      <c r="X100" s="9"/>
      <c r="Y100" s="9"/>
      <c r="Z100" s="9"/>
      <c r="AA100" s="9"/>
      <c r="AB100" s="6"/>
      <c r="AC100" s="136"/>
    </row>
    <row r="101" spans="1:29" x14ac:dyDescent="0.25">
      <c r="A101" s="4" t="s">
        <v>100</v>
      </c>
      <c r="B101" s="40"/>
      <c r="C101" s="56"/>
      <c r="D101" s="56"/>
      <c r="E101" s="40"/>
      <c r="F101" s="56"/>
      <c r="G101" s="56"/>
      <c r="H101" s="130">
        <f t="shared" si="4"/>
        <v>0</v>
      </c>
      <c r="I101" s="56">
        <f t="shared" si="4"/>
        <v>0</v>
      </c>
      <c r="J101" s="56">
        <f t="shared" si="4"/>
        <v>0</v>
      </c>
      <c r="K101" s="124"/>
      <c r="L101" s="135"/>
      <c r="M101" s="9"/>
      <c r="N101" s="4"/>
      <c r="O101" s="4"/>
      <c r="P101" s="4"/>
      <c r="Q101" s="4"/>
      <c r="R101" s="4"/>
      <c r="S101" s="4"/>
      <c r="T101" s="4"/>
      <c r="U101" s="9"/>
      <c r="V101" s="9"/>
      <c r="W101" s="9"/>
      <c r="X101" s="9"/>
      <c r="Y101" s="9"/>
      <c r="Z101" s="9"/>
      <c r="AA101" s="9"/>
      <c r="AB101" s="6"/>
      <c r="AC101" s="136"/>
    </row>
    <row r="102" spans="1:29" s="14" customFormat="1" x14ac:dyDescent="0.25">
      <c r="A102" s="4" t="s">
        <v>102</v>
      </c>
      <c r="B102" s="40"/>
      <c r="C102" s="56"/>
      <c r="D102" s="56"/>
      <c r="E102" s="40"/>
      <c r="F102" s="56"/>
      <c r="G102" s="56"/>
      <c r="H102" s="130">
        <f t="shared" si="4"/>
        <v>0</v>
      </c>
      <c r="I102" s="56">
        <f t="shared" si="4"/>
        <v>0</v>
      </c>
      <c r="J102" s="56">
        <f t="shared" si="4"/>
        <v>0</v>
      </c>
      <c r="K102" s="125"/>
      <c r="L102" s="141"/>
      <c r="M102" s="13"/>
      <c r="N102" s="6"/>
      <c r="O102" s="6"/>
      <c r="P102" s="6"/>
      <c r="Q102" s="6"/>
      <c r="R102" s="6"/>
      <c r="S102" s="6"/>
      <c r="T102" s="6"/>
      <c r="U102" s="13"/>
      <c r="V102" s="13"/>
      <c r="W102" s="13"/>
      <c r="X102" s="13"/>
      <c r="Y102" s="13"/>
      <c r="Z102" s="13"/>
      <c r="AA102" s="13"/>
      <c r="AB102" s="132"/>
      <c r="AC102" s="143"/>
    </row>
    <row r="103" spans="1:29" x14ac:dyDescent="0.25">
      <c r="A103" s="4" t="s">
        <v>27</v>
      </c>
      <c r="B103" s="40"/>
      <c r="C103" s="56"/>
      <c r="D103" s="56"/>
      <c r="E103" s="40"/>
      <c r="F103" s="56"/>
      <c r="G103" s="56"/>
      <c r="H103" s="130">
        <f t="shared" si="4"/>
        <v>0</v>
      </c>
      <c r="I103" s="56">
        <f t="shared" si="4"/>
        <v>0</v>
      </c>
      <c r="J103" s="56">
        <f t="shared" si="4"/>
        <v>0</v>
      </c>
      <c r="K103" s="126"/>
      <c r="L103" s="135"/>
      <c r="M103" s="9"/>
      <c r="N103" s="4"/>
      <c r="O103" s="4"/>
      <c r="P103" s="4"/>
      <c r="Q103" s="4"/>
      <c r="R103" s="4"/>
      <c r="S103" s="4"/>
      <c r="T103" s="4"/>
      <c r="U103" s="9"/>
      <c r="V103" s="9"/>
      <c r="W103" s="9"/>
      <c r="X103" s="9"/>
      <c r="Y103" s="9"/>
      <c r="Z103" s="9"/>
      <c r="AA103" s="9"/>
      <c r="AB103" s="6"/>
      <c r="AC103" s="136"/>
    </row>
    <row r="104" spans="1:29" x14ac:dyDescent="0.25">
      <c r="A104" s="4" t="s">
        <v>110</v>
      </c>
      <c r="B104" s="40"/>
      <c r="C104" s="56"/>
      <c r="D104" s="56"/>
      <c r="E104" s="40"/>
      <c r="F104" s="56"/>
      <c r="G104" s="56"/>
      <c r="H104" s="130">
        <f t="shared" si="4"/>
        <v>0</v>
      </c>
      <c r="I104" s="56">
        <f t="shared" si="4"/>
        <v>0</v>
      </c>
      <c r="J104" s="56">
        <f t="shared" si="4"/>
        <v>0</v>
      </c>
      <c r="K104" s="121"/>
      <c r="L104" s="135"/>
      <c r="M104" s="9"/>
      <c r="N104" s="4"/>
      <c r="O104" s="4"/>
      <c r="P104" s="4"/>
      <c r="Q104" s="4"/>
      <c r="R104" s="4"/>
      <c r="S104" s="4"/>
      <c r="T104" s="4"/>
      <c r="U104" s="9"/>
      <c r="V104" s="9"/>
      <c r="W104" s="9"/>
      <c r="X104" s="9"/>
      <c r="Y104" s="9"/>
      <c r="Z104" s="9"/>
      <c r="AA104" s="9"/>
      <c r="AB104" s="6"/>
      <c r="AC104" s="136"/>
    </row>
    <row r="105" spans="1:29" x14ac:dyDescent="0.25">
      <c r="A105" s="4" t="s">
        <v>24</v>
      </c>
      <c r="B105" s="40"/>
      <c r="C105" s="56"/>
      <c r="D105" s="56"/>
      <c r="E105" s="40"/>
      <c r="F105" s="56"/>
      <c r="G105" s="56"/>
      <c r="H105" s="130">
        <f t="shared" si="4"/>
        <v>0</v>
      </c>
      <c r="I105" s="56">
        <f t="shared" si="4"/>
        <v>0</v>
      </c>
      <c r="J105" s="56">
        <f t="shared" si="4"/>
        <v>0</v>
      </c>
      <c r="K105" s="121"/>
      <c r="L105" s="135"/>
      <c r="M105" s="9"/>
      <c r="N105" s="4"/>
      <c r="O105" s="4"/>
      <c r="P105" s="4"/>
      <c r="Q105" s="4"/>
      <c r="R105" s="4"/>
      <c r="S105" s="4"/>
      <c r="T105" s="4"/>
      <c r="U105" s="9"/>
      <c r="V105" s="9"/>
      <c r="W105" s="9"/>
      <c r="X105" s="9"/>
      <c r="Y105" s="9"/>
      <c r="Z105" s="9"/>
      <c r="AA105" s="9"/>
      <c r="AB105" s="6"/>
      <c r="AC105" s="136"/>
    </row>
    <row r="106" spans="1:29" x14ac:dyDescent="0.25">
      <c r="A106" s="4" t="s">
        <v>29</v>
      </c>
      <c r="B106" s="40"/>
      <c r="C106" s="56"/>
      <c r="D106" s="56"/>
      <c r="E106" s="40"/>
      <c r="F106" s="56"/>
      <c r="G106" s="56"/>
      <c r="H106" s="130">
        <f t="shared" si="4"/>
        <v>0</v>
      </c>
      <c r="I106" s="56">
        <f t="shared" si="4"/>
        <v>0</v>
      </c>
      <c r="J106" s="56">
        <f t="shared" si="4"/>
        <v>0</v>
      </c>
      <c r="K106" s="121"/>
      <c r="L106" s="135"/>
      <c r="M106" s="9"/>
      <c r="N106" s="4"/>
      <c r="O106" s="4"/>
      <c r="P106" s="4"/>
      <c r="Q106" s="4"/>
      <c r="R106" s="4"/>
      <c r="S106" s="4"/>
      <c r="T106" s="4"/>
      <c r="U106" s="9"/>
      <c r="V106" s="9"/>
      <c r="W106" s="9"/>
      <c r="X106" s="9"/>
      <c r="Y106" s="9"/>
      <c r="Z106" s="9"/>
      <c r="AA106" s="9"/>
      <c r="AB106" s="4"/>
      <c r="AC106" s="137"/>
    </row>
    <row r="107" spans="1:29" x14ac:dyDescent="0.25">
      <c r="A107" s="4" t="s">
        <v>30</v>
      </c>
      <c r="B107" s="40"/>
      <c r="C107" s="56"/>
      <c r="D107" s="56"/>
      <c r="E107" s="40"/>
      <c r="F107" s="56"/>
      <c r="G107" s="56"/>
      <c r="H107" s="130">
        <f t="shared" si="4"/>
        <v>0</v>
      </c>
      <c r="I107" s="56">
        <f t="shared" si="4"/>
        <v>0</v>
      </c>
      <c r="J107" s="56">
        <f t="shared" si="4"/>
        <v>0</v>
      </c>
      <c r="K107" s="121"/>
      <c r="L107" s="135"/>
      <c r="M107" s="9"/>
      <c r="N107" s="4"/>
      <c r="O107" s="4"/>
      <c r="P107" s="4"/>
      <c r="Q107" s="4"/>
      <c r="R107" s="4"/>
      <c r="S107" s="4"/>
      <c r="T107" s="4"/>
      <c r="U107" s="9"/>
      <c r="V107" s="9"/>
      <c r="W107" s="9"/>
      <c r="X107" s="9"/>
      <c r="Y107" s="9"/>
      <c r="Z107" s="9"/>
      <c r="AA107" s="9"/>
      <c r="AB107" s="4"/>
      <c r="AC107" s="137"/>
    </row>
    <row r="108" spans="1:29" x14ac:dyDescent="0.25">
      <c r="A108" s="4" t="s">
        <v>31</v>
      </c>
      <c r="B108" s="40"/>
      <c r="C108" s="56"/>
      <c r="D108" s="56"/>
      <c r="E108" s="40"/>
      <c r="F108" s="56"/>
      <c r="G108" s="56"/>
      <c r="H108" s="130">
        <f t="shared" si="4"/>
        <v>0</v>
      </c>
      <c r="I108" s="56">
        <f t="shared" si="4"/>
        <v>0</v>
      </c>
      <c r="J108" s="56">
        <f t="shared" si="4"/>
        <v>0</v>
      </c>
      <c r="K108" s="121"/>
      <c r="L108" s="135"/>
      <c r="M108" s="9"/>
      <c r="N108" s="4"/>
      <c r="O108" s="4"/>
      <c r="P108" s="4"/>
      <c r="Q108" s="4"/>
      <c r="R108" s="4"/>
      <c r="S108" s="4"/>
      <c r="T108" s="4"/>
      <c r="U108" s="9"/>
      <c r="V108" s="9"/>
      <c r="W108" s="9"/>
      <c r="X108" s="9"/>
      <c r="Y108" s="9"/>
      <c r="Z108" s="9"/>
      <c r="AA108" s="9"/>
      <c r="AB108" s="4"/>
      <c r="AC108" s="137"/>
    </row>
    <row r="109" spans="1:29" ht="15.75" thickBot="1" x14ac:dyDescent="0.3">
      <c r="A109" s="12" t="s">
        <v>17</v>
      </c>
      <c r="B109" s="128"/>
      <c r="C109" s="56"/>
      <c r="D109" s="129"/>
      <c r="E109" s="40"/>
      <c r="F109" s="56"/>
      <c r="G109" s="56"/>
      <c r="H109" s="130">
        <f t="shared" si="4"/>
        <v>0</v>
      </c>
      <c r="I109" s="56">
        <f t="shared" si="4"/>
        <v>0</v>
      </c>
      <c r="J109" s="56">
        <f t="shared" si="4"/>
        <v>0</v>
      </c>
      <c r="K109" s="121"/>
      <c r="L109" s="138"/>
      <c r="M109" s="142"/>
      <c r="N109" s="139"/>
      <c r="O109" s="139"/>
      <c r="P109" s="139"/>
      <c r="Q109" s="139"/>
      <c r="R109" s="139"/>
      <c r="S109" s="139"/>
      <c r="T109" s="139"/>
      <c r="U109" s="142"/>
      <c r="V109" s="142"/>
      <c r="W109" s="142"/>
      <c r="X109" s="142"/>
      <c r="Y109" s="142"/>
      <c r="Z109" s="142"/>
      <c r="AA109" s="142"/>
      <c r="AB109" s="139"/>
      <c r="AC109" s="140"/>
    </row>
    <row r="110" spans="1:29" x14ac:dyDescent="0.25">
      <c r="A110" s="4" t="s">
        <v>104</v>
      </c>
      <c r="B110" s="40"/>
      <c r="C110" s="56"/>
      <c r="D110" s="56"/>
      <c r="E110" s="40"/>
      <c r="F110" s="56"/>
      <c r="G110" s="56"/>
      <c r="H110" s="130">
        <f t="shared" si="4"/>
        <v>0</v>
      </c>
      <c r="I110" s="56">
        <f t="shared" si="4"/>
        <v>0</v>
      </c>
      <c r="J110" s="56">
        <f t="shared" si="4"/>
        <v>0</v>
      </c>
      <c r="K110" s="121"/>
    </row>
    <row r="111" spans="1:29" x14ac:dyDescent="0.25">
      <c r="A111" s="4" t="s">
        <v>38</v>
      </c>
      <c r="B111" s="40"/>
      <c r="C111" s="56"/>
      <c r="D111" s="56"/>
      <c r="E111" s="40"/>
      <c r="F111" s="56"/>
      <c r="G111" s="56"/>
      <c r="H111" s="130">
        <f t="shared" si="4"/>
        <v>0</v>
      </c>
      <c r="I111" s="56">
        <f t="shared" si="4"/>
        <v>0</v>
      </c>
      <c r="J111" s="56">
        <f t="shared" si="4"/>
        <v>0</v>
      </c>
      <c r="K111" s="121"/>
    </row>
    <row r="112" spans="1:29" x14ac:dyDescent="0.25">
      <c r="A112" s="4" t="s">
        <v>33</v>
      </c>
      <c r="B112" s="40"/>
      <c r="C112" s="56"/>
      <c r="D112" s="56"/>
      <c r="E112" s="40"/>
      <c r="F112" s="56"/>
      <c r="G112" s="56"/>
      <c r="H112" s="130">
        <f t="shared" si="4"/>
        <v>0</v>
      </c>
      <c r="I112" s="56">
        <f t="shared" si="4"/>
        <v>0</v>
      </c>
      <c r="J112" s="56">
        <f t="shared" si="4"/>
        <v>0</v>
      </c>
      <c r="K112" s="121"/>
    </row>
    <row r="113" spans="1:11" x14ac:dyDescent="0.25">
      <c r="A113" s="4" t="s">
        <v>25</v>
      </c>
      <c r="B113" s="40"/>
      <c r="C113" s="56"/>
      <c r="D113" s="56"/>
      <c r="E113" s="40"/>
      <c r="F113" s="56"/>
      <c r="G113" s="56"/>
      <c r="H113" s="130">
        <f t="shared" si="4"/>
        <v>0</v>
      </c>
      <c r="I113" s="56">
        <f t="shared" si="4"/>
        <v>0</v>
      </c>
      <c r="J113" s="56">
        <f t="shared" si="4"/>
        <v>0</v>
      </c>
      <c r="K113" s="121"/>
    </row>
    <row r="114" spans="1:11" x14ac:dyDescent="0.25">
      <c r="A114" s="4" t="s">
        <v>122</v>
      </c>
      <c r="B114" s="40"/>
      <c r="C114" s="56"/>
      <c r="D114" s="56"/>
      <c r="E114" s="40"/>
      <c r="F114" s="56"/>
      <c r="G114" s="56"/>
      <c r="H114" s="130">
        <f t="shared" si="4"/>
        <v>0</v>
      </c>
      <c r="I114" s="56">
        <f t="shared" si="4"/>
        <v>0</v>
      </c>
      <c r="J114" s="56">
        <f t="shared" si="4"/>
        <v>0</v>
      </c>
      <c r="K114" s="121"/>
    </row>
    <row r="115" spans="1:11" x14ac:dyDescent="0.25">
      <c r="A115" s="4" t="s">
        <v>123</v>
      </c>
      <c r="B115" s="40"/>
      <c r="C115" s="56"/>
      <c r="D115" s="56"/>
      <c r="E115" s="40"/>
      <c r="F115" s="56"/>
      <c r="G115" s="56"/>
      <c r="H115" s="130">
        <f t="shared" si="4"/>
        <v>0</v>
      </c>
      <c r="I115" s="56">
        <f t="shared" si="4"/>
        <v>0</v>
      </c>
      <c r="J115" s="56">
        <f t="shared" si="4"/>
        <v>0</v>
      </c>
      <c r="K115" s="121"/>
    </row>
    <row r="116" spans="1:11" x14ac:dyDescent="0.25">
      <c r="A116" s="4" t="s">
        <v>108</v>
      </c>
      <c r="B116" s="40"/>
      <c r="C116" s="56"/>
      <c r="D116" s="56"/>
      <c r="E116" s="40"/>
      <c r="F116" s="56"/>
      <c r="G116" s="56"/>
      <c r="H116" s="130">
        <f t="shared" si="4"/>
        <v>0</v>
      </c>
      <c r="I116" s="56">
        <f t="shared" si="4"/>
        <v>0</v>
      </c>
      <c r="J116" s="56">
        <f t="shared" si="4"/>
        <v>0</v>
      </c>
      <c r="K116" s="121"/>
    </row>
    <row r="117" spans="1:11" x14ac:dyDescent="0.25">
      <c r="A117" s="4" t="s">
        <v>26</v>
      </c>
      <c r="B117" s="40"/>
      <c r="C117" s="56"/>
      <c r="D117" s="56"/>
      <c r="E117" s="40"/>
      <c r="F117" s="56"/>
      <c r="G117" s="56"/>
      <c r="H117" s="130">
        <f t="shared" si="4"/>
        <v>0</v>
      </c>
      <c r="I117" s="56">
        <f t="shared" si="4"/>
        <v>0</v>
      </c>
      <c r="J117" s="56">
        <f t="shared" si="4"/>
        <v>0</v>
      </c>
      <c r="K117" s="121"/>
    </row>
    <row r="118" spans="1:11" x14ac:dyDescent="0.25">
      <c r="A118" s="4" t="s">
        <v>109</v>
      </c>
      <c r="B118" s="40"/>
      <c r="C118" s="56"/>
      <c r="D118" s="56"/>
      <c r="E118" s="40"/>
      <c r="F118" s="56"/>
      <c r="G118" s="56"/>
      <c r="H118" s="130">
        <f t="shared" si="4"/>
        <v>0</v>
      </c>
      <c r="I118" s="56">
        <f t="shared" si="4"/>
        <v>0</v>
      </c>
      <c r="J118" s="56">
        <f t="shared" si="4"/>
        <v>0</v>
      </c>
      <c r="K118" s="121"/>
    </row>
    <row r="119" spans="1:11" x14ac:dyDescent="0.25">
      <c r="A119" s="34" t="s">
        <v>28</v>
      </c>
      <c r="B119" s="146">
        <f t="shared" ref="B119:J119" si="5">SUM(B99:B118)</f>
        <v>0</v>
      </c>
      <c r="C119" s="30">
        <f t="shared" si="5"/>
        <v>0</v>
      </c>
      <c r="D119" s="30">
        <f t="shared" si="5"/>
        <v>0</v>
      </c>
      <c r="E119" s="145">
        <f t="shared" si="5"/>
        <v>0</v>
      </c>
      <c r="F119" s="53">
        <f t="shared" si="5"/>
        <v>0</v>
      </c>
      <c r="G119" s="53">
        <f t="shared" si="5"/>
        <v>0</v>
      </c>
      <c r="H119" s="131">
        <f t="shared" si="5"/>
        <v>0</v>
      </c>
      <c r="I119" s="54">
        <f t="shared" si="5"/>
        <v>0</v>
      </c>
      <c r="J119" s="54">
        <f t="shared" si="5"/>
        <v>0</v>
      </c>
      <c r="K119" s="121"/>
    </row>
    <row r="120" spans="1:11" x14ac:dyDescent="0.25">
      <c r="K120" s="125"/>
    </row>
    <row r="121" spans="1:11" ht="15" customHeight="1" x14ac:dyDescent="0.25">
      <c r="A121" s="32" t="s">
        <v>97</v>
      </c>
      <c r="B121" s="146" t="s">
        <v>191</v>
      </c>
      <c r="C121" s="146"/>
      <c r="D121" s="246" t="s">
        <v>4</v>
      </c>
      <c r="E121" s="247"/>
      <c r="F121" s="248" t="s">
        <v>34</v>
      </c>
      <c r="G121" s="249"/>
      <c r="H121" s="250" t="s">
        <v>194</v>
      </c>
      <c r="I121" s="251"/>
      <c r="J121" s="248" t="s">
        <v>34</v>
      </c>
      <c r="K121" s="249"/>
    </row>
    <row r="122" spans="1:11" x14ac:dyDescent="0.25">
      <c r="A122" s="32"/>
      <c r="B122" s="146" t="s">
        <v>40</v>
      </c>
      <c r="C122" s="146" t="s">
        <v>57</v>
      </c>
      <c r="D122" s="29" t="s">
        <v>56</v>
      </c>
      <c r="E122" s="28" t="s">
        <v>53</v>
      </c>
      <c r="F122" s="35" t="s">
        <v>40</v>
      </c>
      <c r="G122" s="35" t="s">
        <v>39</v>
      </c>
      <c r="H122" s="147" t="s">
        <v>195</v>
      </c>
      <c r="I122" s="147" t="s">
        <v>39</v>
      </c>
      <c r="J122" s="35" t="s">
        <v>40</v>
      </c>
      <c r="K122" s="35" t="s">
        <v>39</v>
      </c>
    </row>
    <row r="123" spans="1:11" x14ac:dyDescent="0.25">
      <c r="A123" s="4" t="s">
        <v>22</v>
      </c>
      <c r="B123" s="9"/>
      <c r="C123" s="4"/>
      <c r="D123" s="38"/>
      <c r="E123" s="4"/>
      <c r="F123" s="149">
        <f>B123-D123</f>
        <v>0</v>
      </c>
      <c r="G123" s="150">
        <f>C123-E123</f>
        <v>0</v>
      </c>
      <c r="H123" s="4"/>
      <c r="I123" s="4"/>
      <c r="J123" s="149">
        <f>B123-H123</f>
        <v>0</v>
      </c>
      <c r="K123" s="150">
        <f>C123-I123</f>
        <v>0</v>
      </c>
    </row>
    <row r="124" spans="1:11" x14ac:dyDescent="0.25">
      <c r="A124" s="4" t="s">
        <v>23</v>
      </c>
      <c r="B124" s="9"/>
      <c r="C124" s="4"/>
      <c r="D124" s="38"/>
      <c r="E124" s="4"/>
      <c r="F124" s="149">
        <f t="shared" ref="F124:G133" si="6">B124-D124</f>
        <v>0</v>
      </c>
      <c r="G124" s="150">
        <f t="shared" si="6"/>
        <v>0</v>
      </c>
      <c r="H124" s="4"/>
      <c r="I124" s="4"/>
      <c r="J124" s="149">
        <f t="shared" ref="J124:K133" si="7">B124-H124</f>
        <v>0</v>
      </c>
      <c r="K124" s="150">
        <f t="shared" si="7"/>
        <v>0</v>
      </c>
    </row>
    <row r="125" spans="1:11" x14ac:dyDescent="0.25">
      <c r="A125" s="4" t="s">
        <v>102</v>
      </c>
      <c r="B125" s="9"/>
      <c r="C125" s="4"/>
      <c r="D125" s="38"/>
      <c r="E125" s="4"/>
      <c r="F125" s="149">
        <f t="shared" si="6"/>
        <v>0</v>
      </c>
      <c r="G125" s="150">
        <f t="shared" si="6"/>
        <v>0</v>
      </c>
      <c r="H125" s="4"/>
      <c r="I125" s="4"/>
      <c r="J125" s="149">
        <f t="shared" si="7"/>
        <v>0</v>
      </c>
      <c r="K125" s="150">
        <f t="shared" si="7"/>
        <v>0</v>
      </c>
    </row>
    <row r="126" spans="1:11" x14ac:dyDescent="0.25">
      <c r="A126" s="4" t="s">
        <v>27</v>
      </c>
      <c r="B126" s="9"/>
      <c r="C126" s="4"/>
      <c r="D126" s="38"/>
      <c r="E126" s="4"/>
      <c r="F126" s="149">
        <f t="shared" si="6"/>
        <v>0</v>
      </c>
      <c r="G126" s="150">
        <f t="shared" si="6"/>
        <v>0</v>
      </c>
      <c r="H126" s="4"/>
      <c r="I126" s="4"/>
      <c r="J126" s="149">
        <f t="shared" si="7"/>
        <v>0</v>
      </c>
      <c r="K126" s="150">
        <f t="shared" si="7"/>
        <v>0</v>
      </c>
    </row>
    <row r="127" spans="1:11" x14ac:dyDescent="0.25">
      <c r="A127" s="4" t="s">
        <v>15</v>
      </c>
      <c r="B127" s="9"/>
      <c r="C127" s="4"/>
      <c r="D127" s="38"/>
      <c r="E127" s="4"/>
      <c r="F127" s="149">
        <f t="shared" si="6"/>
        <v>0</v>
      </c>
      <c r="G127" s="150">
        <f t="shared" si="6"/>
        <v>0</v>
      </c>
      <c r="H127" s="4"/>
      <c r="I127" s="4"/>
      <c r="J127" s="149">
        <f t="shared" si="7"/>
        <v>0</v>
      </c>
      <c r="K127" s="150">
        <f t="shared" si="7"/>
        <v>0</v>
      </c>
    </row>
    <row r="128" spans="1:11" x14ac:dyDescent="0.25">
      <c r="A128" s="4" t="s">
        <v>31</v>
      </c>
      <c r="B128" s="9"/>
      <c r="C128" s="4"/>
      <c r="D128" s="38"/>
      <c r="E128" s="4"/>
      <c r="F128" s="149">
        <f t="shared" si="6"/>
        <v>0</v>
      </c>
      <c r="G128" s="150">
        <f t="shared" si="6"/>
        <v>0</v>
      </c>
      <c r="H128" s="4"/>
      <c r="I128" s="4"/>
      <c r="J128" s="149">
        <f t="shared" si="7"/>
        <v>0</v>
      </c>
      <c r="K128" s="150">
        <f t="shared" si="7"/>
        <v>0</v>
      </c>
    </row>
    <row r="129" spans="1:12" x14ac:dyDescent="0.25">
      <c r="A129" s="4" t="s">
        <v>17</v>
      </c>
      <c r="B129" s="9"/>
      <c r="C129" s="4"/>
      <c r="D129" s="38"/>
      <c r="E129" s="4"/>
      <c r="F129" s="149">
        <f t="shared" si="6"/>
        <v>0</v>
      </c>
      <c r="G129" s="150">
        <f t="shared" si="6"/>
        <v>0</v>
      </c>
      <c r="H129" s="4"/>
      <c r="I129" s="4"/>
      <c r="J129" s="149">
        <f t="shared" si="7"/>
        <v>0</v>
      </c>
      <c r="K129" s="150">
        <f t="shared" si="7"/>
        <v>0</v>
      </c>
    </row>
    <row r="130" spans="1:12" x14ac:dyDescent="0.25">
      <c r="A130" s="4" t="s">
        <v>32</v>
      </c>
      <c r="B130" s="9"/>
      <c r="C130" s="4"/>
      <c r="D130" s="38"/>
      <c r="E130" s="4"/>
      <c r="F130" s="149">
        <f t="shared" si="6"/>
        <v>0</v>
      </c>
      <c r="G130" s="150">
        <f t="shared" si="6"/>
        <v>0</v>
      </c>
      <c r="H130" s="4"/>
      <c r="I130" s="4"/>
      <c r="J130" s="149">
        <f t="shared" si="7"/>
        <v>0</v>
      </c>
      <c r="K130" s="150">
        <f t="shared" si="7"/>
        <v>0</v>
      </c>
    </row>
    <row r="131" spans="1:12" x14ac:dyDescent="0.25">
      <c r="A131" s="4" t="s">
        <v>33</v>
      </c>
      <c r="B131" s="9"/>
      <c r="C131" s="4"/>
      <c r="D131" s="38"/>
      <c r="E131" s="4"/>
      <c r="F131" s="149">
        <f t="shared" si="6"/>
        <v>0</v>
      </c>
      <c r="G131" s="150">
        <f t="shared" si="6"/>
        <v>0</v>
      </c>
      <c r="H131" s="4"/>
      <c r="I131" s="4"/>
      <c r="J131" s="149">
        <f t="shared" si="7"/>
        <v>0</v>
      </c>
      <c r="K131" s="150">
        <f t="shared" si="7"/>
        <v>0</v>
      </c>
    </row>
    <row r="132" spans="1:12" x14ac:dyDescent="0.25">
      <c r="A132" s="4" t="s">
        <v>14</v>
      </c>
      <c r="B132" s="9"/>
      <c r="C132" s="4"/>
      <c r="D132" s="38"/>
      <c r="E132" s="4"/>
      <c r="F132" s="149">
        <f t="shared" si="6"/>
        <v>0</v>
      </c>
      <c r="G132" s="150">
        <f t="shared" si="6"/>
        <v>0</v>
      </c>
      <c r="H132" s="4"/>
      <c r="I132" s="4"/>
      <c r="J132" s="149">
        <f t="shared" si="7"/>
        <v>0</v>
      </c>
      <c r="K132" s="150">
        <f t="shared" si="7"/>
        <v>0</v>
      </c>
    </row>
    <row r="133" spans="1:12" x14ac:dyDescent="0.25">
      <c r="A133" s="4" t="s">
        <v>121</v>
      </c>
      <c r="B133" s="9"/>
      <c r="C133" s="4"/>
      <c r="D133" s="38"/>
      <c r="E133" s="4"/>
      <c r="F133" s="149">
        <f t="shared" si="6"/>
        <v>0</v>
      </c>
      <c r="G133" s="150">
        <f t="shared" si="6"/>
        <v>0</v>
      </c>
      <c r="H133" s="4"/>
      <c r="I133" s="4"/>
      <c r="J133" s="149">
        <f t="shared" si="7"/>
        <v>0</v>
      </c>
      <c r="K133" s="150">
        <f t="shared" si="7"/>
        <v>0</v>
      </c>
    </row>
    <row r="134" spans="1:12" x14ac:dyDescent="0.25">
      <c r="A134" s="34" t="s">
        <v>28</v>
      </c>
      <c r="B134" s="30">
        <f t="shared" ref="B134:E134" si="8">SUM(B123:B133)</f>
        <v>0</v>
      </c>
      <c r="C134" s="146">
        <f t="shared" si="8"/>
        <v>0</v>
      </c>
      <c r="D134" s="55">
        <f t="shared" si="8"/>
        <v>0</v>
      </c>
      <c r="E134" s="28">
        <f t="shared" si="8"/>
        <v>0</v>
      </c>
      <c r="F134" s="36">
        <f t="shared" ref="F134:K134" si="9">SUM(F123:F133)</f>
        <v>0</v>
      </c>
      <c r="G134" s="151">
        <f t="shared" si="9"/>
        <v>0</v>
      </c>
      <c r="H134" s="147">
        <f t="shared" si="9"/>
        <v>0</v>
      </c>
      <c r="I134" s="147">
        <f t="shared" si="9"/>
        <v>0</v>
      </c>
      <c r="J134" s="36">
        <f t="shared" si="9"/>
        <v>0</v>
      </c>
      <c r="K134" s="151">
        <f t="shared" si="9"/>
        <v>0</v>
      </c>
    </row>
    <row r="135" spans="1:12" x14ac:dyDescent="0.25">
      <c r="K135" s="125"/>
    </row>
    <row r="136" spans="1:12" ht="18.75" customHeight="1" x14ac:dyDescent="0.25">
      <c r="A136" s="31" t="s">
        <v>99</v>
      </c>
      <c r="B136" s="146" t="s">
        <v>191</v>
      </c>
      <c r="C136" s="33" t="s">
        <v>4</v>
      </c>
      <c r="D136" s="35" t="s">
        <v>34</v>
      </c>
      <c r="L136" s="127"/>
    </row>
    <row r="137" spans="1:12" x14ac:dyDescent="0.25">
      <c r="A137" s="31" t="s">
        <v>178</v>
      </c>
      <c r="B137" s="49"/>
      <c r="C137" s="49"/>
      <c r="D137" s="49">
        <f>B137-C137</f>
        <v>0</v>
      </c>
    </row>
    <row r="138" spans="1:12" x14ac:dyDescent="0.25">
      <c r="A138" s="8"/>
      <c r="B138" s="8"/>
      <c r="C138" s="8"/>
      <c r="D138" s="8"/>
      <c r="E138" s="8"/>
      <c r="F138" s="8"/>
    </row>
    <row r="139" spans="1:12" x14ac:dyDescent="0.25">
      <c r="A139" s="252" t="s">
        <v>196</v>
      </c>
      <c r="B139" s="254" t="s">
        <v>191</v>
      </c>
      <c r="C139" s="230" t="s">
        <v>4</v>
      </c>
      <c r="D139" s="231" t="s">
        <v>34</v>
      </c>
      <c r="E139" s="8"/>
      <c r="F139" s="8"/>
    </row>
    <row r="140" spans="1:12" x14ac:dyDescent="0.25">
      <c r="A140" s="253"/>
      <c r="B140" s="254"/>
      <c r="C140" s="230"/>
      <c r="D140" s="231"/>
      <c r="E140" s="8"/>
      <c r="F140" s="8"/>
    </row>
    <row r="141" spans="1:12" x14ac:dyDescent="0.25">
      <c r="A141" s="152" t="s">
        <v>197</v>
      </c>
      <c r="B141" s="153"/>
      <c r="C141" s="153"/>
      <c r="D141" s="152">
        <f>B141-C141</f>
        <v>0</v>
      </c>
      <c r="E141" s="8"/>
      <c r="F141" s="8"/>
    </row>
    <row r="142" spans="1:12" x14ac:dyDescent="0.25">
      <c r="A142" s="152" t="s">
        <v>198</v>
      </c>
      <c r="B142" s="153"/>
      <c r="C142" s="153"/>
      <c r="D142" s="152">
        <f t="shared" ref="D142:D144" si="10">B142-C142</f>
        <v>0</v>
      </c>
      <c r="E142" s="8"/>
      <c r="F142" s="8"/>
    </row>
    <row r="143" spans="1:12" x14ac:dyDescent="0.25">
      <c r="A143" s="152" t="s">
        <v>199</v>
      </c>
      <c r="B143" s="153"/>
      <c r="C143" s="153"/>
      <c r="D143" s="152">
        <f t="shared" si="10"/>
        <v>0</v>
      </c>
      <c r="E143" s="8"/>
      <c r="F143" s="8"/>
    </row>
    <row r="144" spans="1:12" x14ac:dyDescent="0.25">
      <c r="A144" s="152" t="s">
        <v>200</v>
      </c>
      <c r="B144" s="153"/>
      <c r="C144" s="153"/>
      <c r="D144" s="152">
        <f t="shared" si="10"/>
        <v>0</v>
      </c>
      <c r="E144" s="8"/>
      <c r="F144" s="8"/>
    </row>
    <row r="145" spans="1:6" x14ac:dyDescent="0.25">
      <c r="B145" s="154"/>
    </row>
    <row r="146" spans="1:6" ht="16.5" customHeight="1" x14ac:dyDescent="0.25">
      <c r="A146" s="155" t="s">
        <v>486</v>
      </c>
      <c r="B146" s="156" t="s">
        <v>191</v>
      </c>
      <c r="C146" s="145" t="s">
        <v>4</v>
      </c>
      <c r="D146" s="144" t="s">
        <v>34</v>
      </c>
    </row>
    <row r="147" spans="1:6" x14ac:dyDescent="0.25">
      <c r="A147" s="4" t="s">
        <v>52</v>
      </c>
      <c r="B147" s="13"/>
      <c r="C147" s="13"/>
      <c r="D147" s="9">
        <f>B147-C147</f>
        <v>0</v>
      </c>
    </row>
    <row r="148" spans="1:6" x14ac:dyDescent="0.25">
      <c r="A148" s="4" t="s">
        <v>48</v>
      </c>
      <c r="B148" s="13"/>
      <c r="C148" s="13"/>
      <c r="D148" s="9">
        <f>B148-C148</f>
        <v>0</v>
      </c>
      <c r="F148" s="15"/>
    </row>
    <row r="149" spans="1:6" x14ac:dyDescent="0.25">
      <c r="A149" s="4" t="s">
        <v>49</v>
      </c>
      <c r="B149" s="13"/>
      <c r="C149" s="13"/>
      <c r="D149" s="9">
        <f>B149-C149</f>
        <v>0</v>
      </c>
    </row>
    <row r="150" spans="1:6" x14ac:dyDescent="0.25">
      <c r="A150" s="4" t="s">
        <v>50</v>
      </c>
      <c r="B150" s="13"/>
      <c r="C150" s="13"/>
      <c r="D150" s="9">
        <f>B150-C150</f>
        <v>0</v>
      </c>
    </row>
    <row r="151" spans="1:6" x14ac:dyDescent="0.25">
      <c r="A151" s="4" t="s">
        <v>51</v>
      </c>
      <c r="B151" s="9"/>
      <c r="C151" s="13"/>
      <c r="D151" s="9">
        <f>B151-C151</f>
        <v>0</v>
      </c>
    </row>
    <row r="152" spans="1:6" x14ac:dyDescent="0.25">
      <c r="A152" s="31" t="s">
        <v>28</v>
      </c>
      <c r="B152" s="30">
        <f>SUM(B147:B151)</f>
        <v>0</v>
      </c>
      <c r="C152" s="10">
        <f>SUM(C147:C151)</f>
        <v>0</v>
      </c>
      <c r="D152" s="36">
        <f>SUM(D147:D151)</f>
        <v>0</v>
      </c>
      <c r="F152" s="15"/>
    </row>
    <row r="154" spans="1:6" x14ac:dyDescent="0.25">
      <c r="A154" s="39"/>
      <c r="B154" s="255"/>
      <c r="C154" s="255"/>
      <c r="D154" s="255"/>
      <c r="E154" s="255"/>
      <c r="F154" s="255"/>
    </row>
  </sheetData>
  <mergeCells count="22">
    <mergeCell ref="A139:A140"/>
    <mergeCell ref="B139:B140"/>
    <mergeCell ref="C139:C140"/>
    <mergeCell ref="D139:D140"/>
    <mergeCell ref="B154:F154"/>
    <mergeCell ref="C100:D100"/>
    <mergeCell ref="F100:G100"/>
    <mergeCell ref="I100:J100"/>
    <mergeCell ref="D121:E121"/>
    <mergeCell ref="F121:G121"/>
    <mergeCell ref="H121:I121"/>
    <mergeCell ref="J121:K121"/>
    <mergeCell ref="A53:A54"/>
    <mergeCell ref="B53:C53"/>
    <mergeCell ref="D53:E53"/>
    <mergeCell ref="F53:G53"/>
    <mergeCell ref="I53:S53"/>
    <mergeCell ref="A97:A98"/>
    <mergeCell ref="B97:D97"/>
    <mergeCell ref="E97:G97"/>
    <mergeCell ref="H97:J97"/>
    <mergeCell ref="L97:AC97"/>
  </mergeCells>
  <conditionalFormatting sqref="D51 D2 D41 D5:D9 D82:D94 D48:D49 D44:D46 F138:F144 K104:K119 H100 K99:K101 H99:J99 H101:J118">
    <cfRule type="cellIs" dxfId="26" priority="9" operator="notEqual">
      <formula>0</formula>
    </cfRule>
  </conditionalFormatting>
  <conditionalFormatting sqref="D79 F55:G75">
    <cfRule type="cellIs" dxfId="25" priority="8" operator="notEqual">
      <formula>0</formula>
    </cfRule>
  </conditionalFormatting>
  <conditionalFormatting sqref="D137">
    <cfRule type="cellIs" dxfId="24" priority="7" operator="notEqual">
      <formula>0</formula>
    </cfRule>
  </conditionalFormatting>
  <conditionalFormatting sqref="D152 F123:G134">
    <cfRule type="cellIs" dxfId="23" priority="6" operator="notEqual">
      <formula>0</formula>
    </cfRule>
  </conditionalFormatting>
  <conditionalFormatting sqref="D48">
    <cfRule type="cellIs" dxfId="22" priority="5" operator="notEqual">
      <formula>0</formula>
    </cfRule>
  </conditionalFormatting>
  <conditionalFormatting sqref="D147:D151">
    <cfRule type="cellIs" dxfId="21" priority="4" operator="notEqual">
      <formula>0</formula>
    </cfRule>
  </conditionalFormatting>
  <conditionalFormatting sqref="D141:D144">
    <cfRule type="cellIs" dxfId="20" priority="3" operator="notEqual">
      <formula>0</formula>
    </cfRule>
  </conditionalFormatting>
  <conditionalFormatting sqref="F44:F45">
    <cfRule type="cellIs" dxfId="19" priority="2" operator="notEqual">
      <formula>0</formula>
    </cfRule>
  </conditionalFormatting>
  <conditionalFormatting sqref="J123:K134">
    <cfRule type="cellIs" dxfId="18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inLiloThread">
                <anchor moveWithCells="1" sizeWithCells="1">
                  <from>
                    <xdr:col>4</xdr:col>
                    <xdr:colOff>266700</xdr:colOff>
                    <xdr:row>0</xdr:row>
                    <xdr:rowOff>95250</xdr:rowOff>
                  </from>
                  <to>
                    <xdr:col>5</xdr:col>
                    <xdr:colOff>371475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>
      <selection activeCell="C5" sqref="C5"/>
    </sheetView>
  </sheetViews>
  <sheetFormatPr defaultRowHeight="15" x14ac:dyDescent="0.25"/>
  <cols>
    <col min="1" max="1" width="15.5703125" style="21" bestFit="1" customWidth="1"/>
    <col min="2" max="3" width="12.85546875" style="21" bestFit="1" customWidth="1"/>
    <col min="4" max="4" width="12.5703125" style="21" bestFit="1" customWidth="1"/>
    <col min="5" max="25" width="7" style="21" bestFit="1" customWidth="1"/>
    <col min="26" max="46" width="8.7109375" style="21" bestFit="1" customWidth="1"/>
    <col min="47" max="16384" width="9.140625" style="2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ValidateTally">
                <anchor moveWithCells="1">
                  <from>
                    <xdr:col>0</xdr:col>
                    <xdr:colOff>180975</xdr:colOff>
                    <xdr:row>0</xdr:row>
                    <xdr:rowOff>171450</xdr:rowOff>
                  </from>
                  <to>
                    <xdr:col>2</xdr:col>
                    <xdr:colOff>581025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</vt:lpstr>
      <vt:lpstr>Day 0 Analyst tasks</vt:lpstr>
      <vt:lpstr>Sheet1</vt:lpstr>
      <vt:lpstr>Lilocopy screenshots</vt:lpstr>
      <vt:lpstr>3628</vt:lpstr>
      <vt:lpstr>3649</vt:lpstr>
      <vt:lpstr>3667</vt:lpstr>
      <vt:lpstr>Tally Check</vt:lpstr>
    </vt:vector>
  </TitlesOfParts>
  <Company>SAINT-GOBAIN 1.8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Betony, Lisa</dc:creator>
  <cp:lastModifiedBy>Ralph, Dean</cp:lastModifiedBy>
  <dcterms:created xsi:type="dcterms:W3CDTF">2018-02-13T10:47:18Z</dcterms:created>
  <dcterms:modified xsi:type="dcterms:W3CDTF">2019-10-28T16:08:08Z</dcterms:modified>
</cp:coreProperties>
</file>