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51196F13-6AD0-C1B8-E2B4-A1F9AE17003E}"/>
  <workbookPr codeName="ThisWorkbook" defaultThemeVersion="124226"/>
  <bookViews>
    <workbookView xWindow="0" yWindow="0" windowWidth="20730" windowHeight="11760" activeTab="4"/>
  </bookViews>
  <sheets>
    <sheet name="Control" sheetId="13" r:id="rId1"/>
    <sheet name="HX Day -1" sheetId="2" r:id="rId2"/>
    <sheet name="K8 Day -1" sheetId="5" r:id="rId3"/>
    <sheet name="HX Day 0" sheetId="4" r:id="rId4"/>
    <sheet name="K8 Day 0" sheetId="14" r:id="rId5"/>
    <sheet name="K8 Day 1" sheetId="8" r:id="rId6"/>
    <sheet name="HX Day 1" sheetId="7" r:id="rId7"/>
    <sheet name="Reconciliation" sheetId="11" r:id="rId8"/>
    <sheet name="References" sheetId="9" r:id="rId9"/>
    <sheet name="Branch Pre checks" sheetId="10" r:id="rId10"/>
  </sheets>
  <externalReferences>
    <externalReference r:id="rId11"/>
  </externalReferences>
  <definedNames>
    <definedName name="Disable">References!$A$13</definedName>
    <definedName name="MigDate">References!$A$18</definedName>
  </definedNames>
  <calcPr calcId="145621" calcMode="manual"/>
</workbook>
</file>

<file path=xl/calcChain.xml><?xml version="1.0" encoding="utf-8"?>
<calcChain xmlns="http://schemas.openxmlformats.org/spreadsheetml/2006/main">
  <c r="D2" i="14" l="1"/>
  <c r="C76" i="13" l="1"/>
  <c r="C46" i="13"/>
  <c r="C45" i="13"/>
  <c r="C44" i="13"/>
  <c r="C43" i="13"/>
  <c r="C37" i="13"/>
  <c r="C36" i="13"/>
  <c r="C35" i="13"/>
  <c r="C33" i="13"/>
  <c r="C28" i="13"/>
  <c r="C18" i="13"/>
  <c r="G75" i="11" l="1"/>
  <c r="F75" i="11"/>
  <c r="E75" i="11"/>
  <c r="D75" i="11"/>
  <c r="C75" i="11"/>
  <c r="B75" i="11"/>
  <c r="D155" i="11"/>
  <c r="C155" i="11"/>
  <c r="B155" i="11"/>
  <c r="E154" i="11"/>
  <c r="E153" i="11"/>
  <c r="E152" i="11"/>
  <c r="E151" i="11"/>
  <c r="E150" i="11"/>
  <c r="F147" i="11"/>
  <c r="E143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Q139" i="11"/>
  <c r="P139" i="11"/>
  <c r="O139" i="11"/>
  <c r="Q138" i="11"/>
  <c r="P138" i="11"/>
  <c r="O138" i="11"/>
  <c r="Q137" i="11"/>
  <c r="P137" i="11"/>
  <c r="O137" i="11"/>
  <c r="Q136" i="11"/>
  <c r="P136" i="11"/>
  <c r="O136" i="11"/>
  <c r="Q135" i="11"/>
  <c r="P135" i="11"/>
  <c r="O135" i="11"/>
  <c r="Q134" i="11"/>
  <c r="P134" i="11"/>
  <c r="O134" i="11"/>
  <c r="Q133" i="11"/>
  <c r="P133" i="11"/>
  <c r="O133" i="11"/>
  <c r="Q132" i="11"/>
  <c r="P132" i="11"/>
  <c r="O132" i="11"/>
  <c r="Q131" i="11"/>
  <c r="P131" i="11"/>
  <c r="O131" i="11"/>
  <c r="Q130" i="11"/>
  <c r="P130" i="11"/>
  <c r="O130" i="11"/>
  <c r="Q129" i="11"/>
  <c r="P129" i="11"/>
  <c r="O129" i="11"/>
  <c r="Q128" i="11"/>
  <c r="P128" i="11"/>
  <c r="O128" i="11"/>
  <c r="Q127" i="11"/>
  <c r="P127" i="11"/>
  <c r="O127" i="11"/>
  <c r="Q126" i="11"/>
  <c r="P126" i="11"/>
  <c r="O126" i="11"/>
  <c r="Q125" i="11"/>
  <c r="P125" i="11"/>
  <c r="O125" i="11"/>
  <c r="Q124" i="11"/>
  <c r="P124" i="11"/>
  <c r="O124" i="11"/>
  <c r="Q123" i="11"/>
  <c r="P123" i="11"/>
  <c r="O123" i="11"/>
  <c r="O122" i="11"/>
  <c r="N121" i="11"/>
  <c r="M121" i="11"/>
  <c r="K121" i="11"/>
  <c r="J121" i="11"/>
  <c r="I121" i="11"/>
  <c r="H121" i="11"/>
  <c r="G121" i="11"/>
  <c r="F121" i="11"/>
  <c r="E121" i="11"/>
  <c r="D121" i="11"/>
  <c r="C121" i="11"/>
  <c r="B121" i="11"/>
  <c r="Q120" i="11"/>
  <c r="P120" i="11"/>
  <c r="O120" i="11"/>
  <c r="Q119" i="11"/>
  <c r="P119" i="11"/>
  <c r="O119" i="11"/>
  <c r="Q118" i="11"/>
  <c r="P118" i="11"/>
  <c r="O118" i="11"/>
  <c r="H114" i="11"/>
  <c r="G114" i="11"/>
  <c r="F114" i="11"/>
  <c r="E114" i="11"/>
  <c r="D114" i="11"/>
  <c r="C114" i="11"/>
  <c r="B114" i="11"/>
  <c r="D96" i="11"/>
  <c r="C96" i="11"/>
  <c r="B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1" i="11"/>
  <c r="E78" i="11"/>
  <c r="I74" i="11"/>
  <c r="H74" i="11"/>
  <c r="I73" i="11"/>
  <c r="H73" i="11"/>
  <c r="I72" i="11"/>
  <c r="H72" i="11"/>
  <c r="I71" i="11"/>
  <c r="H71" i="11"/>
  <c r="I70" i="11"/>
  <c r="H70" i="11"/>
  <c r="I69" i="11"/>
  <c r="H69" i="11"/>
  <c r="I68" i="11"/>
  <c r="H68" i="11"/>
  <c r="I67" i="11"/>
  <c r="H67" i="11"/>
  <c r="I66" i="11"/>
  <c r="H66" i="11"/>
  <c r="I65" i="11"/>
  <c r="H65" i="11"/>
  <c r="I64" i="11"/>
  <c r="H64" i="11"/>
  <c r="I63" i="11"/>
  <c r="H63" i="11"/>
  <c r="I62" i="11"/>
  <c r="H62" i="11"/>
  <c r="I61" i="11"/>
  <c r="H61" i="11"/>
  <c r="I60" i="11"/>
  <c r="H60" i="11"/>
  <c r="I59" i="11"/>
  <c r="H59" i="11"/>
  <c r="I58" i="11"/>
  <c r="H58" i="11"/>
  <c r="I57" i="11"/>
  <c r="H57" i="11"/>
  <c r="I56" i="11"/>
  <c r="H56" i="11"/>
  <c r="I55" i="11"/>
  <c r="H55" i="11"/>
  <c r="I54" i="11"/>
  <c r="H54" i="11"/>
  <c r="E50" i="11"/>
  <c r="E47" i="11"/>
  <c r="E46" i="11"/>
  <c r="E45" i="11"/>
  <c r="D42" i="11"/>
  <c r="C42" i="11"/>
  <c r="B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D10" i="11"/>
  <c r="C10" i="11"/>
  <c r="B10" i="11"/>
  <c r="E9" i="11"/>
  <c r="E8" i="11"/>
  <c r="E7" i="11"/>
  <c r="E6" i="11"/>
  <c r="E3" i="11"/>
  <c r="I75" i="11" l="1"/>
  <c r="H75" i="11"/>
  <c r="O121" i="11"/>
  <c r="J103" i="11"/>
  <c r="E155" i="11"/>
  <c r="P140" i="11"/>
  <c r="E96" i="11"/>
  <c r="I103" i="11"/>
  <c r="K103" i="11" s="1"/>
  <c r="Q121" i="11"/>
  <c r="E10" i="11"/>
  <c r="Q140" i="11"/>
  <c r="O140" i="11"/>
  <c r="E42" i="11"/>
  <c r="P121" i="11"/>
  <c r="D3" i="7" l="1"/>
  <c r="D2" i="8"/>
  <c r="D2" i="4"/>
  <c r="D3" i="5"/>
  <c r="D2" i="2" l="1"/>
</calcChain>
</file>

<file path=xl/comments1.xml><?xml version="1.0" encoding="utf-8"?>
<comments xmlns="http://schemas.openxmlformats.org/spreadsheetml/2006/main">
  <authors>
    <author>Ward, Liam</author>
  </authors>
  <commentList>
    <comment ref="A25" authorId="0">
      <text>
        <r>
          <rPr>
            <b/>
            <sz val="9"/>
            <color indexed="81"/>
            <rFont val="Tahoma"/>
            <family val="2"/>
          </rPr>
          <t>Ward, Liam:</t>
        </r>
        <r>
          <rPr>
            <sz val="9"/>
            <color indexed="81"/>
            <rFont val="Tahoma"/>
            <family val="2"/>
          </rPr>
          <t xml:space="preserve">
Position to be agreed after first Conversion
</t>
        </r>
      </text>
    </comment>
  </commentList>
</comments>
</file>

<file path=xl/sharedStrings.xml><?xml version="1.0" encoding="utf-8"?>
<sst xmlns="http://schemas.openxmlformats.org/spreadsheetml/2006/main" count="667" uniqueCount="337">
  <si>
    <t xml:space="preserve">Migration Tasks HX System Day -1 </t>
  </si>
  <si>
    <t>System</t>
  </si>
  <si>
    <t>Task</t>
  </si>
  <si>
    <t>Action</t>
  </si>
  <si>
    <t>Centre</t>
  </si>
  <si>
    <t>Disable inter-branch trading</t>
  </si>
  <si>
    <t>Set migration date</t>
  </si>
  <si>
    <t>ICON</t>
  </si>
  <si>
    <t>Cluster</t>
  </si>
  <si>
    <t xml:space="preserve">Review Day -1 invoicing </t>
  </si>
  <si>
    <t>Confirm no invoicing failures for branch in EOD log</t>
  </si>
  <si>
    <t xml:space="preserve">Review Day -1 PIM </t>
  </si>
  <si>
    <t>Confirm no PIM task failures for branch in EOD log</t>
  </si>
  <si>
    <t>Service Now</t>
  </si>
  <si>
    <t>Review outstanding incidents for branch</t>
  </si>
  <si>
    <t>Discuss ongoing incidents with senior</t>
  </si>
  <si>
    <t xml:space="preserve">Migration Tasks K8 System Day 0 </t>
  </si>
  <si>
    <t>N/A</t>
  </si>
  <si>
    <t>Confirm cease of trading</t>
  </si>
  <si>
    <t>Confirm branch actions complete</t>
  </si>
  <si>
    <t>Stock checks are complete / not required</t>
  </si>
  <si>
    <t>All stock adjustment orders processed</t>
  </si>
  <si>
    <t>Orders for transport planning in the agreed state</t>
  </si>
  <si>
    <t>All deliveries confirmed or cancelled</t>
  </si>
  <si>
    <t>All COD payments acknowledged (Under bank if payments have not been taken)</t>
  </si>
  <si>
    <t>Cash Analysis &amp; Banking complete</t>
  </si>
  <si>
    <t>All orders cleared from OMR</t>
  </si>
  <si>
    <t>PO requisitions actioned / cancelled</t>
  </si>
  <si>
    <t>Shared quotation mailing list printed</t>
  </si>
  <si>
    <t>Contact site to confirm all pre-defined actions have been completed (see branch actions tab)</t>
  </si>
  <si>
    <t>Contact site to confirm trading has ceased &amp; all users have logged off.</t>
  </si>
  <si>
    <t xml:space="preserve">Toolhire only - Confirm all toolhire interface files have been successfully processed </t>
  </si>
  <si>
    <t xml:space="preserve">Mark branch as ICON trading branch </t>
  </si>
  <si>
    <t>Morning</t>
  </si>
  <si>
    <t>Readiness for conversion (4pm)</t>
  </si>
  <si>
    <t>Migration</t>
  </si>
  <si>
    <t>Set local printer</t>
  </si>
  <si>
    <t>Master Menu &gt; Branch Files &gt; Enter branch number (or change branch) &gt; Change Printer &gt; Select ‘Migration Reports’ &gt; Exit</t>
  </si>
  <si>
    <t>POST 4PM</t>
  </si>
  <si>
    <t>Stock Control &gt; Central Files &gt; 01 &gt; Branch File &gt; Branch File Maintenance 
Amend &gt; Enter branch number &gt; Select arrow from ring menu &gt; Migration &gt; Date of Migration to K8 = Day 0</t>
  </si>
  <si>
    <t>Start Migration Procedure</t>
  </si>
  <si>
    <t>Branch files &gt; ICON Migration &gt; Run Migration Process 
Confirm correct printer is selected &amp; select Continue</t>
  </si>
  <si>
    <r>
      <t xml:space="preserve"> </t>
    </r>
    <r>
      <rPr>
        <sz val="11"/>
        <color theme="1"/>
        <rFont val="Calibri"/>
        <family val="2"/>
        <scheme val="minor"/>
      </rPr>
      <t>Check output reports to confirm all ok &amp; continue</t>
    </r>
  </si>
  <si>
    <t xml:space="preserve">Confirm migration steps complete </t>
  </si>
  <si>
    <t>Print migration log</t>
  </si>
  <si>
    <t>Migration Output Report displayed on screen &gt; Select Continue &gt; Print Details &gt; Select Yes</t>
  </si>
  <si>
    <t>Import HX data into holding tables</t>
  </si>
  <si>
    <t>Convert branch transactions</t>
  </si>
  <si>
    <t>Migration Tasks K8 System Day 1</t>
  </si>
  <si>
    <t>Check EOD for errors</t>
  </si>
  <si>
    <t>Verify site are trading successfully</t>
  </si>
  <si>
    <t>Communicate with on-site contact</t>
  </si>
  <si>
    <t>Enable Inter-branch trading</t>
  </si>
  <si>
    <t>Update IBT supplier account</t>
  </si>
  <si>
    <t>(Refer to central branch record inter branch tab for 1st instance of IBT supplier account)
Stock Control &gt; Central Files &gt; 01 &gt;Supplier File &gt; Supplier File Maintenance &gt; Amend &gt; Enter Account &gt; Detail
Order from supplier = Y</t>
  </si>
  <si>
    <t>Migration Tasks HX System Day 1</t>
  </si>
  <si>
    <t>If errors relate to converted branch report to senior</t>
  </si>
  <si>
    <t>Disable Branch</t>
  </si>
  <si>
    <t>Set HX migration date:</t>
  </si>
  <si>
    <t xml:space="preserve">TOOLHIRE ONLY – Confirm with IT all tool hire transactions processed (see number 13 below) </t>
  </si>
  <si>
    <t>DO NOT SET THIS INCORRECTLY OTHERWISE YOU WILL DISABLE THE BRANCH IF IT IS TOO EARLY</t>
  </si>
  <si>
    <t>Check and double check your dates.</t>
  </si>
  <si>
    <t>http://prod.branchmigration.sgbd.co.uk/Branch</t>
  </si>
  <si>
    <t>Add Branch to switcher</t>
  </si>
  <si>
    <t xml:space="preserve">Stock Control &gt; Central Files &gt; 01 &gt; Network Options &gt; ICON interfaces &gt; Export Options &gt; K8 Migration Disable Branch 
Enter branch number &gt; Mark branch as disabled and update CF/suppl IBSUPPs? &gt; Select Yes &gt; Select Continue </t>
  </si>
  <si>
    <t>Notes</t>
  </si>
  <si>
    <t>Will this prevent conversion</t>
  </si>
  <si>
    <t>Confirm or cancel all outstanding Deliveries</t>
  </si>
  <si>
    <t>Any sales order lines left at "Awaiting Delivery" (c status) will prevent the branch converting.</t>
  </si>
  <si>
    <t>Y</t>
  </si>
  <si>
    <t>Confirm or cancel all Outstanding Stock Adjustments</t>
  </si>
  <si>
    <t>Outstanding stock adjustements (BI &amp; BO orders) will not be converted but will not prevent conversion.</t>
  </si>
  <si>
    <t>N</t>
  </si>
  <si>
    <t>Outstanding Mill Orders</t>
  </si>
  <si>
    <t>Outstanding Mill orders will not be converted</t>
  </si>
  <si>
    <t>Outstanding OMR</t>
  </si>
  <si>
    <t>All orders must be confirmed through OMR or invoices will not be processed. OMR is not converted.</t>
  </si>
  <si>
    <t>Outstanding COD payments</t>
  </si>
  <si>
    <t>Outstanding COD payments will not be converted</t>
  </si>
  <si>
    <t>Outstanding cash/till recon</t>
  </si>
  <si>
    <t>Cashing up must be completed as this will not be converted</t>
  </si>
  <si>
    <t>Outstanding banking</t>
  </si>
  <si>
    <t>Banking must be completed as this will not be converted</t>
  </si>
  <si>
    <t>Outstanding PO Requisitions</t>
  </si>
  <si>
    <t>PO's awaiting requisition will not be converted</t>
  </si>
  <si>
    <t>Incomplete sales paid E-EFT</t>
  </si>
  <si>
    <t>This is informational only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</si>
  <si>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</si>
  <si>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</si>
  <si>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</si>
  <si>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</si>
  <si>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</si>
  <si>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</si>
  <si>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</si>
  <si>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</si>
  <si>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</si>
  <si>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</si>
  <si>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</si>
  <si>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HX</t>
  </si>
  <si>
    <t>I</t>
  </si>
  <si>
    <t>Total</t>
  </si>
  <si>
    <t>O</t>
  </si>
  <si>
    <t>P</t>
  </si>
  <si>
    <t>R</t>
  </si>
  <si>
    <t>T</t>
  </si>
  <si>
    <t>W</t>
  </si>
  <si>
    <t xml:space="preserve">HX 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</si>
  <si>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</si>
  <si>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</si>
  <si>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</si>
  <si>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</si>
  <si>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</si>
  <si>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</si>
  <si>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</si>
  <si>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</si>
  <si>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</si>
  <si>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</si>
  <si>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</si>
  <si>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</si>
  <si>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</si>
  <si>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</si>
  <si>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No of orders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</si>
  <si>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</si>
  <si>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</si>
  <si>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</si>
  <si>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</si>
  <si>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</si>
  <si>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</si>
  <si>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</si>
  <si>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</si>
  <si>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</si>
  <si>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deposits</t>
  </si>
  <si>
    <t>No of Orders</t>
  </si>
  <si>
    <t>Totals</t>
  </si>
  <si>
    <t>Email conversions reports: HX Deposits by order category report, HX Cash Advances reconcilliation and ICON CONV Deposit by category.</t>
  </si>
  <si>
    <t>Stock Control &gt; Central Files &gt; 01 &gt; Branch File &gt; Branch File Maintenance&gt;
Inter-branch &gt; Stock Visible to others = Y
Inter-branch &gt; Transfer Orders = Y
Migration &gt; Allow IBO to K8 = Y
Migration &gt; Allow TX sale  to K8 = Y
Stock lookup to K8 permitted = Y</t>
  </si>
  <si>
    <t>Sub Total</t>
  </si>
  <si>
    <t>HX Text Lines</t>
  </si>
  <si>
    <t>Process Orders</t>
  </si>
  <si>
    <t>Adjust V status</t>
  </si>
  <si>
    <t>Do not complete</t>
  </si>
  <si>
    <t>Br History</t>
  </si>
  <si>
    <t>Final checkpoint - Go file, customer balances &amp; active flag</t>
  </si>
  <si>
    <t>Convert branch master data &amp; create stock profile</t>
  </si>
  <si>
    <t>Update branch record &amp; run rebuilds</t>
  </si>
  <si>
    <t>B</t>
  </si>
  <si>
    <t>PF History Count</t>
  </si>
  <si>
    <t>Checkpoint 1 - All servers stopped, all inbound files processed, branch pre-checks etc</t>
  </si>
  <si>
    <t>Checkpoint 2 - Branch level EOD options</t>
  </si>
  <si>
    <t>Checkpoint 3 - Conversions extracts &amp; Reconcilliation reports, customer balance updates</t>
  </si>
  <si>
    <t>CLUSTER</t>
  </si>
  <si>
    <t>Order Processing &gt; Misc. options menu &gt; End of day options menu &gt; Update shared customers</t>
  </si>
  <si>
    <t>MANUALLY REBUILD CUSTOMER BALANCES IN A SECOND SESSION</t>
  </si>
  <si>
    <t>Check import successful - review number of records imported against recci sheet</t>
  </si>
  <si>
    <t>Check branch master data conversion successful - COMPLETE RECCI SHEET</t>
  </si>
  <si>
    <t>Check branch transaction conversions successful - COMPLETE RECCI SHEET</t>
  </si>
  <si>
    <t>Check tasks completed successfully - Complete customer debt recci</t>
  </si>
  <si>
    <t>Roundings?</t>
  </si>
  <si>
    <t>Email deposit values to Martin Lamperd &amp; CC Tony Davies</t>
  </si>
  <si>
    <t>Update the PTIDS and Name to Chip and PIN devices in ICON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</si>
  <si>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</si>
  <si>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</si>
  <si>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</si>
  <si>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</si>
  <si>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</si>
  <si>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</si>
  <si>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</si>
  <si>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</si>
  <si>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</si>
  <si>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</si>
  <si>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</si>
  <si>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</si>
  <si>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</si>
  <si>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</si>
  <si>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</si>
  <si>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</si>
  <si>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</si>
  <si>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</si>
  <si>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</si>
  <si>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</si>
  <si>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</si>
  <si>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</si>
  <si>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</si>
  <si>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Have toolhire tasks completed?</t>
  </si>
  <si>
    <t>Confirm Tool hire ceased trading</t>
  </si>
  <si>
    <t>See K8 Day 0</t>
  </si>
  <si>
    <t>Add branches to relevant Branch Group</t>
  </si>
  <si>
    <t>Stock Control &gt; Central Files &gt; 01 &gt; Branch File &gt; Branch File Maintenance &gt; Amend
Enter branch number:
&gt; Migration &gt; K8 branch = Y
&gt;System &gt; K8 Machine number = 65</t>
  </si>
  <si>
    <t>Conversions workplace &gt; Conversion Home &gt; Conversion Tools &gt; Enable Inter-branch trading &gt; Enter Branch number &amp; Transfer flag
Refer to original setting from disable task</t>
  </si>
  <si>
    <r>
      <t xml:space="preserve">NOTE: If </t>
    </r>
    <r>
      <rPr>
        <b/>
        <i/>
        <sz val="16"/>
        <rFont val="Calibri"/>
        <family val="2"/>
        <scheme val="minor"/>
      </rPr>
      <t>Stop-migration-run</t>
    </r>
    <r>
      <rPr>
        <b/>
        <sz val="16"/>
        <rFont val="Calibri"/>
        <family val="2"/>
        <scheme val="minor"/>
      </rPr>
      <t xml:space="preserve"> option is selected at any point refer to back out procedure. Ensure that Migration output report is printed</t>
    </r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</si>
  <si>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</si>
  <si>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</si>
  <si>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</si>
  <si>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</si>
  <si>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</si>
  <si>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</si>
  <si>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</si>
  <si>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</si>
  <si>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</si>
  <si>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</si>
  <si>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</si>
  <si>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Purchase order paragraphs report </t>
  </si>
  <si>
    <t xml:space="preserve">Sales orders by order type report </t>
  </si>
  <si>
    <t xml:space="preserve">Deposits by order category report </t>
  </si>
  <si>
    <t>Cash Advances Reconciliation (BR)
(Totals)</t>
  </si>
  <si>
    <t xml:space="preserve">Sales order lines by order status report </t>
  </si>
  <si>
    <t xml:space="preserve">Sales orders tally report </t>
  </si>
  <si>
    <t>Additional extract SO Log (BR)</t>
  </si>
  <si>
    <t>Additional extract SO Archive (BR)</t>
  </si>
  <si>
    <t>Log &amp; Archives 
(ICON - Group 5 run overnight)</t>
  </si>
  <si>
    <t xml:space="preserve">Customer Debt Totals
</t>
  </si>
  <si>
    <t xml:space="preserve">HX
(HX Branch clear down report ) </t>
  </si>
  <si>
    <t>Contact site to confirm trading has ceased (including TH banking) &amp; all toolhire users have logged off.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</si>
  <si>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</si>
  <si>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</si>
  <si>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</si>
  <si>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</si>
  <si>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</si>
  <si>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</si>
  <si>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</si>
  <si>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</si>
  <si>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</si>
  <si>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</si>
  <si>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</si>
  <si>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</si>
  <si>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</si>
  <si>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</si>
  <si>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</si>
  <si>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</si>
  <si>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</si>
  <si>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</si>
  <si>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</si>
  <si>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</si>
  <si>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</si>
  <si>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</si>
  <si>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</si>
  <si>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</si>
  <si>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RETURN TO HX DAY 0</t>
  </si>
  <si>
    <t>User updates</t>
  </si>
  <si>
    <t>Move branches into correct structural position</t>
  </si>
  <si>
    <t>ICON PRE</t>
  </si>
  <si>
    <t xml:space="preserve">ICON </t>
  </si>
  <si>
    <t>Branch 1</t>
  </si>
  <si>
    <t>Toolhire Only - Invoicing &amp; transactional data tasks</t>
  </si>
  <si>
    <t xml:space="preserve">Add Toolhire conversion branches to branch group </t>
  </si>
  <si>
    <t>Check Interface monitor for errors/files not yet processed until clear
Once all files have been successfully loaded (including correcting errors)</t>
  </si>
  <si>
    <t>Run pre conversion reconcilliation reports</t>
  </si>
  <si>
    <t>Update Terminal default row</t>
  </si>
  <si>
    <t>Load device data sheets</t>
  </si>
  <si>
    <r>
      <t>Conversion Home workplace &gt; Conversion Tools &gt; Branch Groups &gt; Enter CONV_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(where n is your group eg CONV_SET_</t>
    </r>
    <r>
      <rPr>
        <i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) &gt; Amend &gt; Add/Remove branches as required &gt; Save</t>
    </r>
  </si>
  <si>
    <t>Conversion Home workplace &gt; Conversion Tools &gt; Branch Groups &gt; Enter CONV_TH &gt; Amend &gt; Add/Remove ONLY TOOLHIRE branches as required &gt; Save</t>
  </si>
  <si>
    <t>Conversion Home workplace &gt; Conversion Tools &gt; Device Data Loads &gt; Execute &gt; select previously saved device data sheet for branch</t>
  </si>
  <si>
    <t>Refer to Stewart</t>
  </si>
  <si>
    <t>Refer to Stewart/Rachel</t>
  </si>
  <si>
    <t>Tasks to be completed by controller once all branches have completed Group 4</t>
  </si>
  <si>
    <t>Conversion date - ##/##/####</t>
  </si>
  <si>
    <t>ALL BRANCHES</t>
  </si>
  <si>
    <r>
      <t xml:space="preserve">TOOLHIRE BRANCHES ONLY 
</t>
    </r>
    <r>
      <rPr>
        <sz val="20"/>
        <color theme="1"/>
        <rFont val="Calibri"/>
        <family val="2"/>
        <scheme val="minor"/>
      </rPr>
      <t>For all other branches move onto "ALL BRANCHES" section</t>
    </r>
  </si>
  <si>
    <t>Adjust Process Orders</t>
  </si>
  <si>
    <t>NOTE: ICON PRE COLUMN IS ONLY RELEVANT FOR TOOLHIRE BRANCHES</t>
  </si>
  <si>
    <t>Copy PPI update file to ICON</t>
  </si>
  <si>
    <t>Copy supplier delivery days file to ICON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</si>
  <si>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</si>
  <si>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</si>
  <si>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</si>
  <si>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Home workplace &gt; Conversion Tools &gt; Task Controller &gt; Tasks &gt; Locate Conversion Set n Group 1 &gt; Right click &gt; Run &gt; Daily</t>
  </si>
  <si>
    <t>Task Log workplace &gt; Review &amp; action errors</t>
  </si>
  <si>
    <t>Conversion Home workplace &gt; Conversion Tools &gt; Task Controller &gt; Tasks &gt; Locate Conversion Set n Group 2 &gt; Right click &gt; Run &gt; Daily</t>
  </si>
  <si>
    <r>
      <t xml:space="preserve">Task Log workplace &gt; Review &amp; action errors (see notifications)
</t>
    </r>
    <r>
      <rPr>
        <b/>
        <sz val="11"/>
        <color theme="1"/>
        <rFont val="Calibri"/>
        <family val="2"/>
        <scheme val="minor"/>
      </rPr>
      <t>Complete reconciliation tab</t>
    </r>
  </si>
  <si>
    <t>Conversion Home workplace &gt; Conversion Tools &gt; Task Controller &gt; Tasks &gt; Locate Conversion Set n Group 3 &gt; Right click &gt; Run &gt; Daily</t>
  </si>
  <si>
    <t>Conversion Home workplace &gt; Conversion Tools &gt; Task Controller &gt; Tasks &gt; Locate Conversion Set n Group 4 &gt; Right click &gt; Run &gt; Daily</t>
  </si>
  <si>
    <t>Task Log workplace &gt; Review errors
If errors relate to converted branch report to senior</t>
  </si>
  <si>
    <t>Set Conversion Workplace</t>
  </si>
  <si>
    <t>System Utilities &gt; Management Menu &gt; User Details &gt; User ID &gt; Bespoke &gt; SGConversionRecon &gt; Save</t>
  </si>
  <si>
    <t>Conversion Home &gt; Conversion Tools &gt; Set Migration Date &gt; Insert &gt; Add branch number &amp; Day 0 onversion date &gt; Save</t>
  </si>
  <si>
    <r>
      <t xml:space="preserve">Conversion Home &gt; Conversion Tools &gt; Disable Inter-branch trading &gt; Enter Day 0 date of migration &gt; Run &gt; After the report has run click on </t>
    </r>
    <r>
      <rPr>
        <b/>
        <sz val="11"/>
        <color theme="1"/>
        <rFont val="Calibri"/>
        <family val="2"/>
        <scheme val="minor"/>
      </rPr>
      <t xml:space="preserve">View
Save Export </t>
    </r>
    <r>
      <rPr>
        <sz val="11"/>
        <color theme="1"/>
        <rFont val="Calibri"/>
        <family val="2"/>
        <scheme val="minor"/>
      </rPr>
      <t>file to shared conversions folder - This will be needed on K8 day 0</t>
    </r>
  </si>
  <si>
    <t xml:space="preserve">Notify ‘ICON@sgbd.co.uk’ once Transfers and IBTs have been enabled; ‘Transfers and IBTs have now been enabled for branch xxx which converted to ICON this week’ </t>
  </si>
  <si>
    <t>Email</t>
  </si>
  <si>
    <t>Email Icon Team</t>
  </si>
  <si>
    <t xml:space="preserve">TEMPORARY MANUAL TASKS </t>
  </si>
  <si>
    <t>Run GI advances DX correction</t>
  </si>
  <si>
    <r>
      <rPr>
        <b/>
        <u/>
        <sz val="14"/>
        <color theme="1"/>
        <rFont val="Calibri"/>
        <family val="2"/>
        <scheme val="minor"/>
      </rPr>
      <t>ENSURE LOGGED INTO CORRECT BRANCH:</t>
    </r>
    <r>
      <rPr>
        <sz val="11"/>
        <color theme="1"/>
        <rFont val="Calibri"/>
        <family val="2"/>
        <scheme val="minor"/>
      </rPr>
      <t xml:space="preserve">
Conversion Home workplace &gt; Conversion Tools &gt; GI Advances Correction DX</t>
    </r>
  </si>
  <si>
    <t>Run Create DM lines</t>
  </si>
  <si>
    <r>
      <t xml:space="preserve">Conversion Home workplace &gt; Conversion Tools &gt; Task Controller &gt; Tasks &gt; Conversion Set </t>
    </r>
    <r>
      <rPr>
        <i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Group 3 &gt; Create DM lines &gt; right click &gt; Daily run</t>
    </r>
  </si>
  <si>
    <t>Process manual order saves</t>
  </si>
  <si>
    <t>Manual task</t>
  </si>
  <si>
    <t>Review GI advances entries</t>
  </si>
  <si>
    <t>TBC (GI_advances where branch =branch &amp; document &lt;&gt; HXCONV)</t>
  </si>
  <si>
    <t>Run GI advances DX extract to mark entries as skipped</t>
  </si>
  <si>
    <t>Conversion Home workplace &gt; Conversion Tools &gt; Task Controller &gt; Tasks &gt; Conversions TH Pre-Conv Group &gt; Advance extract &gt; Right click &gt; Daily Run (NOTE: Runs for ALL conversion branches)</t>
  </si>
  <si>
    <t>Clear spoolers of printed invoices</t>
  </si>
  <si>
    <t>Locate branch spooler &gt; Cancel spurious cash invoices</t>
  </si>
  <si>
    <t>Run Process order progress code update repgen</t>
  </si>
  <si>
    <t>TBC - potentially use SO_CONVWORKSCORR - BE VERY CAREFUL</t>
  </si>
  <si>
    <t>Mark branches as Restricted</t>
  </si>
  <si>
    <t>Conversion Home workplace &gt; Conversion Tools &gt; Central Branch File &gt; Enter branch number &gt; System &gt; Amend &gt; Set Active to "Access Restricted"</t>
  </si>
  <si>
    <t>BEFORE GROUP 5 is started:</t>
  </si>
  <si>
    <t>Mark branches as Active</t>
  </si>
  <si>
    <t>Conversion Home workplace &gt; Conversion Tools &gt; Central Branch File &gt; Enter branch number &gt; System &gt; Amend &gt; Set Active to "Fully Active"</t>
  </si>
  <si>
    <t>Run Group 5</t>
  </si>
  <si>
    <t>Run Group 6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</si>
  <si>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</si>
  <si>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</si>
  <si>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</si>
  <si>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</si>
  <si>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</si>
  <si>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</si>
  <si>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</si>
  <si>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</si>
  <si>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</si>
  <si>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</si>
  <si>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</si>
  <si>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</si>
  <si>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</si>
  <si>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</si>
  <si>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</si>
  <si>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</si>
  <si>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</si>
  <si>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</si>
  <si>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</si>
  <si>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</si>
  <si>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</si>
  <si>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</si>
  <si>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</si>
  <si>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</si>
  <si>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</si>
  <si>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</si>
  <si>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</si>
  <si>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</si>
  <si>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</si>
  <si>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</si>
  <si>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</si>
  <si>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</si>
  <si>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</si>
  <si>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t>Migration Tasks HX System Day 0</t>
  </si>
  <si>
    <t>Conversion Home workplace &gt; Conversion Tools &gt; Task Controller &gt; Tasks &gt; Locate "Conversions TH Pre-Conv Group" &gt; Right click &gt; Run &gt; Daily</t>
  </si>
  <si>
    <r>
      <t xml:space="preserve">Conversion Home workplace &gt; Conversion Tools &gt; Task Controller &gt; Tasks &gt; Locate "Conversion Set n TH Pre conv reccis" &gt; Right click &gt; Run &gt; Daily
</t>
    </r>
    <r>
      <rPr>
        <b/>
        <sz val="11"/>
        <color theme="1"/>
        <rFont val="Calibri"/>
        <family val="2"/>
        <scheme val="minor"/>
      </rPr>
      <t>Complete reconciliation tab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</si>
</sst>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0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1" xfId="0" applyFill="1" applyBorder="1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4" fillId="0" borderId="0" xfId="0" applyFont="1"/>
    <xf numFmtId="0" fontId="4" fillId="0" borderId="0" xfId="0" applyFont="1" applyAlignment="1">
      <alignment wrapText="1"/>
    </xf>
    <xf numFmtId="0" fontId="4" fillId="0" borderId="1" xfId="0" applyFont="1" applyFill="1" applyBorder="1"/>
    <xf numFmtId="0" fontId="6" fillId="6" borderId="1" xfId="0" applyFont="1" applyFill="1" applyBorder="1" applyAlignment="1">
      <alignment horizontal="center" wrapText="1"/>
    </xf>
    <xf numFmtId="0" fontId="4" fillId="0" borderId="0" xfId="0" applyFont="1" applyBorder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1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3" borderId="1" xfId="0" applyFont="1" applyFill="1" applyBorder="1" applyAlignment="1">
      <alignment vertical="center"/>
    </xf>
    <xf numFmtId="2" fontId="0" fillId="2" borderId="1" xfId="0" applyNumberFormat="1" applyFill="1" applyBorder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  <xf numFmtId="2" fontId="0" fillId="0" borderId="0" xfId="0" applyNumberFormat="1" applyAlignment="1">
      <alignment horizontal="left" vertical="center" indent="1"/>
    </xf>
    <xf numFmtId="0" fontId="0" fillId="6" borderId="0" xfId="0" applyFont="1" applyFill="1" applyAlignment="1">
      <alignment horizontal="left" vertical="center" wrapText="1"/>
    </xf>
    <xf numFmtId="0" fontId="0" fillId="6" borderId="0" xfId="0" applyFill="1"/>
    <xf numFmtId="0" fontId="0" fillId="7" borderId="1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1" fillId="0" borderId="0" xfId="0" applyFont="1" applyAlignment="1">
      <alignment vertical="center" wrapText="1"/>
    </xf>
    <xf numFmtId="0" fontId="0" fillId="6" borderId="0" xfId="0" applyFont="1" applyFill="1" applyAlignment="1">
      <alignment wrapText="1"/>
    </xf>
    <xf numFmtId="0" fontId="0" fillId="0" borderId="0" xfId="0"/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0" fillId="0" borderId="1" xfId="0" applyBorder="1" applyAlignment="1">
      <alignment vertical="center"/>
    </xf>
    <xf numFmtId="0" fontId="0" fillId="0" borderId="0" xfId="0" applyFill="1" applyAlignment="1">
      <alignment horizontal="left" vertical="center" wrapText="1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Font="1" applyFill="1" applyAlignment="1">
      <alignment horizontal="left" wrapText="1"/>
    </xf>
    <xf numFmtId="0" fontId="0" fillId="0" borderId="0" xfId="0" applyFill="1" applyAlignment="1">
      <alignment horizontal="left"/>
    </xf>
    <xf numFmtId="0" fontId="1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 textRotation="90"/>
    </xf>
    <xf numFmtId="0" fontId="0" fillId="0" borderId="0" xfId="0" applyFill="1" applyAlignment="1"/>
    <xf numFmtId="0" fontId="0" fillId="0" borderId="0" xfId="0" applyFont="1" applyAlignment="1">
      <alignment vertical="center"/>
    </xf>
    <xf numFmtId="0" fontId="0" fillId="3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0" fillId="9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horizontal="left" vertical="center" indent="1"/>
    </xf>
    <xf numFmtId="0" fontId="17" fillId="1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left" vertical="center" indent="1"/>
    </xf>
    <xf numFmtId="0" fontId="19" fillId="0" borderId="1" xfId="0" applyFont="1" applyFill="1" applyBorder="1" applyAlignment="1">
      <alignment horizontal="left" vertical="center" indent="1"/>
    </xf>
    <xf numFmtId="0" fontId="1" fillId="10" borderId="1" xfId="0" applyFont="1" applyFill="1" applyBorder="1" applyAlignment="1">
      <alignment horizontal="left" vertical="center" indent="1"/>
    </xf>
    <xf numFmtId="2" fontId="1" fillId="10" borderId="1" xfId="0" applyNumberFormat="1" applyFont="1" applyFill="1" applyBorder="1" applyAlignment="1">
      <alignment horizontal="left" vertical="center" indent="1"/>
    </xf>
    <xf numFmtId="0" fontId="1" fillId="1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0" fillId="6" borderId="0" xfId="0" applyFill="1" applyBorder="1" applyAlignment="1">
      <alignment horizontal="left" vertical="center" wrapText="1"/>
    </xf>
    <xf numFmtId="0" fontId="20" fillId="0" borderId="0" xfId="0" applyFont="1" applyBorder="1" applyAlignment="1">
      <alignment horizontal="center" vertical="top"/>
    </xf>
    <xf numFmtId="0" fontId="0" fillId="6" borderId="0" xfId="0" applyFont="1" applyFill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/>
    </xf>
    <xf numFmtId="0" fontId="17" fillId="12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0" fillId="14" borderId="1" xfId="0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 wrapText="1"/>
    </xf>
    <xf numFmtId="0" fontId="0" fillId="14" borderId="1" xfId="0" applyFill="1" applyBorder="1" applyAlignment="1">
      <alignment vertical="center" wrapText="1"/>
    </xf>
    <xf numFmtId="0" fontId="0" fillId="14" borderId="1" xfId="0" applyFont="1" applyFill="1" applyBorder="1" applyAlignment="1">
      <alignment vertical="center"/>
    </xf>
    <xf numFmtId="0" fontId="0" fillId="14" borderId="1" xfId="0" applyFill="1" applyBorder="1" applyAlignment="1">
      <alignment horizontal="left" vertical="center" wrapText="1"/>
    </xf>
    <xf numFmtId="0" fontId="0" fillId="0" borderId="7" xfId="0" applyBorder="1"/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 vertical="center" wrapText="1"/>
    </xf>
    <xf numFmtId="0" fontId="0" fillId="0" borderId="0" xfId="0" applyFill="1" applyBorder="1"/>
    <xf numFmtId="0" fontId="17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19" fillId="0" borderId="1" xfId="0" applyFont="1" applyFill="1" applyBorder="1" applyAlignment="1">
      <alignment horizontal="center" vertical="center"/>
    </xf>
    <xf numFmtId="1" fontId="1" fillId="11" borderId="1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0" fillId="0" borderId="1" xfId="0" applyFont="1" applyFill="1" applyBorder="1" applyAlignment="1">
      <alignment wrapText="1"/>
    </xf>
    <xf numFmtId="0" fontId="5" fillId="0" borderId="1" xfId="0" applyFont="1" applyFill="1" applyBorder="1" applyAlignment="1">
      <alignment horizontal="center" vertical="center" textRotation="90"/>
    </xf>
    <xf numFmtId="0" fontId="0" fillId="14" borderId="0" xfId="0" applyFill="1"/>
    <xf numFmtId="0" fontId="0" fillId="14" borderId="0" xfId="0" applyFill="1" applyAlignment="1">
      <alignment wrapText="1"/>
    </xf>
    <xf numFmtId="0" fontId="1" fillId="14" borderId="0" xfId="0" applyFont="1" applyFill="1" applyAlignment="1">
      <alignment vertical="center" wrapText="1"/>
    </xf>
    <xf numFmtId="0" fontId="0" fillId="14" borderId="1" xfId="0" applyFont="1" applyFill="1" applyBorder="1" applyAlignment="1">
      <alignment wrapText="1"/>
    </xf>
    <xf numFmtId="0" fontId="0" fillId="14" borderId="1" xfId="0" applyFont="1" applyFill="1" applyBorder="1"/>
    <xf numFmtId="0" fontId="0" fillId="14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4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 wrapText="1"/>
    </xf>
    <xf numFmtId="0" fontId="0" fillId="6" borderId="0" xfId="0" applyFill="1" applyAlignment="1">
      <alignment vertical="center" wrapText="1"/>
    </xf>
    <xf numFmtId="0" fontId="27" fillId="0" borderId="1" xfId="1" applyFill="1" applyBorder="1"/>
    <xf numFmtId="0" fontId="0" fillId="0" borderId="2" xfId="0" applyFill="1" applyBorder="1"/>
    <xf numFmtId="0" fontId="0" fillId="15" borderId="1" xfId="0" applyFont="1" applyFill="1" applyBorder="1" applyAlignment="1">
      <alignment horizontal="left" vertical="center"/>
    </xf>
    <xf numFmtId="0" fontId="0" fillId="15" borderId="1" xfId="0" applyFont="1" applyFill="1" applyBorder="1" applyAlignment="1">
      <alignment horizontal="left" vertical="center" wrapText="1"/>
    </xf>
    <xf numFmtId="0" fontId="0" fillId="0" borderId="3" xfId="0" applyFill="1" applyBorder="1"/>
    <xf numFmtId="0" fontId="0" fillId="15" borderId="0" xfId="0" applyFill="1"/>
    <xf numFmtId="0" fontId="0" fillId="15" borderId="0" xfId="0" applyFill="1" applyAlignment="1">
      <alignment horizontal="left" vertical="center" wrapText="1"/>
    </xf>
    <xf numFmtId="0" fontId="0" fillId="15" borderId="0" xfId="0" applyFill="1" applyAlignment="1">
      <alignment vertical="center" wrapText="1"/>
    </xf>
    <xf numFmtId="0" fontId="0" fillId="6" borderId="1" xfId="0" applyFill="1" applyBorder="1"/>
    <xf numFmtId="0" fontId="0" fillId="6" borderId="0" xfId="0" applyFill="1" applyAlignment="1">
      <alignment horizontal="left" vertical="center" wrapText="1"/>
    </xf>
    <xf numFmtId="0" fontId="30" fillId="9" borderId="1" xfId="0" applyFont="1" applyFill="1" applyBorder="1" applyAlignment="1">
      <alignment vertical="center" wrapText="1"/>
    </xf>
    <xf numFmtId="0" fontId="10" fillId="12" borderId="1" xfId="0" applyFont="1" applyFill="1" applyBorder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3" fillId="0" borderId="0" xfId="0" applyFont="1" applyBorder="1" applyAlignment="1"/>
    <xf numFmtId="0" fontId="10" fillId="9" borderId="4" xfId="0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10" borderId="1" xfId="0" applyFont="1" applyFill="1" applyBorder="1"/>
    <xf numFmtId="0" fontId="0" fillId="10" borderId="1" xfId="0" applyFont="1" applyFill="1" applyBorder="1" applyAlignment="1">
      <alignment wrapText="1"/>
    </xf>
    <xf numFmtId="0" fontId="0" fillId="16" borderId="1" xfId="0" applyFont="1" applyFill="1" applyBorder="1"/>
    <xf numFmtId="0" fontId="0" fillId="16" borderId="1" xfId="0" applyFont="1" applyFill="1" applyBorder="1" applyAlignment="1">
      <alignment wrapText="1"/>
    </xf>
    <xf numFmtId="0" fontId="10" fillId="12" borderId="9" xfId="0" applyFont="1" applyFill="1" applyBorder="1" applyAlignment="1">
      <alignment horizontal="center" vertical="center" wrapText="1"/>
    </xf>
    <xf numFmtId="0" fontId="18" fillId="0" borderId="0" xfId="0" applyFont="1" applyFill="1"/>
    <xf numFmtId="0" fontId="0" fillId="0" borderId="4" xfId="0" applyFont="1" applyBorder="1" applyAlignment="1">
      <alignment horizontal="left" wrapText="1"/>
    </xf>
    <xf numFmtId="0" fontId="3" fillId="0" borderId="8" xfId="0" applyFont="1" applyBorder="1" applyAlignment="1">
      <alignment horizontal="left"/>
    </xf>
    <xf numFmtId="0" fontId="1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3" fillId="0" borderId="0" xfId="0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1" fillId="10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22" fillId="14" borderId="4" xfId="0" applyFont="1" applyFill="1" applyBorder="1" applyAlignment="1">
      <alignment horizontal="center" vertical="center" wrapText="1"/>
    </xf>
    <xf numFmtId="0" fontId="22" fillId="14" borderId="5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/>
    </xf>
    <xf numFmtId="0" fontId="23" fillId="14" borderId="1" xfId="0" applyFont="1" applyFill="1" applyBorder="1" applyAlignment="1">
      <alignment horizontal="center" vertical="center" wrapText="1"/>
    </xf>
    <xf numFmtId="0" fontId="21" fillId="0" borderId="5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5" xfId="0" applyFont="1" applyFill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24" fillId="15" borderId="5" xfId="0" applyFont="1" applyFill="1" applyBorder="1" applyAlignment="1">
      <alignment horizontal="center" vertical="center"/>
    </xf>
    <xf numFmtId="0" fontId="24" fillId="15" borderId="0" xfId="0" applyFont="1" applyFill="1" applyAlignment="1">
      <alignment horizontal="left" indent="2"/>
    </xf>
    <xf numFmtId="0" fontId="22" fillId="6" borderId="4" xfId="0" applyFont="1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left" vertical="center" wrapText="1" indent="1"/>
    </xf>
    <xf numFmtId="0" fontId="1" fillId="11" borderId="4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left" vertical="center" wrapText="1" indent="1"/>
    </xf>
    <xf numFmtId="0" fontId="17" fillId="12" borderId="3" xfId="0" applyFont="1" applyFill="1" applyBorder="1" applyAlignment="1">
      <alignment horizontal="left" vertical="center" wrapText="1" indent="1"/>
    </xf>
    <xf numFmtId="2" fontId="1" fillId="0" borderId="2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314325</xdr:rowOff>
        </xdr:from>
        <xdr:to>
          <xdr:col>6</xdr:col>
          <xdr:colOff>800100</xdr:colOff>
          <xdr:row>0</xdr:row>
          <xdr:rowOff>981075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Begin HX Recci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38100</xdr:rowOff>
    </xdr:from>
    <xdr:to>
      <xdr:col>1</xdr:col>
      <xdr:colOff>38100</xdr:colOff>
      <xdr:row>14</xdr:row>
      <xdr:rowOff>177800</xdr:rowOff>
    </xdr:to>
    <xdr:pic>
      <xdr:nvPicPr>
        <xdr:cNvPr id="2" name="Disablescreenshot"/>
        <xdr:cNvPicPr/>
      </xdr:nvPicPr>
      <xdr:blipFill rotWithShape="1">
        <a:blip xmlns:r="http://schemas.openxmlformats.org/officeDocument/2006/relationships" r:embed="rId1"/>
        <a:srcRect t="86332" b="5931"/>
        <a:stretch/>
      </xdr:blipFill>
      <xdr:spPr bwMode="auto">
        <a:xfrm>
          <a:off x="0" y="2514600"/>
          <a:ext cx="5724525" cy="3302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19050</xdr:rowOff>
    </xdr:from>
    <xdr:to>
      <xdr:col>1</xdr:col>
      <xdr:colOff>40005</xdr:colOff>
      <xdr:row>31</xdr:row>
      <xdr:rowOff>123825</xdr:rowOff>
    </xdr:to>
    <xdr:pic>
      <xdr:nvPicPr>
        <xdr:cNvPr id="3" name="Picture 2"/>
        <xdr:cNvPicPr/>
      </xdr:nvPicPr>
      <xdr:blipFill rotWithShape="1">
        <a:blip xmlns:r="http://schemas.openxmlformats.org/officeDocument/2006/relationships" r:embed="rId2"/>
        <a:srcRect b="39568"/>
        <a:stretch/>
      </xdr:blipFill>
      <xdr:spPr bwMode="auto">
        <a:xfrm>
          <a:off x="0" y="3448050"/>
          <a:ext cx="5726430" cy="258127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1354685\Documents\Old%20templates\Master%20Migration%20Check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8"/>
  <sheetViews>
    <sheetView zoomScale="85" zoomScaleNormal="85" workbookViewId="0">
      <selection activeCell="A3" sqref="A3:C3"/>
    </sheetView>
  </sheetViews>
  <sheetFormatPr defaultRowHeight="15" x14ac:dyDescent="0.25"/>
  <cols>
    <col min="1" max="1" width="10.42578125" style="43" bestFit="1" customWidth="1"/>
    <col min="2" max="2" width="116.28515625" style="43" bestFit="1" customWidth="1"/>
    <col min="3" max="3" width="11.28515625" style="2" bestFit="1" customWidth="1"/>
    <col min="4" max="16384" width="9.140625" style="43"/>
  </cols>
  <sheetData>
    <row r="1" spans="1:3" ht="23.25" customHeight="1" x14ac:dyDescent="0.25">
      <c r="A1" s="171" t="s">
        <v>190</v>
      </c>
      <c r="B1" s="171"/>
      <c r="C1" s="171"/>
    </row>
    <row r="2" spans="1:3" ht="18.75" customHeight="1" x14ac:dyDescent="0.3">
      <c r="A2" s="172" t="s">
        <v>191</v>
      </c>
      <c r="B2" s="172"/>
      <c r="C2" s="172"/>
    </row>
    <row r="3" spans="1:3" ht="18.75" customHeight="1" x14ac:dyDescent="0.3">
      <c r="A3" s="172" t="s">
        <v>301</v>
      </c>
      <c r="B3" s="172"/>
      <c r="C3" s="172"/>
    </row>
    <row r="4" spans="1:3" ht="18.75" customHeight="1" x14ac:dyDescent="0.3">
      <c r="A4" s="172" t="s">
        <v>255</v>
      </c>
      <c r="B4" s="172"/>
      <c r="C4" s="172"/>
    </row>
    <row r="5" spans="1:3" s="5" customFormat="1" ht="23.25" x14ac:dyDescent="0.35">
      <c r="A5" s="170" t="s">
        <v>167</v>
      </c>
      <c r="B5" s="170"/>
      <c r="C5" s="152"/>
    </row>
    <row r="6" spans="1:3" s="156" customFormat="1" ht="21.75" customHeight="1" x14ac:dyDescent="0.25">
      <c r="A6" s="153" t="s">
        <v>1</v>
      </c>
      <c r="B6" s="154" t="s">
        <v>3</v>
      </c>
      <c r="C6" s="155" t="s">
        <v>242</v>
      </c>
    </row>
    <row r="7" spans="1:3" s="107" customFormat="1" x14ac:dyDescent="0.25">
      <c r="A7" s="106" t="s">
        <v>17</v>
      </c>
      <c r="B7" s="106" t="s">
        <v>177</v>
      </c>
      <c r="C7" s="157" t="s">
        <v>72</v>
      </c>
    </row>
    <row r="8" spans="1:3" x14ac:dyDescent="0.25">
      <c r="A8" s="55" t="s">
        <v>7</v>
      </c>
      <c r="B8" s="55" t="s">
        <v>171</v>
      </c>
      <c r="C8" s="100"/>
    </row>
    <row r="9" spans="1:3" x14ac:dyDescent="0.25">
      <c r="A9" s="55" t="s">
        <v>7</v>
      </c>
      <c r="B9" s="55" t="s">
        <v>161</v>
      </c>
      <c r="C9" s="100"/>
    </row>
    <row r="10" spans="1:3" x14ac:dyDescent="0.25">
      <c r="A10" s="55" t="s">
        <v>7</v>
      </c>
      <c r="B10" s="55" t="s">
        <v>160</v>
      </c>
      <c r="C10" s="100"/>
    </row>
    <row r="11" spans="1:3" x14ac:dyDescent="0.25">
      <c r="A11" s="55" t="s">
        <v>7</v>
      </c>
      <c r="B11" s="73" t="s">
        <v>162</v>
      </c>
      <c r="C11" s="100"/>
    </row>
    <row r="12" spans="1:3" x14ac:dyDescent="0.25">
      <c r="A12" s="55" t="s">
        <v>7</v>
      </c>
      <c r="B12" s="55" t="s">
        <v>163</v>
      </c>
      <c r="C12" s="100"/>
    </row>
    <row r="13" spans="1:3" x14ac:dyDescent="0.25">
      <c r="A13" s="55" t="s">
        <v>7</v>
      </c>
      <c r="B13" s="55" t="s">
        <v>164</v>
      </c>
      <c r="C13" s="100"/>
    </row>
    <row r="14" spans="1:3" x14ac:dyDescent="0.25">
      <c r="A14" s="55" t="s">
        <v>7</v>
      </c>
      <c r="B14" s="73" t="s">
        <v>165</v>
      </c>
      <c r="C14" s="100"/>
    </row>
    <row r="15" spans="1:3" x14ac:dyDescent="0.25">
      <c r="A15" s="55" t="s">
        <v>7</v>
      </c>
      <c r="B15" s="55" t="s">
        <v>166</v>
      </c>
      <c r="C15" s="100"/>
    </row>
    <row r="17" spans="1:3" ht="23.25" x14ac:dyDescent="0.35">
      <c r="A17" s="173" t="s">
        <v>168</v>
      </c>
      <c r="B17" s="173"/>
      <c r="C17" s="159"/>
    </row>
    <row r="18" spans="1:3" s="47" customFormat="1" ht="21.75" customHeight="1" x14ac:dyDescent="0.25">
      <c r="A18" s="72" t="s">
        <v>1</v>
      </c>
      <c r="B18" s="160" t="s">
        <v>3</v>
      </c>
      <c r="C18" s="161" t="str">
        <f>C$6</f>
        <v>Branch 1</v>
      </c>
    </row>
    <row r="19" spans="1:3" x14ac:dyDescent="0.25">
      <c r="A19" s="55" t="s">
        <v>17</v>
      </c>
      <c r="B19" s="55" t="s">
        <v>14</v>
      </c>
      <c r="C19" s="99"/>
    </row>
    <row r="20" spans="1:3" x14ac:dyDescent="0.25">
      <c r="A20" s="55" t="s">
        <v>174</v>
      </c>
      <c r="B20" s="55" t="s">
        <v>169</v>
      </c>
      <c r="C20" s="99"/>
    </row>
    <row r="21" spans="1:3" x14ac:dyDescent="0.25">
      <c r="A21" s="55" t="s">
        <v>174</v>
      </c>
      <c r="B21" s="55" t="s">
        <v>6</v>
      </c>
      <c r="C21" s="99"/>
    </row>
    <row r="22" spans="1:3" x14ac:dyDescent="0.25">
      <c r="A22" s="55" t="s">
        <v>7</v>
      </c>
      <c r="B22" s="55" t="s">
        <v>6</v>
      </c>
      <c r="C22" s="99"/>
    </row>
    <row r="23" spans="1:3" x14ac:dyDescent="0.25">
      <c r="A23" s="55" t="s">
        <v>7</v>
      </c>
      <c r="B23" s="55" t="s">
        <v>169</v>
      </c>
      <c r="C23" s="169"/>
    </row>
    <row r="24" spans="1:3" x14ac:dyDescent="0.25">
      <c r="A24" s="73" t="s">
        <v>7</v>
      </c>
      <c r="B24" s="73" t="s">
        <v>194</v>
      </c>
      <c r="C24" s="99"/>
    </row>
    <row r="25" spans="1:3" x14ac:dyDescent="0.25">
      <c r="A25" s="73" t="s">
        <v>7</v>
      </c>
      <c r="B25" s="73" t="s">
        <v>193</v>
      </c>
      <c r="C25" s="162"/>
    </row>
    <row r="27" spans="1:3" ht="23.25" x14ac:dyDescent="0.35">
      <c r="A27" s="170" t="s">
        <v>170</v>
      </c>
      <c r="B27" s="170"/>
      <c r="C27" s="159"/>
    </row>
    <row r="28" spans="1:3" s="47" customFormat="1" ht="21.75" customHeight="1" x14ac:dyDescent="0.25">
      <c r="A28" s="72" t="s">
        <v>1</v>
      </c>
      <c r="B28" s="72" t="s">
        <v>3</v>
      </c>
      <c r="C28" s="161" t="str">
        <f t="shared" ref="C28" si="0">C6</f>
        <v>Branch 1</v>
      </c>
    </row>
    <row r="29" spans="1:3" x14ac:dyDescent="0.25">
      <c r="A29" s="55" t="s">
        <v>17</v>
      </c>
      <c r="B29" s="55" t="s">
        <v>14</v>
      </c>
      <c r="C29" s="158"/>
    </row>
    <row r="30" spans="1:3" x14ac:dyDescent="0.25">
      <c r="A30" s="55" t="s">
        <v>174</v>
      </c>
      <c r="B30" s="55" t="s">
        <v>172</v>
      </c>
      <c r="C30" s="99"/>
    </row>
    <row r="31" spans="1:3" x14ac:dyDescent="0.25">
      <c r="A31" s="55" t="s">
        <v>174</v>
      </c>
      <c r="B31" s="55" t="s">
        <v>173</v>
      </c>
      <c r="C31" s="99"/>
    </row>
    <row r="32" spans="1:3" x14ac:dyDescent="0.25">
      <c r="A32" s="55" t="s">
        <v>174</v>
      </c>
      <c r="B32" s="74" t="s">
        <v>32</v>
      </c>
      <c r="C32" s="99"/>
    </row>
    <row r="33" spans="1:3" x14ac:dyDescent="0.25">
      <c r="A33" s="135" t="s">
        <v>17</v>
      </c>
      <c r="B33" s="134" t="s">
        <v>262</v>
      </c>
      <c r="C33" s="99" t="str">
        <f>IF($C$7="Y","","N/A")</f>
        <v>N/A</v>
      </c>
    </row>
    <row r="34" spans="1:3" x14ac:dyDescent="0.25">
      <c r="A34" s="163" t="s">
        <v>302</v>
      </c>
      <c r="B34" s="164" t="s">
        <v>303</v>
      </c>
      <c r="C34" s="99"/>
    </row>
    <row r="35" spans="1:3" x14ac:dyDescent="0.25">
      <c r="A35" s="135" t="s">
        <v>7</v>
      </c>
      <c r="B35" s="136" t="s">
        <v>304</v>
      </c>
      <c r="C35" s="99" t="str">
        <f t="shared" ref="C35:C37" si="1">IF(C$7="Y","","N/A")</f>
        <v>N/A</v>
      </c>
    </row>
    <row r="36" spans="1:3" x14ac:dyDescent="0.25">
      <c r="A36" s="135" t="s">
        <v>7</v>
      </c>
      <c r="B36" s="136" t="s">
        <v>243</v>
      </c>
      <c r="C36" s="99" t="str">
        <f t="shared" si="1"/>
        <v>N/A</v>
      </c>
    </row>
    <row r="37" spans="1:3" x14ac:dyDescent="0.25">
      <c r="A37" s="135" t="s">
        <v>7</v>
      </c>
      <c r="B37" s="135" t="s">
        <v>305</v>
      </c>
      <c r="C37" s="99" t="str">
        <f t="shared" si="1"/>
        <v>N/A</v>
      </c>
    </row>
    <row r="38" spans="1:3" x14ac:dyDescent="0.25">
      <c r="A38" s="55" t="s">
        <v>17</v>
      </c>
      <c r="B38" s="74" t="s">
        <v>19</v>
      </c>
      <c r="C38" s="99"/>
    </row>
    <row r="39" spans="1:3" x14ac:dyDescent="0.25">
      <c r="A39" s="55" t="s">
        <v>17</v>
      </c>
      <c r="B39" s="74" t="s">
        <v>306</v>
      </c>
      <c r="C39" s="99"/>
    </row>
    <row r="40" spans="1:3" x14ac:dyDescent="0.25">
      <c r="A40" s="163" t="s">
        <v>302</v>
      </c>
      <c r="B40" s="164" t="s">
        <v>307</v>
      </c>
      <c r="C40" s="99"/>
    </row>
    <row r="41" spans="1:3" s="2" customFormat="1" x14ac:dyDescent="0.25">
      <c r="A41" s="74" t="s">
        <v>17</v>
      </c>
      <c r="B41" s="74" t="s">
        <v>175</v>
      </c>
      <c r="C41" s="74"/>
    </row>
    <row r="42" spans="1:3" s="50" customFormat="1" x14ac:dyDescent="0.25">
      <c r="A42" s="73" t="s">
        <v>7</v>
      </c>
      <c r="B42" s="73" t="s">
        <v>308</v>
      </c>
      <c r="C42" s="99"/>
    </row>
    <row r="43" spans="1:3" s="50" customFormat="1" x14ac:dyDescent="0.25">
      <c r="A43" s="112" t="s">
        <v>7</v>
      </c>
      <c r="B43" s="113" t="s">
        <v>309</v>
      </c>
      <c r="C43" s="99" t="str">
        <f t="shared" ref="C43:C46" si="2">IF(C$7="Y","","N/A")</f>
        <v>N/A</v>
      </c>
    </row>
    <row r="44" spans="1:3" s="50" customFormat="1" x14ac:dyDescent="0.25">
      <c r="A44" s="112" t="s">
        <v>7</v>
      </c>
      <c r="B44" s="113" t="s">
        <v>310</v>
      </c>
      <c r="C44" s="99" t="str">
        <f t="shared" si="2"/>
        <v>N/A</v>
      </c>
    </row>
    <row r="45" spans="1:3" s="50" customFormat="1" x14ac:dyDescent="0.25">
      <c r="A45" s="112" t="s">
        <v>7</v>
      </c>
      <c r="B45" s="113" t="s">
        <v>311</v>
      </c>
      <c r="C45" s="99" t="str">
        <f t="shared" si="2"/>
        <v>N/A</v>
      </c>
    </row>
    <row r="46" spans="1:3" s="50" customFormat="1" x14ac:dyDescent="0.25">
      <c r="A46" s="55" t="s">
        <v>176</v>
      </c>
      <c r="B46" s="55" t="s">
        <v>192</v>
      </c>
      <c r="C46" s="99" t="str">
        <f t="shared" si="2"/>
        <v>N/A</v>
      </c>
    </row>
    <row r="47" spans="1:3" x14ac:dyDescent="0.25">
      <c r="A47" s="163" t="s">
        <v>302</v>
      </c>
      <c r="B47" s="164" t="s">
        <v>312</v>
      </c>
      <c r="C47" s="99"/>
    </row>
    <row r="48" spans="1:3" x14ac:dyDescent="0.25">
      <c r="A48" s="55" t="s">
        <v>17</v>
      </c>
      <c r="B48" s="55" t="s">
        <v>313</v>
      </c>
      <c r="C48" s="99"/>
    </row>
    <row r="49" spans="1:3" x14ac:dyDescent="0.25">
      <c r="A49" s="55" t="s">
        <v>7</v>
      </c>
      <c r="B49" s="55" t="s">
        <v>178</v>
      </c>
      <c r="C49" s="99"/>
    </row>
    <row r="50" spans="1:3" x14ac:dyDescent="0.25">
      <c r="A50" s="55" t="s">
        <v>7</v>
      </c>
      <c r="B50" s="55" t="s">
        <v>179</v>
      </c>
      <c r="C50" s="99"/>
    </row>
    <row r="51" spans="1:3" x14ac:dyDescent="0.25">
      <c r="A51" s="55" t="s">
        <v>17</v>
      </c>
      <c r="B51" s="55" t="s">
        <v>314</v>
      </c>
      <c r="C51" s="99"/>
    </row>
    <row r="52" spans="1:3" x14ac:dyDescent="0.25">
      <c r="A52" s="55" t="s">
        <v>7</v>
      </c>
      <c r="B52" s="55" t="s">
        <v>180</v>
      </c>
      <c r="C52" s="99"/>
    </row>
    <row r="53" spans="1:3" x14ac:dyDescent="0.25">
      <c r="A53" s="163" t="s">
        <v>302</v>
      </c>
      <c r="B53" s="164" t="s">
        <v>315</v>
      </c>
      <c r="C53" s="99"/>
    </row>
    <row r="54" spans="1:3" x14ac:dyDescent="0.25">
      <c r="A54" s="55" t="s">
        <v>17</v>
      </c>
      <c r="B54" s="55" t="s">
        <v>316</v>
      </c>
      <c r="C54" s="99"/>
    </row>
    <row r="55" spans="1:3" x14ac:dyDescent="0.25">
      <c r="A55" s="163" t="s">
        <v>302</v>
      </c>
      <c r="B55" s="164" t="s">
        <v>317</v>
      </c>
      <c r="C55" s="99"/>
    </row>
    <row r="56" spans="1:3" x14ac:dyDescent="0.25">
      <c r="A56" s="165" t="s">
        <v>318</v>
      </c>
      <c r="B56" s="166" t="s">
        <v>319</v>
      </c>
      <c r="C56" s="99"/>
    </row>
    <row r="57" spans="1:3" x14ac:dyDescent="0.25">
      <c r="A57" s="165" t="s">
        <v>318</v>
      </c>
      <c r="B57" s="166" t="s">
        <v>320</v>
      </c>
      <c r="C57" s="99"/>
    </row>
    <row r="58" spans="1:3" x14ac:dyDescent="0.25">
      <c r="A58" s="165" t="s">
        <v>318</v>
      </c>
      <c r="B58" s="166" t="s">
        <v>321</v>
      </c>
      <c r="C58" s="99"/>
    </row>
    <row r="59" spans="1:3" x14ac:dyDescent="0.25">
      <c r="A59" s="165" t="s">
        <v>318</v>
      </c>
      <c r="B59" s="166" t="s">
        <v>322</v>
      </c>
      <c r="C59" s="99"/>
    </row>
    <row r="60" spans="1:3" x14ac:dyDescent="0.25">
      <c r="A60" s="165" t="s">
        <v>318</v>
      </c>
      <c r="B60" s="166" t="s">
        <v>323</v>
      </c>
      <c r="C60" s="99"/>
    </row>
    <row r="61" spans="1:3" x14ac:dyDescent="0.25">
      <c r="A61" s="165" t="s">
        <v>318</v>
      </c>
      <c r="B61" s="166" t="s">
        <v>324</v>
      </c>
      <c r="C61" s="99"/>
    </row>
    <row r="62" spans="1:3" x14ac:dyDescent="0.25">
      <c r="A62" s="165" t="s">
        <v>318</v>
      </c>
      <c r="B62" s="166" t="s">
        <v>325</v>
      </c>
      <c r="C62" s="99"/>
    </row>
    <row r="63" spans="1:3" x14ac:dyDescent="0.25">
      <c r="A63" s="55" t="s">
        <v>7</v>
      </c>
      <c r="B63" s="55" t="s">
        <v>181</v>
      </c>
      <c r="C63" s="99"/>
    </row>
    <row r="64" spans="1:3" x14ac:dyDescent="0.25">
      <c r="A64" s="55" t="s">
        <v>17</v>
      </c>
      <c r="B64" s="55" t="s">
        <v>326</v>
      </c>
      <c r="C64" s="99"/>
    </row>
    <row r="65" spans="1:3" x14ac:dyDescent="0.25">
      <c r="A65" s="165" t="s">
        <v>318</v>
      </c>
      <c r="B65" s="166" t="s">
        <v>327</v>
      </c>
      <c r="C65" s="99"/>
    </row>
    <row r="66" spans="1:3" x14ac:dyDescent="0.25">
      <c r="A66" s="163" t="s">
        <v>302</v>
      </c>
      <c r="B66" s="164" t="s">
        <v>328</v>
      </c>
      <c r="C66" s="99"/>
    </row>
    <row r="67" spans="1:3" x14ac:dyDescent="0.25">
      <c r="A67" s="165" t="s">
        <v>318</v>
      </c>
      <c r="B67" s="166" t="s">
        <v>329</v>
      </c>
      <c r="C67" s="99"/>
    </row>
    <row r="68" spans="1:3" x14ac:dyDescent="0.25">
      <c r="A68" s="137" t="s">
        <v>17</v>
      </c>
      <c r="B68" s="138" t="s">
        <v>63</v>
      </c>
      <c r="C68" s="99"/>
    </row>
    <row r="69" spans="1:3" x14ac:dyDescent="0.25">
      <c r="A69" s="137" t="s">
        <v>7</v>
      </c>
      <c r="B69" s="138" t="s">
        <v>239</v>
      </c>
      <c r="C69" s="99"/>
    </row>
    <row r="70" spans="1:3" x14ac:dyDescent="0.25">
      <c r="A70" s="139" t="s">
        <v>7</v>
      </c>
      <c r="B70" s="113" t="s">
        <v>263</v>
      </c>
      <c r="C70" s="99"/>
    </row>
    <row r="71" spans="1:3" x14ac:dyDescent="0.25">
      <c r="A71" s="137" t="s">
        <v>7</v>
      </c>
      <c r="B71" s="138" t="s">
        <v>330</v>
      </c>
      <c r="C71" s="99"/>
    </row>
    <row r="72" spans="1:3" x14ac:dyDescent="0.25">
      <c r="A72" s="163" t="s">
        <v>302</v>
      </c>
      <c r="B72" s="164" t="s">
        <v>331</v>
      </c>
      <c r="C72" s="99"/>
    </row>
    <row r="73" spans="1:3" x14ac:dyDescent="0.25">
      <c r="A73" s="137" t="s">
        <v>7</v>
      </c>
      <c r="B73" s="138" t="s">
        <v>332</v>
      </c>
      <c r="C73" s="99"/>
    </row>
    <row r="75" spans="1:3" ht="23.25" x14ac:dyDescent="0.35">
      <c r="A75" s="170" t="s">
        <v>182</v>
      </c>
      <c r="B75" s="170"/>
      <c r="C75" s="159"/>
    </row>
    <row r="76" spans="1:3" s="168" customFormat="1" ht="18.75" x14ac:dyDescent="0.25">
      <c r="A76" s="153" t="s">
        <v>1</v>
      </c>
      <c r="B76" s="153" t="s">
        <v>3</v>
      </c>
      <c r="C76" s="167" t="str">
        <f t="shared" ref="C76" si="3">C6</f>
        <v>Branch 1</v>
      </c>
    </row>
    <row r="77" spans="1:3" x14ac:dyDescent="0.25">
      <c r="A77" s="55" t="s">
        <v>17</v>
      </c>
      <c r="B77" s="56" t="s">
        <v>158</v>
      </c>
      <c r="C77" s="158"/>
    </row>
    <row r="78" spans="1:3" x14ac:dyDescent="0.25">
      <c r="A78" s="55" t="s">
        <v>7</v>
      </c>
      <c r="B78" s="57" t="s">
        <v>49</v>
      </c>
      <c r="C78" s="99"/>
    </row>
    <row r="79" spans="1:3" x14ac:dyDescent="0.25">
      <c r="A79" s="137" t="s">
        <v>7</v>
      </c>
      <c r="B79" s="138" t="s">
        <v>333</v>
      </c>
      <c r="C79" s="99"/>
    </row>
    <row r="80" spans="1:3" s="47" customFormat="1" x14ac:dyDescent="0.25">
      <c r="A80" s="55" t="s">
        <v>17</v>
      </c>
      <c r="B80" s="57" t="s">
        <v>50</v>
      </c>
      <c r="C80" s="99"/>
    </row>
    <row r="81" spans="1:3" x14ac:dyDescent="0.25">
      <c r="A81" s="55" t="s">
        <v>7</v>
      </c>
      <c r="B81" s="57" t="s">
        <v>52</v>
      </c>
      <c r="C81" s="99"/>
    </row>
    <row r="82" spans="1:3" x14ac:dyDescent="0.25">
      <c r="A82" s="55" t="s">
        <v>174</v>
      </c>
      <c r="B82" s="56" t="s">
        <v>49</v>
      </c>
      <c r="C82" s="99"/>
    </row>
    <row r="83" spans="1:3" x14ac:dyDescent="0.25">
      <c r="A83" s="55" t="s">
        <v>174</v>
      </c>
      <c r="B83" s="56" t="s">
        <v>52</v>
      </c>
      <c r="C83" s="99"/>
    </row>
    <row r="84" spans="1:3" x14ac:dyDescent="0.25">
      <c r="A84" s="55" t="s">
        <v>174</v>
      </c>
      <c r="B84" s="56" t="s">
        <v>53</v>
      </c>
      <c r="C84" s="99"/>
    </row>
    <row r="85" spans="1:3" x14ac:dyDescent="0.25">
      <c r="A85" s="55" t="s">
        <v>7</v>
      </c>
      <c r="B85" s="57" t="s">
        <v>52</v>
      </c>
      <c r="C85" s="99"/>
    </row>
    <row r="86" spans="1:3" x14ac:dyDescent="0.25">
      <c r="A86" s="55" t="s">
        <v>174</v>
      </c>
      <c r="B86" s="56" t="s">
        <v>49</v>
      </c>
      <c r="C86" s="99"/>
    </row>
    <row r="87" spans="1:3" x14ac:dyDescent="0.25">
      <c r="A87" s="55" t="s">
        <v>174</v>
      </c>
      <c r="B87" s="56" t="s">
        <v>52</v>
      </c>
      <c r="C87" s="99"/>
    </row>
    <row r="88" spans="1:3" x14ac:dyDescent="0.25">
      <c r="A88" s="55" t="s">
        <v>174</v>
      </c>
      <c r="B88" s="56" t="s">
        <v>53</v>
      </c>
      <c r="C88" s="99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 A24:C26 C21:C22 C28:C32 C76:C77 A6:C7 A11:C16 A18:C20 C80:C88 C37:C38 C67 C53:C54">
    <cfRule type="expression" dxfId="52" priority="85">
      <formula>A7=Y</formula>
    </cfRule>
  </conditionalFormatting>
  <conditionalFormatting sqref="C19:C20 C29:C73 C8:C15 C24:C25 C77:C88">
    <cfRule type="cellIs" dxfId="51" priority="84" operator="equal">
      <formula>"Y"</formula>
    </cfRule>
  </conditionalFormatting>
  <conditionalFormatting sqref="C40 B22:C22 A8:C9 C78 C47 C49:C52 C72">
    <cfRule type="expression" dxfId="50" priority="86">
      <formula>A10=Y</formula>
    </cfRule>
  </conditionalFormatting>
  <conditionalFormatting sqref="C37 C33:C35">
    <cfRule type="expression" dxfId="49" priority="87">
      <formula>#REF!=Y</formula>
    </cfRule>
  </conditionalFormatting>
  <conditionalFormatting sqref="C43:C46">
    <cfRule type="expression" dxfId="48" priority="82">
      <formula>#REF!=Y</formula>
    </cfRule>
  </conditionalFormatting>
  <conditionalFormatting sqref="C43:C46 C71 C61:C64">
    <cfRule type="expression" dxfId="47" priority="88">
      <formula>#REF!=Y</formula>
    </cfRule>
  </conditionalFormatting>
  <conditionalFormatting sqref="C35:C36 C70 C55:C57 C48">
    <cfRule type="expression" dxfId="46" priority="89">
      <formula>C38=Y</formula>
    </cfRule>
  </conditionalFormatting>
  <conditionalFormatting sqref="C36">
    <cfRule type="expression" dxfId="45" priority="78">
      <formula>#REF!=Y</formula>
    </cfRule>
  </conditionalFormatting>
  <conditionalFormatting sqref="C43:C46">
    <cfRule type="expression" dxfId="44" priority="90">
      <formula>C49=Y</formula>
    </cfRule>
  </conditionalFormatting>
  <conditionalFormatting sqref="C42">
    <cfRule type="expression" dxfId="43" priority="91">
      <formula>C47=Y</formula>
    </cfRule>
  </conditionalFormatting>
  <conditionalFormatting sqref="C58:C59">
    <cfRule type="expression" dxfId="42" priority="92">
      <formula>C67=Y</formula>
    </cfRule>
  </conditionalFormatting>
  <conditionalFormatting sqref="C68:C69 C66">
    <cfRule type="expression" dxfId="41" priority="93">
      <formula>#REF!=Y</formula>
    </cfRule>
  </conditionalFormatting>
  <conditionalFormatting sqref="C65">
    <cfRule type="expression" dxfId="40" priority="94">
      <formula>#REF!=Y</formula>
    </cfRule>
  </conditionalFormatting>
  <conditionalFormatting sqref="C60">
    <cfRule type="expression" dxfId="39" priority="97">
      <formula>C70=Y</formula>
    </cfRule>
  </conditionalFormatting>
  <conditionalFormatting sqref="A10:C10 C73">
    <cfRule type="expression" dxfId="38" priority="98">
      <formula>A9=Y</formula>
    </cfRule>
  </conditionalFormatting>
  <conditionalFormatting sqref="C79">
    <cfRule type="expression" dxfId="37" priority="73">
      <formula>C77=Y</formula>
    </cfRule>
  </conditionalFormatting>
  <conditionalFormatting sqref="C17">
    <cfRule type="expression" dxfId="36" priority="71">
      <formula>C18=Y</formula>
    </cfRule>
  </conditionalFormatting>
  <conditionalFormatting sqref="C27">
    <cfRule type="expression" dxfId="35" priority="70">
      <formula>C28=Y</formula>
    </cfRule>
  </conditionalFormatting>
  <conditionalFormatting sqref="C75">
    <cfRule type="expression" dxfId="34" priority="69">
      <formula>C76=Y</formula>
    </cfRule>
  </conditionalFormatting>
  <conditionalFormatting sqref="C5">
    <cfRule type="expression" dxfId="33" priority="38">
      <formula>C6=Y</formula>
    </cfRule>
  </conditionalFormatting>
  <conditionalFormatting sqref="A23:C23">
    <cfRule type="expression" dxfId="32" priority="19">
      <formula>A24=Y</formula>
    </cfRule>
  </conditionalFormatting>
  <conditionalFormatting sqref="C21:C23">
    <cfRule type="cellIs" dxfId="31" priority="18" operator="equal">
      <formula>"Y"</formula>
    </cfRule>
  </conditionalFormatting>
  <conditionalFormatting sqref="A21:B21">
    <cfRule type="expression" dxfId="30" priority="20">
      <formula>A23=Y</formula>
    </cfRule>
  </conditionalFormatting>
  <conditionalFormatting sqref="A22">
    <cfRule type="expression" dxfId="29" priority="17">
      <formula>A23=Y</formula>
    </cfRule>
  </conditionalFormatting>
  <conditionalFormatting sqref="A74:B74 A37:B38 A41:B41 A63:B63 A48:B51 A27 A75 A28:B32 A76:B77 A80:B84">
    <cfRule type="expression" dxfId="28" priority="11">
      <formula>A28=Y</formula>
    </cfRule>
  </conditionalFormatting>
  <conditionalFormatting sqref="A39:B39 A46:B46 A52:B52 A78:B78">
    <cfRule type="expression" dxfId="27" priority="12">
      <formula>A41=Y</formula>
    </cfRule>
  </conditionalFormatting>
  <conditionalFormatting sqref="A64:B64 A33:B34">
    <cfRule type="expression" dxfId="26" priority="13">
      <formula>#REF!=Y</formula>
    </cfRule>
  </conditionalFormatting>
  <conditionalFormatting sqref="A35">
    <cfRule type="expression" dxfId="25" priority="14">
      <formula>#REF!=Y</formula>
    </cfRule>
  </conditionalFormatting>
  <conditionalFormatting sqref="A40:B40">
    <cfRule type="expression" dxfId="24" priority="10">
      <formula>#REF!=Y</formula>
    </cfRule>
  </conditionalFormatting>
  <conditionalFormatting sqref="A47:B47">
    <cfRule type="expression" dxfId="23" priority="9">
      <formula>#REF!=Y</formula>
    </cfRule>
  </conditionalFormatting>
  <conditionalFormatting sqref="A55:B62">
    <cfRule type="expression" dxfId="22" priority="8">
      <formula>#REF!=Y</formula>
    </cfRule>
  </conditionalFormatting>
  <conditionalFormatting sqref="A66:B66">
    <cfRule type="expression" dxfId="21" priority="7">
      <formula>#REF!=Y</formula>
    </cfRule>
  </conditionalFormatting>
  <conditionalFormatting sqref="A72:B72">
    <cfRule type="expression" dxfId="20" priority="6">
      <formula>#REF!=Y</formula>
    </cfRule>
  </conditionalFormatting>
  <conditionalFormatting sqref="A53:B53">
    <cfRule type="expression" dxfId="19" priority="5">
      <formula>#REF!=Y</formula>
    </cfRule>
  </conditionalFormatting>
  <conditionalFormatting sqref="A36">
    <cfRule type="expression" dxfId="18" priority="4">
      <formula>#REF!=Y</formula>
    </cfRule>
  </conditionalFormatting>
  <conditionalFormatting sqref="A42:B42">
    <cfRule type="expression" dxfId="17" priority="15">
      <formula>A46=Y</formula>
    </cfRule>
  </conditionalFormatting>
  <conditionalFormatting sqref="A54:B54">
    <cfRule type="expression" dxfId="16" priority="16">
      <formula>A63=Y</formula>
    </cfRule>
  </conditionalFormatting>
  <conditionalFormatting sqref="A65:B65">
    <cfRule type="expression" dxfId="15" priority="3">
      <formula>#REF!=Y</formula>
    </cfRule>
  </conditionalFormatting>
  <conditionalFormatting sqref="A67:B67">
    <cfRule type="expression" dxfId="14" priority="2">
      <formula>#REF!=Y</formula>
    </cfRule>
  </conditionalFormatting>
  <conditionalFormatting sqref="C39">
    <cfRule type="expression" dxfId="13" priority="104">
      <formula>#REF!=Y</formula>
    </cfRule>
  </conditionalFormatting>
  <conditionalFormatting sqref="C41">
    <cfRule type="expression" dxfId="12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3"/>
  <sheetViews>
    <sheetView topLeftCell="B1" zoomScale="85" zoomScaleNormal="85" workbookViewId="0">
      <selection activeCell="E1" sqref="E1:S1048576"/>
    </sheetView>
  </sheetViews>
  <sheetFormatPr defaultColWidth="31.140625" defaultRowHeight="15" x14ac:dyDescent="0.25"/>
  <cols>
    <col min="1" max="1" width="12.42578125" bestFit="1" customWidth="1"/>
    <col min="2" max="2" width="39.28515625" style="3" bestFit="1" customWidth="1"/>
    <col min="3" max="3" width="114.7109375" style="4" bestFit="1" customWidth="1"/>
    <col min="4" max="4" width="4.5703125" bestFit="1" customWidth="1"/>
  </cols>
  <sheetData>
    <row r="1" spans="1:4" ht="31.5" x14ac:dyDescent="0.25">
      <c r="A1" s="174" t="s">
        <v>0</v>
      </c>
      <c r="B1" s="174"/>
      <c r="C1" s="174"/>
      <c r="D1" s="12"/>
    </row>
    <row r="2" spans="1:4" s="63" customFormat="1" ht="50.25" x14ac:dyDescent="0.25">
      <c r="A2" s="67" t="s">
        <v>1</v>
      </c>
      <c r="B2" s="68" t="s">
        <v>2</v>
      </c>
      <c r="C2" s="67" t="s">
        <v>3</v>
      </c>
      <c r="D2" s="64" t="str">
        <f>Control!$C$6</f>
        <v>Branch 1</v>
      </c>
    </row>
    <row r="3" spans="1:4" ht="15.75" x14ac:dyDescent="0.25">
      <c r="A3" s="12" t="s">
        <v>13</v>
      </c>
      <c r="B3" s="13" t="s">
        <v>14</v>
      </c>
      <c r="C3" s="12" t="s">
        <v>15</v>
      </c>
      <c r="D3" s="92"/>
    </row>
    <row r="4" spans="1:4" ht="31.5" x14ac:dyDescent="0.25">
      <c r="A4" s="12" t="s">
        <v>4</v>
      </c>
      <c r="B4" s="43" t="s">
        <v>5</v>
      </c>
      <c r="C4" s="13" t="s">
        <v>64</v>
      </c>
      <c r="D4" s="93"/>
    </row>
    <row r="5" spans="1:4" s="50" customFormat="1" ht="31.5" x14ac:dyDescent="0.25">
      <c r="A5" s="51" t="s">
        <v>4</v>
      </c>
      <c r="B5" s="43" t="s">
        <v>6</v>
      </c>
      <c r="C5" s="52" t="s">
        <v>39</v>
      </c>
      <c r="D5" s="92"/>
    </row>
    <row r="6" spans="1:4" ht="15.75" x14ac:dyDescent="0.25">
      <c r="A6" s="12"/>
      <c r="B6" s="13"/>
      <c r="C6" s="15" t="s">
        <v>60</v>
      </c>
      <c r="D6" s="16"/>
    </row>
    <row r="7" spans="1:4" ht="15.75" x14ac:dyDescent="0.25">
      <c r="A7" s="12"/>
      <c r="B7" s="13"/>
      <c r="C7" s="15" t="s">
        <v>61</v>
      </c>
      <c r="D7" s="16"/>
    </row>
    <row r="8" spans="1:4" ht="15.75" x14ac:dyDescent="0.25">
      <c r="A8" s="12"/>
      <c r="B8" s="13"/>
      <c r="C8" s="13"/>
      <c r="D8" s="16"/>
    </row>
    <row r="9" spans="1:4" x14ac:dyDescent="0.25">
      <c r="C9" s="3"/>
      <c r="D9" s="9"/>
    </row>
    <row r="10" spans="1:4" x14ac:dyDescent="0.25">
      <c r="D10" s="9"/>
    </row>
    <row r="11" spans="1:4" x14ac:dyDescent="0.25">
      <c r="D11" s="9"/>
    </row>
    <row r="12" spans="1:4" x14ac:dyDescent="0.25">
      <c r="D12" s="9"/>
    </row>
    <row r="13" spans="1:4" x14ac:dyDescent="0.25">
      <c r="D13" s="9"/>
    </row>
    <row r="14" spans="1:4" x14ac:dyDescent="0.25">
      <c r="D14" s="9"/>
    </row>
    <row r="15" spans="1:4" x14ac:dyDescent="0.25">
      <c r="D15" s="9"/>
    </row>
    <row r="16" spans="1:4" x14ac:dyDescent="0.25">
      <c r="D16" s="9"/>
    </row>
    <row r="17" spans="4:4" x14ac:dyDescent="0.25">
      <c r="D17" s="9"/>
    </row>
    <row r="18" spans="4:4" x14ac:dyDescent="0.25">
      <c r="D18" s="9"/>
    </row>
    <row r="19" spans="4:4" x14ac:dyDescent="0.25">
      <c r="D19" s="9"/>
    </row>
    <row r="20" spans="4:4" x14ac:dyDescent="0.25">
      <c r="D20" s="9"/>
    </row>
    <row r="21" spans="4:4" x14ac:dyDescent="0.25">
      <c r="D21" s="9"/>
    </row>
    <row r="22" spans="4:4" x14ac:dyDescent="0.25">
      <c r="D22" s="9"/>
    </row>
    <row r="23" spans="4:4" x14ac:dyDescent="0.25">
      <c r="D23" s="9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topLeftCell="C1" zoomScaleNormal="100" workbookViewId="0">
      <selection activeCell="E1" sqref="E1:S1048576"/>
    </sheetView>
  </sheetViews>
  <sheetFormatPr defaultRowHeight="15" x14ac:dyDescent="0.25"/>
  <cols>
    <col min="1" max="1" width="7.42578125" bestFit="1" customWidth="1"/>
    <col min="2" max="2" width="36.85546875" bestFit="1" customWidth="1"/>
    <col min="3" max="3" width="113.5703125" style="3" bestFit="1" customWidth="1"/>
    <col min="4" max="4" width="3.85546875" bestFit="1" customWidth="1"/>
  </cols>
  <sheetData>
    <row r="1" spans="1:4" ht="31.5" x14ac:dyDescent="0.5">
      <c r="A1" s="175" t="s">
        <v>0</v>
      </c>
      <c r="B1" s="175"/>
      <c r="C1" s="175"/>
    </row>
    <row r="2" spans="1:4" s="43" customFormat="1" ht="31.5" customHeight="1" x14ac:dyDescent="0.35">
      <c r="A2" s="176" t="s">
        <v>38</v>
      </c>
      <c r="B2" s="176"/>
      <c r="C2" s="176"/>
    </row>
    <row r="3" spans="1:4" s="63" customFormat="1" ht="50.25" x14ac:dyDescent="0.25">
      <c r="A3" s="67" t="s">
        <v>1</v>
      </c>
      <c r="B3" s="68" t="s">
        <v>2</v>
      </c>
      <c r="C3" s="67" t="s">
        <v>3</v>
      </c>
      <c r="D3" s="64" t="str">
        <f>Control!$C$6</f>
        <v>Branch 1</v>
      </c>
    </row>
    <row r="4" spans="1:4" s="63" customFormat="1" x14ac:dyDescent="0.25">
      <c r="A4" s="7" t="s">
        <v>7</v>
      </c>
      <c r="B4" s="7" t="s">
        <v>272</v>
      </c>
      <c r="C4" s="7" t="s">
        <v>273</v>
      </c>
      <c r="D4" s="55"/>
    </row>
    <row r="5" spans="1:4" s="63" customFormat="1" x14ac:dyDescent="0.25">
      <c r="A5" s="7" t="s">
        <v>7</v>
      </c>
      <c r="B5" s="55" t="s">
        <v>6</v>
      </c>
      <c r="C5" s="140" t="s">
        <v>274</v>
      </c>
      <c r="D5" s="130"/>
    </row>
    <row r="6" spans="1:4" s="50" customFormat="1" ht="45" x14ac:dyDescent="0.25">
      <c r="A6" s="7" t="s">
        <v>7</v>
      </c>
      <c r="B6" s="7" t="s">
        <v>5</v>
      </c>
      <c r="C6" s="129" t="s">
        <v>275</v>
      </c>
      <c r="D6" s="94"/>
    </row>
    <row r="7" spans="1:4" x14ac:dyDescent="0.25">
      <c r="A7" s="1" t="s">
        <v>7</v>
      </c>
      <c r="B7" s="1" t="s">
        <v>260</v>
      </c>
      <c r="C7" s="142" t="s">
        <v>194</v>
      </c>
      <c r="D7" s="94"/>
    </row>
    <row r="8" spans="1:4" x14ac:dyDescent="0.25">
      <c r="A8" s="1" t="s">
        <v>7</v>
      </c>
      <c r="B8" s="55" t="s">
        <v>261</v>
      </c>
      <c r="C8" s="73" t="s">
        <v>193</v>
      </c>
      <c r="D8" s="94"/>
    </row>
  </sheetData>
  <mergeCells count="2">
    <mergeCell ref="A1:C1"/>
    <mergeCell ref="A2:C2"/>
  </mergeCells>
  <conditionalFormatting sqref="B8">
    <cfRule type="expression" dxfId="11" priority="22">
      <formula>C7=Y</formula>
    </cfRule>
  </conditionalFormatting>
  <conditionalFormatting sqref="B5">
    <cfRule type="expression" dxfId="10" priority="24">
      <formula>C7=Y</formula>
    </cfRule>
  </conditionalFormatting>
  <conditionalFormatting sqref="C7:C8">
    <cfRule type="expression" dxfId="9" priority="25">
      <formula>C8=Y</formula>
    </cfRule>
  </conditionalFormatting>
  <conditionalFormatting sqref="D4">
    <cfRule type="expression" dxfId="8" priority="220">
      <formula>#REF!=Y</formula>
    </cfRule>
  </conditionalFormatting>
  <hyperlinks>
    <hyperlink ref="C7" r:id="rId1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27"/>
  <sheetViews>
    <sheetView topLeftCell="B1" zoomScale="85" zoomScaleNormal="85" workbookViewId="0">
      <selection activeCell="G8" sqref="G8"/>
    </sheetView>
  </sheetViews>
  <sheetFormatPr defaultRowHeight="15" x14ac:dyDescent="0.25"/>
  <cols>
    <col min="1" max="1" width="29.42578125" style="43" bestFit="1" customWidth="1"/>
    <col min="2" max="2" width="43.85546875" style="2" bestFit="1" customWidth="1"/>
    <col min="3" max="3" width="97.85546875" style="46" bestFit="1" customWidth="1"/>
    <col min="4" max="4" width="3.85546875" bestFit="1" customWidth="1"/>
  </cols>
  <sheetData>
    <row r="1" spans="1:4" ht="31.5" x14ac:dyDescent="0.5">
      <c r="A1" s="175" t="s">
        <v>334</v>
      </c>
      <c r="B1" s="175"/>
      <c r="C1" s="175"/>
    </row>
    <row r="2" spans="1:4" s="63" customFormat="1" ht="64.5" customHeight="1" x14ac:dyDescent="0.25">
      <c r="A2" s="67" t="s">
        <v>1</v>
      </c>
      <c r="B2" s="68" t="s">
        <v>2</v>
      </c>
      <c r="C2" s="67" t="s">
        <v>3</v>
      </c>
      <c r="D2" s="64" t="str">
        <f>Control!$C$6</f>
        <v>Branch 1</v>
      </c>
    </row>
    <row r="3" spans="1:4" ht="15.75" x14ac:dyDescent="0.25">
      <c r="A3" s="5" t="s">
        <v>33</v>
      </c>
      <c r="B3" s="6"/>
      <c r="C3" s="41"/>
      <c r="D3" s="14"/>
    </row>
    <row r="4" spans="1:4" ht="15.75" x14ac:dyDescent="0.25">
      <c r="A4" s="43" t="s">
        <v>13</v>
      </c>
      <c r="B4" s="2" t="s">
        <v>14</v>
      </c>
      <c r="C4" s="46" t="s">
        <v>15</v>
      </c>
      <c r="D4" s="97"/>
    </row>
    <row r="5" spans="1:4" ht="15.75" x14ac:dyDescent="0.25">
      <c r="A5" s="43" t="s">
        <v>4</v>
      </c>
      <c r="B5" s="2" t="s">
        <v>9</v>
      </c>
      <c r="C5" s="46" t="s">
        <v>10</v>
      </c>
      <c r="D5" s="98"/>
    </row>
    <row r="6" spans="1:4" x14ac:dyDescent="0.25">
      <c r="A6" s="43" t="s">
        <v>4</v>
      </c>
      <c r="B6" s="2" t="s">
        <v>11</v>
      </c>
      <c r="C6" s="46" t="s">
        <v>12</v>
      </c>
      <c r="D6" s="95"/>
    </row>
    <row r="7" spans="1:4" ht="60" x14ac:dyDescent="0.25">
      <c r="A7" s="43" t="s">
        <v>4</v>
      </c>
      <c r="B7" s="2" t="s">
        <v>32</v>
      </c>
      <c r="C7" s="46" t="s">
        <v>187</v>
      </c>
      <c r="D7" s="96"/>
    </row>
    <row r="8" spans="1:4" ht="18.75" x14ac:dyDescent="0.3">
      <c r="A8" s="108" t="s">
        <v>34</v>
      </c>
      <c r="D8" s="7"/>
    </row>
    <row r="9" spans="1:4" s="50" customFormat="1" x14ac:dyDescent="0.25">
      <c r="A9" s="50" t="s">
        <v>17</v>
      </c>
      <c r="B9" s="49" t="s">
        <v>184</v>
      </c>
      <c r="C9" s="69" t="s">
        <v>212</v>
      </c>
      <c r="D9" s="96"/>
    </row>
    <row r="10" spans="1:4" s="50" customFormat="1" x14ac:dyDescent="0.25">
      <c r="A10" s="131" t="s">
        <v>17</v>
      </c>
      <c r="B10" s="132" t="s">
        <v>183</v>
      </c>
      <c r="C10" s="133" t="s">
        <v>185</v>
      </c>
      <c r="D10" s="48"/>
    </row>
    <row r="11" spans="1:4" x14ac:dyDescent="0.25">
      <c r="A11" s="43" t="s">
        <v>17</v>
      </c>
      <c r="B11" s="2" t="s">
        <v>19</v>
      </c>
      <c r="C11" s="46" t="s">
        <v>29</v>
      </c>
      <c r="D11" s="1"/>
    </row>
    <row r="12" spans="1:4" x14ac:dyDescent="0.25">
      <c r="A12" s="43" t="s">
        <v>17</v>
      </c>
      <c r="B12" s="2" t="s">
        <v>18</v>
      </c>
      <c r="C12" s="46" t="s">
        <v>30</v>
      </c>
      <c r="D12" s="1"/>
    </row>
    <row r="14" spans="1:4" s="8" customFormat="1" ht="21" x14ac:dyDescent="0.25">
      <c r="A14" s="178" t="s">
        <v>35</v>
      </c>
      <c r="B14" s="178"/>
      <c r="C14" s="178"/>
      <c r="D14" s="178"/>
    </row>
    <row r="15" spans="1:4" s="8" customFormat="1" ht="21" customHeight="1" x14ac:dyDescent="0.25">
      <c r="A15" s="179" t="s">
        <v>189</v>
      </c>
      <c r="B15" s="179"/>
      <c r="C15" s="179"/>
      <c r="D15" s="179"/>
    </row>
    <row r="16" spans="1:4" ht="30" x14ac:dyDescent="0.25">
      <c r="A16" s="43" t="s">
        <v>8</v>
      </c>
      <c r="B16" s="2" t="s">
        <v>36</v>
      </c>
      <c r="C16" s="46" t="s">
        <v>37</v>
      </c>
      <c r="D16" s="1"/>
    </row>
    <row r="17" spans="1:4" ht="30" x14ac:dyDescent="0.25">
      <c r="A17" s="43" t="s">
        <v>8</v>
      </c>
      <c r="B17" s="3" t="s">
        <v>40</v>
      </c>
      <c r="C17" s="44" t="s">
        <v>41</v>
      </c>
      <c r="D17" s="1"/>
    </row>
    <row r="18" spans="1:4" ht="30" x14ac:dyDescent="0.25">
      <c r="A18" s="43" t="s">
        <v>8</v>
      </c>
      <c r="B18" s="3" t="s">
        <v>147</v>
      </c>
      <c r="C18" s="45" t="s">
        <v>42</v>
      </c>
      <c r="D18" s="1"/>
    </row>
    <row r="19" spans="1:4" x14ac:dyDescent="0.25">
      <c r="A19" s="43" t="s">
        <v>8</v>
      </c>
      <c r="B19" s="3" t="s">
        <v>148</v>
      </c>
      <c r="C19" s="45" t="s">
        <v>42</v>
      </c>
      <c r="D19" s="1"/>
    </row>
    <row r="20" spans="1:4" s="43" customFormat="1" ht="30" x14ac:dyDescent="0.25">
      <c r="A20" s="37" t="s">
        <v>150</v>
      </c>
      <c r="B20" s="42" t="s">
        <v>152</v>
      </c>
      <c r="C20" s="36" t="s">
        <v>151</v>
      </c>
      <c r="D20" s="7"/>
    </row>
    <row r="21" spans="1:4" ht="45" x14ac:dyDescent="0.25">
      <c r="A21" s="43" t="s">
        <v>8</v>
      </c>
      <c r="B21" s="3" t="s">
        <v>149</v>
      </c>
      <c r="C21" s="45" t="s">
        <v>42</v>
      </c>
      <c r="D21" s="1"/>
    </row>
    <row r="22" spans="1:4" ht="30" x14ac:dyDescent="0.25">
      <c r="A22" s="43" t="s">
        <v>8</v>
      </c>
      <c r="B22" s="3" t="s">
        <v>142</v>
      </c>
      <c r="C22" s="46" t="s">
        <v>43</v>
      </c>
      <c r="D22" s="1"/>
    </row>
    <row r="23" spans="1:4" x14ac:dyDescent="0.25">
      <c r="A23" s="43" t="s">
        <v>8</v>
      </c>
      <c r="B23" s="3" t="s">
        <v>44</v>
      </c>
      <c r="C23" s="44" t="s">
        <v>45</v>
      </c>
      <c r="D23" s="1"/>
    </row>
    <row r="24" spans="1:4" x14ac:dyDescent="0.25">
      <c r="D24" s="9"/>
    </row>
    <row r="25" spans="1:4" x14ac:dyDescent="0.25">
      <c r="A25" s="177" t="s">
        <v>159</v>
      </c>
      <c r="B25" s="177"/>
      <c r="C25" s="177"/>
      <c r="D25" s="65"/>
    </row>
    <row r="26" spans="1:4" x14ac:dyDescent="0.25">
      <c r="D26" s="9"/>
    </row>
    <row r="27" spans="1:4" x14ac:dyDescent="0.25">
      <c r="D27" s="9"/>
    </row>
  </sheetData>
  <mergeCells count="4">
    <mergeCell ref="A1:C1"/>
    <mergeCell ref="A25:C25"/>
    <mergeCell ref="A14:D14"/>
    <mergeCell ref="A15:D15"/>
  </mergeCell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0FD432D-DB3B-462C-89A6-8AB5A54EDF59}">
            <xm:f>Control!C$7="N"</xm:f>
            <x14:dxf>
              <fill>
                <patternFill>
                  <bgColor theme="0" tint="-0.499984740745262"/>
                </patternFill>
              </fill>
            </x14:dxf>
          </x14:cfRule>
          <xm:sqref>D10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2"/>
  <sheetViews>
    <sheetView tabSelected="1" zoomScale="85" zoomScaleNormal="85" workbookViewId="0">
      <selection activeCell="A13" sqref="A13:XFD13"/>
    </sheetView>
  </sheetViews>
  <sheetFormatPr defaultColWidth="7.5703125" defaultRowHeight="15" x14ac:dyDescent="0.25"/>
  <cols>
    <col min="1" max="1" width="17.140625" style="43" bestFit="1" customWidth="1"/>
    <col min="2" max="2" width="77.28515625" style="11" bestFit="1" customWidth="1"/>
    <col min="3" max="3" width="92.28515625" style="46" bestFit="1" customWidth="1"/>
    <col min="4" max="4" width="4.5703125" style="43" bestFit="1" customWidth="1"/>
    <col min="5" max="16384" width="7.5703125" style="43"/>
  </cols>
  <sheetData>
    <row r="1" spans="1:4" ht="36" x14ac:dyDescent="0.55000000000000004">
      <c r="A1" s="182" t="s">
        <v>16</v>
      </c>
      <c r="B1" s="182"/>
      <c r="C1" s="182"/>
      <c r="D1" s="182"/>
    </row>
    <row r="2" spans="1:4" s="63" customFormat="1" ht="64.5" customHeight="1" x14ac:dyDescent="0.25">
      <c r="A2" s="67" t="s">
        <v>1</v>
      </c>
      <c r="B2" s="68" t="s">
        <v>2</v>
      </c>
      <c r="C2" s="67" t="s">
        <v>3</v>
      </c>
      <c r="D2" s="64" t="str">
        <f>Control!$C$6</f>
        <v>Branch 1</v>
      </c>
    </row>
    <row r="3" spans="1:4" s="63" customFormat="1" ht="56.25" customHeight="1" x14ac:dyDescent="0.25">
      <c r="A3" s="180" t="s">
        <v>257</v>
      </c>
      <c r="B3" s="181"/>
      <c r="C3" s="181"/>
      <c r="D3" s="181"/>
    </row>
    <row r="4" spans="1:4" s="33" customFormat="1" ht="30" x14ac:dyDescent="0.25">
      <c r="A4" s="109" t="s">
        <v>7</v>
      </c>
      <c r="B4" s="110" t="s">
        <v>244</v>
      </c>
      <c r="C4" s="111" t="s">
        <v>250</v>
      </c>
      <c r="D4" s="48"/>
    </row>
    <row r="5" spans="1:4" s="33" customFormat="1" ht="30" x14ac:dyDescent="0.25">
      <c r="A5" s="109" t="s">
        <v>7</v>
      </c>
      <c r="B5" s="110" t="s">
        <v>243</v>
      </c>
      <c r="C5" s="110" t="s">
        <v>335</v>
      </c>
      <c r="D5" s="48"/>
    </row>
    <row r="6" spans="1:4" s="33" customFormat="1" ht="30" x14ac:dyDescent="0.25">
      <c r="A6" s="109" t="s">
        <v>7</v>
      </c>
      <c r="B6" s="110" t="s">
        <v>31</v>
      </c>
      <c r="C6" s="110" t="s">
        <v>245</v>
      </c>
      <c r="D6" s="48"/>
    </row>
    <row r="7" spans="1:4" ht="26.25" customHeight="1" x14ac:dyDescent="0.25">
      <c r="A7" s="183" t="s">
        <v>237</v>
      </c>
      <c r="B7" s="183"/>
      <c r="C7" s="183"/>
      <c r="D7" s="183"/>
    </row>
    <row r="8" spans="1:4" s="117" customFormat="1" ht="42" customHeight="1" x14ac:dyDescent="0.25">
      <c r="A8" s="184"/>
      <c r="B8" s="184"/>
      <c r="C8" s="184"/>
      <c r="D8" s="184"/>
    </row>
    <row r="9" spans="1:4" ht="21" x14ac:dyDescent="0.25">
      <c r="A9" s="185" t="s">
        <v>35</v>
      </c>
      <c r="B9" s="185"/>
      <c r="C9" s="185"/>
      <c r="D9" s="185"/>
    </row>
    <row r="10" spans="1:4" ht="30" x14ac:dyDescent="0.25">
      <c r="A10" s="66" t="s">
        <v>7</v>
      </c>
      <c r="B10" s="11" t="s">
        <v>186</v>
      </c>
      <c r="C10" s="46" t="s">
        <v>249</v>
      </c>
      <c r="D10" s="114"/>
    </row>
    <row r="11" spans="1:4" ht="57" customHeight="1" x14ac:dyDescent="0.25">
      <c r="A11" s="180" t="s">
        <v>257</v>
      </c>
      <c r="B11" s="181"/>
      <c r="C11" s="181"/>
      <c r="D11" s="181"/>
    </row>
    <row r="12" spans="1:4" ht="45" x14ac:dyDescent="0.25">
      <c r="A12" s="112" t="s">
        <v>7</v>
      </c>
      <c r="B12" s="113" t="s">
        <v>246</v>
      </c>
      <c r="C12" s="136" t="s">
        <v>336</v>
      </c>
      <c r="D12" s="105"/>
    </row>
    <row r="13" spans="1:4" ht="105" x14ac:dyDescent="0.25">
      <c r="A13" s="112" t="s">
        <v>7</v>
      </c>
      <c r="B13" s="113" t="s">
        <v>247</v>
      </c>
      <c r="C13" s="113" t="s">
        <v>264</v>
      </c>
      <c r="D13" s="105"/>
    </row>
    <row r="14" spans="1:4" ht="30" x14ac:dyDescent="0.25">
      <c r="A14" s="112" t="s">
        <v>7</v>
      </c>
      <c r="B14" s="113" t="s">
        <v>248</v>
      </c>
      <c r="C14" s="113" t="s">
        <v>251</v>
      </c>
      <c r="D14" s="105"/>
    </row>
    <row r="15" spans="1:4" ht="26.25" x14ac:dyDescent="0.25">
      <c r="A15" s="186" t="s">
        <v>256</v>
      </c>
      <c r="B15" s="187"/>
      <c r="C15" s="187"/>
      <c r="D15" s="187"/>
    </row>
    <row r="16" spans="1:4" ht="30" x14ac:dyDescent="0.25">
      <c r="A16" s="115" t="s">
        <v>7</v>
      </c>
      <c r="B16" s="116" t="s">
        <v>46</v>
      </c>
      <c r="C16" s="116" t="s">
        <v>265</v>
      </c>
      <c r="D16" s="7"/>
    </row>
    <row r="17" spans="1:4" x14ac:dyDescent="0.25">
      <c r="A17" s="115" t="s">
        <v>7</v>
      </c>
      <c r="B17" s="116" t="s">
        <v>153</v>
      </c>
      <c r="C17" s="116" t="s">
        <v>266</v>
      </c>
      <c r="D17" s="7"/>
    </row>
    <row r="18" spans="1:4" ht="30" x14ac:dyDescent="0.25">
      <c r="A18" s="115" t="s">
        <v>7</v>
      </c>
      <c r="B18" s="116" t="s">
        <v>143</v>
      </c>
      <c r="C18" s="116" t="s">
        <v>267</v>
      </c>
      <c r="D18" s="7"/>
    </row>
    <row r="19" spans="1:4" ht="30" x14ac:dyDescent="0.25">
      <c r="A19" s="115" t="s">
        <v>7</v>
      </c>
      <c r="B19" s="116" t="s">
        <v>154</v>
      </c>
      <c r="C19" s="116" t="s">
        <v>268</v>
      </c>
      <c r="D19" s="7"/>
    </row>
    <row r="20" spans="1:4" s="50" customFormat="1" ht="30" x14ac:dyDescent="0.25">
      <c r="A20" s="115" t="s">
        <v>7</v>
      </c>
      <c r="B20" s="116" t="s">
        <v>47</v>
      </c>
      <c r="C20" s="116" t="s">
        <v>269</v>
      </c>
      <c r="D20" s="7"/>
    </row>
    <row r="21" spans="1:4" ht="30" x14ac:dyDescent="0.25">
      <c r="A21" s="115" t="s">
        <v>7</v>
      </c>
      <c r="B21" s="116" t="s">
        <v>155</v>
      </c>
      <c r="C21" s="116" t="s">
        <v>268</v>
      </c>
      <c r="D21" s="143"/>
    </row>
    <row r="22" spans="1:4" ht="36" x14ac:dyDescent="0.25">
      <c r="A22" s="188" t="s">
        <v>279</v>
      </c>
      <c r="B22" s="189"/>
      <c r="C22" s="189"/>
      <c r="D22" s="189"/>
    </row>
    <row r="23" spans="1:4" ht="33.75" x14ac:dyDescent="0.25">
      <c r="A23" s="144" t="s">
        <v>7</v>
      </c>
      <c r="B23" s="145" t="s">
        <v>280</v>
      </c>
      <c r="C23" s="145" t="s">
        <v>281</v>
      </c>
      <c r="D23" s="146"/>
    </row>
    <row r="24" spans="1:4" ht="30" x14ac:dyDescent="0.25">
      <c r="A24" s="144" t="s">
        <v>7</v>
      </c>
      <c r="B24" s="145" t="s">
        <v>282</v>
      </c>
      <c r="C24" s="145" t="s">
        <v>283</v>
      </c>
      <c r="D24" s="7"/>
    </row>
    <row r="25" spans="1:4" x14ac:dyDescent="0.25">
      <c r="A25" s="144" t="s">
        <v>7</v>
      </c>
      <c r="B25" s="145" t="s">
        <v>284</v>
      </c>
      <c r="C25" s="145"/>
      <c r="D25" s="7"/>
    </row>
    <row r="26" spans="1:4" x14ac:dyDescent="0.25">
      <c r="A26" s="144" t="s">
        <v>285</v>
      </c>
      <c r="B26" s="145" t="s">
        <v>286</v>
      </c>
      <c r="C26" s="145" t="s">
        <v>287</v>
      </c>
      <c r="D26" s="7"/>
    </row>
    <row r="27" spans="1:4" ht="30" x14ac:dyDescent="0.25">
      <c r="A27" s="144" t="s">
        <v>7</v>
      </c>
      <c r="B27" s="145" t="s">
        <v>288</v>
      </c>
      <c r="C27" s="145" t="s">
        <v>289</v>
      </c>
      <c r="D27" s="7"/>
    </row>
    <row r="28" spans="1:4" x14ac:dyDescent="0.25">
      <c r="A28" s="144" t="s">
        <v>7</v>
      </c>
      <c r="B28" s="145" t="s">
        <v>290</v>
      </c>
      <c r="C28" s="145" t="s">
        <v>291</v>
      </c>
      <c r="D28" s="7"/>
    </row>
    <row r="29" spans="1:4" x14ac:dyDescent="0.25">
      <c r="A29" s="144" t="s">
        <v>7</v>
      </c>
      <c r="B29" s="145" t="s">
        <v>292</v>
      </c>
      <c r="C29" s="145" t="s">
        <v>293</v>
      </c>
      <c r="D29" s="7"/>
    </row>
    <row r="30" spans="1:4" ht="30" x14ac:dyDescent="0.25">
      <c r="A30" s="115" t="s">
        <v>7</v>
      </c>
      <c r="B30" s="116" t="s">
        <v>144</v>
      </c>
      <c r="C30" s="116" t="s">
        <v>270</v>
      </c>
      <c r="D30" s="7"/>
    </row>
    <row r="31" spans="1:4" x14ac:dyDescent="0.25">
      <c r="A31" s="115" t="s">
        <v>7</v>
      </c>
      <c r="B31" s="116" t="s">
        <v>156</v>
      </c>
      <c r="C31" s="116" t="s">
        <v>266</v>
      </c>
      <c r="D31" s="7"/>
    </row>
    <row r="32" spans="1:4" x14ac:dyDescent="0.25">
      <c r="A32" s="115"/>
      <c r="B32" s="116"/>
      <c r="C32" s="116"/>
      <c r="D32" s="7"/>
    </row>
    <row r="33" spans="1:4" ht="36" x14ac:dyDescent="0.25">
      <c r="A33" s="188" t="s">
        <v>279</v>
      </c>
      <c r="B33" s="189"/>
      <c r="C33" s="189"/>
      <c r="D33" s="189"/>
    </row>
    <row r="34" spans="1:4" ht="30" x14ac:dyDescent="0.25">
      <c r="A34" s="147" t="s">
        <v>7</v>
      </c>
      <c r="B34" s="148" t="s">
        <v>294</v>
      </c>
      <c r="C34" s="149" t="s">
        <v>295</v>
      </c>
      <c r="D34" s="7"/>
    </row>
    <row r="35" spans="1:4" ht="36" x14ac:dyDescent="0.55000000000000004">
      <c r="A35" s="190" t="s">
        <v>296</v>
      </c>
      <c r="B35" s="190"/>
      <c r="C35" s="190"/>
      <c r="D35" s="190"/>
    </row>
    <row r="36" spans="1:4" ht="30" x14ac:dyDescent="0.25">
      <c r="A36" s="147" t="s">
        <v>7</v>
      </c>
      <c r="B36" s="148" t="s">
        <v>297</v>
      </c>
      <c r="C36" s="149" t="s">
        <v>298</v>
      </c>
      <c r="D36" s="7"/>
    </row>
    <row r="37" spans="1:4" ht="26.25" x14ac:dyDescent="0.25">
      <c r="A37" s="191" t="s">
        <v>254</v>
      </c>
      <c r="B37" s="192"/>
      <c r="C37" s="192"/>
      <c r="D37" s="192"/>
    </row>
    <row r="38" spans="1:4" x14ac:dyDescent="0.25">
      <c r="A38" s="91" t="s">
        <v>17</v>
      </c>
      <c r="B38" s="89" t="s">
        <v>63</v>
      </c>
      <c r="C38" s="141" t="s">
        <v>62</v>
      </c>
      <c r="D38" s="150"/>
    </row>
    <row r="39" spans="1:4" x14ac:dyDescent="0.25">
      <c r="A39" s="91" t="s">
        <v>7</v>
      </c>
      <c r="B39" s="89" t="s">
        <v>239</v>
      </c>
      <c r="C39" s="89" t="s">
        <v>252</v>
      </c>
      <c r="D39" s="150"/>
    </row>
    <row r="40" spans="1:4" x14ac:dyDescent="0.25">
      <c r="A40" s="91" t="s">
        <v>7</v>
      </c>
      <c r="B40" s="89" t="s">
        <v>238</v>
      </c>
      <c r="C40" s="89" t="s">
        <v>253</v>
      </c>
      <c r="D40" s="150"/>
    </row>
    <row r="41" spans="1:4" x14ac:dyDescent="0.25">
      <c r="A41" s="91" t="s">
        <v>7</v>
      </c>
      <c r="B41" s="151" t="s">
        <v>299</v>
      </c>
      <c r="C41" s="141"/>
      <c r="D41" s="150"/>
    </row>
    <row r="42" spans="1:4" x14ac:dyDescent="0.25">
      <c r="A42" s="91" t="s">
        <v>7</v>
      </c>
      <c r="B42" s="151" t="s">
        <v>300</v>
      </c>
      <c r="C42" s="141"/>
      <c r="D42" s="150"/>
    </row>
  </sheetData>
  <mergeCells count="11">
    <mergeCell ref="A15:D15"/>
    <mergeCell ref="A22:D22"/>
    <mergeCell ref="A33:D33"/>
    <mergeCell ref="A35:D35"/>
    <mergeCell ref="A37:D37"/>
    <mergeCell ref="A11:D11"/>
    <mergeCell ref="A1:D1"/>
    <mergeCell ref="A3:D3"/>
    <mergeCell ref="A7:D7"/>
    <mergeCell ref="A8:D8"/>
    <mergeCell ref="A9:D9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216867F-8229-418E-B84D-5CF99C0C4761}">
            <xm:f>'C:\Users\s1354685\Documents\Old templates\[Master Migration Checklist.xlsx]Control'!#REF!="N"</xm:f>
            <x14:dxf>
              <fill>
                <patternFill>
                  <bgColor theme="0" tint="-0.499984740745262"/>
                </patternFill>
              </fill>
            </x14:dxf>
          </x14:cfRule>
          <xm:sqref>D4:D6 D12:D14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zoomScaleNormal="100" workbookViewId="0">
      <selection activeCell="E1" sqref="E1:S1048576"/>
    </sheetView>
  </sheetViews>
  <sheetFormatPr defaultRowHeight="15" x14ac:dyDescent="0.25"/>
  <cols>
    <col min="1" max="1" width="7.42578125" style="60" bestFit="1" customWidth="1"/>
    <col min="2" max="2" width="31.85546875" style="60" bestFit="1" customWidth="1"/>
    <col min="3" max="3" width="71.42578125" style="60" bestFit="1" customWidth="1"/>
    <col min="4" max="4" width="3.85546875" style="60" bestFit="1" customWidth="1"/>
    <col min="5" max="16384" width="9.140625" style="60"/>
  </cols>
  <sheetData>
    <row r="1" spans="1:4" ht="31.5" x14ac:dyDescent="0.5">
      <c r="A1" s="175" t="s">
        <v>48</v>
      </c>
      <c r="B1" s="175"/>
      <c r="C1" s="175"/>
    </row>
    <row r="2" spans="1:4" s="63" customFormat="1" ht="50.25" x14ac:dyDescent="0.25">
      <c r="A2" s="67" t="s">
        <v>1</v>
      </c>
      <c r="B2" s="68" t="s">
        <v>2</v>
      </c>
      <c r="C2" s="67" t="s">
        <v>3</v>
      </c>
      <c r="D2" s="64" t="str">
        <f>Control!$C$6</f>
        <v>Branch 1</v>
      </c>
    </row>
    <row r="3" spans="1:4" ht="30" x14ac:dyDescent="0.25">
      <c r="A3" s="33" t="s">
        <v>7</v>
      </c>
      <c r="B3" s="33" t="s">
        <v>49</v>
      </c>
      <c r="C3" s="11" t="s">
        <v>271</v>
      </c>
      <c r="D3" s="58"/>
    </row>
    <row r="4" spans="1:4" x14ac:dyDescent="0.25">
      <c r="A4" s="33" t="s">
        <v>7</v>
      </c>
      <c r="B4" s="33" t="s">
        <v>50</v>
      </c>
      <c r="C4" s="33" t="s">
        <v>51</v>
      </c>
      <c r="D4" s="58"/>
    </row>
    <row r="5" spans="1:4" s="62" customFormat="1" ht="45" x14ac:dyDescent="0.25">
      <c r="A5" s="59" t="s">
        <v>7</v>
      </c>
      <c r="B5" s="59" t="s">
        <v>52</v>
      </c>
      <c r="C5" s="61" t="s">
        <v>188</v>
      </c>
      <c r="D5" s="48"/>
    </row>
    <row r="6" spans="1:4" customFormat="1" ht="30" x14ac:dyDescent="0.25">
      <c r="A6" s="34" t="s">
        <v>17</v>
      </c>
      <c r="B6" s="10" t="s">
        <v>158</v>
      </c>
      <c r="C6" s="45" t="s">
        <v>134</v>
      </c>
      <c r="D6" s="1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9"/>
  <sheetViews>
    <sheetView zoomScaleNormal="100" workbookViewId="0">
      <selection activeCell="F5" sqref="F5"/>
    </sheetView>
  </sheetViews>
  <sheetFormatPr defaultRowHeight="15" x14ac:dyDescent="0.25"/>
  <cols>
    <col min="1" max="1" width="7.42578125" bestFit="1" customWidth="1"/>
    <col min="2" max="2" width="26.140625" bestFit="1" customWidth="1"/>
    <col min="3" max="3" width="93.7109375" bestFit="1" customWidth="1"/>
    <col min="4" max="4" width="3.85546875" bestFit="1" customWidth="1"/>
  </cols>
  <sheetData>
    <row r="1" spans="1:4" ht="31.5" x14ac:dyDescent="0.5">
      <c r="A1" s="175" t="s">
        <v>55</v>
      </c>
      <c r="B1" s="175"/>
      <c r="C1" s="175"/>
    </row>
    <row r="2" spans="1:4" x14ac:dyDescent="0.25">
      <c r="B2" s="2"/>
      <c r="C2" s="2"/>
    </row>
    <row r="3" spans="1:4" s="63" customFormat="1" ht="50.25" x14ac:dyDescent="0.25">
      <c r="A3" s="67" t="s">
        <v>1</v>
      </c>
      <c r="B3" s="68" t="s">
        <v>2</v>
      </c>
      <c r="C3" s="67" t="s">
        <v>3</v>
      </c>
      <c r="D3" s="64" t="str">
        <f>Control!$C$6</f>
        <v>Branch 1</v>
      </c>
    </row>
    <row r="4" spans="1:4" s="8" customFormat="1" x14ac:dyDescent="0.25">
      <c r="A4" s="8" t="s">
        <v>4</v>
      </c>
      <c r="B4" s="8" t="s">
        <v>49</v>
      </c>
      <c r="C4" s="46" t="s">
        <v>56</v>
      </c>
      <c r="D4" s="53"/>
    </row>
    <row r="5" spans="1:4" s="70" customFormat="1" ht="90" x14ac:dyDescent="0.25">
      <c r="A5" s="70" t="s">
        <v>4</v>
      </c>
      <c r="B5" s="70" t="s">
        <v>52</v>
      </c>
      <c r="C5" s="69" t="s">
        <v>135</v>
      </c>
      <c r="D5" s="71"/>
    </row>
    <row r="6" spans="1:4" s="70" customFormat="1" ht="60" x14ac:dyDescent="0.25">
      <c r="A6" s="70" t="s">
        <v>4</v>
      </c>
      <c r="B6" s="70" t="s">
        <v>53</v>
      </c>
      <c r="C6" s="54" t="s">
        <v>54</v>
      </c>
      <c r="D6" s="71"/>
    </row>
    <row r="7" spans="1:4" ht="30" x14ac:dyDescent="0.25">
      <c r="A7" s="70" t="s">
        <v>277</v>
      </c>
      <c r="B7" s="70" t="s">
        <v>278</v>
      </c>
      <c r="C7" s="2" t="s">
        <v>276</v>
      </c>
      <c r="D7" s="1"/>
    </row>
    <row r="9" spans="1:4" x14ac:dyDescent="0.25">
      <c r="C9" s="2"/>
    </row>
  </sheetData>
  <mergeCells count="1">
    <mergeCell ref="A1:C1"/>
  </mergeCells>
  <pageMargins left="0.7" right="0.7" top="0.75" bottom="0.75" header="0.3" footer="0.3"/>
  <pageSetup paperSize="9"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57"/>
  <sheetViews>
    <sheetView zoomScaleNormal="100" workbookViewId="0">
      <selection activeCell="B3" sqref="B3"/>
    </sheetView>
  </sheetViews>
  <sheetFormatPr defaultColWidth="25.140625" defaultRowHeight="15" x14ac:dyDescent="0.25"/>
  <cols>
    <col min="1" max="1" width="37.5703125" style="17" bestFit="1" customWidth="1"/>
    <col min="2" max="2" width="13.5703125" style="17" bestFit="1" customWidth="1"/>
    <col min="3" max="3" width="14" style="17" bestFit="1" customWidth="1"/>
    <col min="4" max="4" width="12.28515625" style="17" bestFit="1" customWidth="1"/>
    <col min="5" max="5" width="13.140625" style="17" bestFit="1" customWidth="1"/>
    <col min="6" max="6" width="11.28515625" style="17" bestFit="1" customWidth="1"/>
    <col min="7" max="7" width="13.140625" style="17" bestFit="1" customWidth="1"/>
    <col min="8" max="8" width="8.7109375" style="17" bestFit="1" customWidth="1"/>
    <col min="9" max="9" width="12.28515625" style="17" bestFit="1" customWidth="1"/>
    <col min="10" max="10" width="10.85546875" style="17" bestFit="1" customWidth="1"/>
    <col min="11" max="11" width="12.7109375" style="17" bestFit="1" customWidth="1"/>
    <col min="12" max="12" width="7.5703125" style="17" bestFit="1" customWidth="1"/>
    <col min="13" max="13" width="9.85546875" style="17" bestFit="1" customWidth="1"/>
    <col min="14" max="14" width="8.85546875" style="17" bestFit="1" customWidth="1"/>
    <col min="15" max="15" width="7.5703125" style="17" bestFit="1" customWidth="1"/>
    <col min="16" max="16" width="9.5703125" style="17" bestFit="1" customWidth="1"/>
    <col min="17" max="17" width="8.5703125" style="17" bestFit="1" customWidth="1"/>
    <col min="18" max="18" width="13.140625" style="17" bestFit="1" customWidth="1"/>
    <col min="19" max="19" width="15.28515625" style="17" bestFit="1" customWidth="1"/>
    <col min="20" max="20" width="13.7109375" style="17" bestFit="1" customWidth="1"/>
    <col min="21" max="21" width="13.140625" style="17" bestFit="1" customWidth="1"/>
    <col min="22" max="22" width="11.28515625" style="17" bestFit="1" customWidth="1"/>
    <col min="23" max="23" width="10.28515625" style="17" bestFit="1" customWidth="1"/>
    <col min="24" max="24" width="18.5703125" style="17" bestFit="1" customWidth="1"/>
    <col min="25" max="25" width="12.5703125" style="17" bestFit="1" customWidth="1"/>
    <col min="26" max="26" width="11.5703125" style="17" bestFit="1" customWidth="1"/>
    <col min="27" max="27" width="10.5703125" style="17" bestFit="1" customWidth="1"/>
    <col min="28" max="16384" width="25.140625" style="17"/>
  </cols>
  <sheetData>
    <row r="1" spans="1:8" ht="90.75" customHeight="1" x14ac:dyDescent="0.25">
      <c r="A1" s="193" t="s">
        <v>259</v>
      </c>
      <c r="B1" s="193"/>
      <c r="C1" s="193"/>
      <c r="D1" s="193"/>
      <c r="E1" s="193"/>
      <c r="F1" s="128"/>
      <c r="G1" s="128"/>
      <c r="H1" s="128"/>
    </row>
    <row r="2" spans="1:8" x14ac:dyDescent="0.25">
      <c r="A2" s="79" t="s">
        <v>196</v>
      </c>
      <c r="B2" s="102" t="s">
        <v>98</v>
      </c>
      <c r="C2" s="75" t="s">
        <v>240</v>
      </c>
      <c r="D2" s="75" t="s">
        <v>241</v>
      </c>
      <c r="E2" s="84" t="s">
        <v>107</v>
      </c>
    </row>
    <row r="3" spans="1:8" x14ac:dyDescent="0.25">
      <c r="A3" s="20" t="s">
        <v>115</v>
      </c>
      <c r="B3" s="18"/>
      <c r="C3" s="18"/>
      <c r="D3" s="18"/>
      <c r="E3" s="18">
        <f>B3-D3</f>
        <v>0</v>
      </c>
    </row>
    <row r="4" spans="1:8" ht="45.75" customHeight="1" x14ac:dyDescent="0.25">
      <c r="A4" s="21"/>
      <c r="B4" s="22"/>
      <c r="C4" s="22"/>
      <c r="D4" s="22"/>
      <c r="E4" s="22"/>
    </row>
    <row r="5" spans="1:8" x14ac:dyDescent="0.25">
      <c r="A5" s="79" t="s">
        <v>197</v>
      </c>
      <c r="B5" s="102" t="s">
        <v>98</v>
      </c>
      <c r="C5" s="75" t="s">
        <v>240</v>
      </c>
      <c r="D5" s="75" t="s">
        <v>7</v>
      </c>
      <c r="E5" s="84" t="s">
        <v>107</v>
      </c>
    </row>
    <row r="6" spans="1:8" x14ac:dyDescent="0.25">
      <c r="A6" s="18" t="s">
        <v>92</v>
      </c>
      <c r="B6" s="18"/>
      <c r="C6" s="18"/>
      <c r="D6" s="18"/>
      <c r="E6" s="18">
        <f>B6-D6</f>
        <v>0</v>
      </c>
    </row>
    <row r="7" spans="1:8" x14ac:dyDescent="0.25">
      <c r="A7" s="18" t="s">
        <v>93</v>
      </c>
      <c r="B7" s="18"/>
      <c r="C7" s="18"/>
      <c r="D7" s="18"/>
      <c r="E7" s="18">
        <f t="shared" ref="E7:E9" si="0">B7-D7</f>
        <v>0</v>
      </c>
    </row>
    <row r="8" spans="1:8" x14ac:dyDescent="0.25">
      <c r="A8" s="18" t="s">
        <v>99</v>
      </c>
      <c r="B8" s="18"/>
      <c r="C8" s="18"/>
      <c r="D8" s="18"/>
      <c r="E8" s="18">
        <f t="shared" si="0"/>
        <v>0</v>
      </c>
    </row>
    <row r="9" spans="1:8" x14ac:dyDescent="0.25">
      <c r="A9" s="18" t="s">
        <v>69</v>
      </c>
      <c r="B9" s="18"/>
      <c r="C9" s="18"/>
      <c r="D9" s="18"/>
      <c r="E9" s="18">
        <f t="shared" si="0"/>
        <v>0</v>
      </c>
    </row>
    <row r="10" spans="1:8" x14ac:dyDescent="0.25">
      <c r="A10" s="83" t="s">
        <v>100</v>
      </c>
      <c r="B10" s="102">
        <f>SUM(B6:B9)</f>
        <v>0</v>
      </c>
      <c r="C10" s="75">
        <f>SUM(C6:C9)</f>
        <v>0</v>
      </c>
      <c r="D10" s="75">
        <f>SUM(D6:D9)</f>
        <v>0</v>
      </c>
      <c r="E10" s="84">
        <f>SUM(E6:E9)</f>
        <v>0</v>
      </c>
    </row>
    <row r="11" spans="1:8" ht="45.75" customHeight="1" x14ac:dyDescent="0.25"/>
    <row r="12" spans="1:8" x14ac:dyDescent="0.25">
      <c r="A12" s="79" t="s">
        <v>198</v>
      </c>
      <c r="B12" s="102" t="s">
        <v>106</v>
      </c>
      <c r="C12" s="75" t="s">
        <v>240</v>
      </c>
      <c r="D12" s="75" t="s">
        <v>7</v>
      </c>
      <c r="E12" s="84" t="s">
        <v>107</v>
      </c>
    </row>
    <row r="13" spans="1:8" x14ac:dyDescent="0.25">
      <c r="A13" s="118"/>
      <c r="B13" s="119"/>
      <c r="C13" s="26"/>
      <c r="D13" s="120"/>
      <c r="E13" s="120">
        <f>B13-D13</f>
        <v>0</v>
      </c>
    </row>
    <row r="14" spans="1:8" x14ac:dyDescent="0.25">
      <c r="A14" s="96">
        <v>1</v>
      </c>
      <c r="B14" s="96"/>
      <c r="C14" s="26"/>
      <c r="D14" s="18"/>
      <c r="E14" s="120">
        <f t="shared" ref="E14:E41" si="1">B14-D14</f>
        <v>0</v>
      </c>
    </row>
    <row r="15" spans="1:8" x14ac:dyDescent="0.25">
      <c r="A15" s="96">
        <v>2</v>
      </c>
      <c r="B15" s="96"/>
      <c r="C15" s="26"/>
      <c r="D15" s="18"/>
      <c r="E15" s="120">
        <f t="shared" si="1"/>
        <v>0</v>
      </c>
    </row>
    <row r="16" spans="1:8" x14ac:dyDescent="0.25">
      <c r="A16" s="96">
        <v>3</v>
      </c>
      <c r="B16" s="96"/>
      <c r="C16" s="26"/>
      <c r="D16" s="18"/>
      <c r="E16" s="120">
        <f t="shared" si="1"/>
        <v>0</v>
      </c>
    </row>
    <row r="17" spans="1:5" x14ac:dyDescent="0.25">
      <c r="A17" s="96">
        <v>4</v>
      </c>
      <c r="B17" s="96"/>
      <c r="C17" s="26"/>
      <c r="D17" s="18"/>
      <c r="E17" s="120">
        <f t="shared" si="1"/>
        <v>0</v>
      </c>
    </row>
    <row r="18" spans="1:5" x14ac:dyDescent="0.25">
      <c r="A18" s="96" t="s">
        <v>92</v>
      </c>
      <c r="B18" s="96"/>
      <c r="C18" s="26"/>
      <c r="D18" s="18"/>
      <c r="E18" s="120">
        <f t="shared" si="1"/>
        <v>0</v>
      </c>
    </row>
    <row r="19" spans="1:5" x14ac:dyDescent="0.25">
      <c r="A19" s="96" t="s">
        <v>94</v>
      </c>
      <c r="B19" s="96"/>
      <c r="C19" s="26"/>
      <c r="D19" s="18"/>
      <c r="E19" s="120">
        <f t="shared" si="1"/>
        <v>0</v>
      </c>
    </row>
    <row r="20" spans="1:5" x14ac:dyDescent="0.25">
      <c r="A20" s="96" t="s">
        <v>213</v>
      </c>
      <c r="B20" s="96"/>
      <c r="C20" s="26"/>
      <c r="D20" s="18"/>
      <c r="E20" s="120">
        <f t="shared" si="1"/>
        <v>0</v>
      </c>
    </row>
    <row r="21" spans="1:5" x14ac:dyDescent="0.25">
      <c r="A21" s="96" t="s">
        <v>214</v>
      </c>
      <c r="B21" s="96"/>
      <c r="C21" s="26"/>
      <c r="D21" s="18"/>
      <c r="E21" s="120">
        <f t="shared" si="1"/>
        <v>0</v>
      </c>
    </row>
    <row r="22" spans="1:5" x14ac:dyDescent="0.25">
      <c r="A22" s="96" t="s">
        <v>215</v>
      </c>
      <c r="B22" s="96"/>
      <c r="C22" s="26"/>
      <c r="D22" s="18"/>
      <c r="E22" s="120">
        <f t="shared" si="1"/>
        <v>0</v>
      </c>
    </row>
    <row r="23" spans="1:5" x14ac:dyDescent="0.25">
      <c r="A23" s="96" t="s">
        <v>216</v>
      </c>
      <c r="B23" s="96"/>
      <c r="C23" s="26"/>
      <c r="D23" s="18"/>
      <c r="E23" s="120">
        <f t="shared" si="1"/>
        <v>0</v>
      </c>
    </row>
    <row r="24" spans="1:5" x14ac:dyDescent="0.25">
      <c r="A24" s="96" t="s">
        <v>99</v>
      </c>
      <c r="B24" s="96"/>
      <c r="C24" s="26"/>
      <c r="D24" s="18"/>
      <c r="E24" s="120">
        <f t="shared" si="1"/>
        <v>0</v>
      </c>
    </row>
    <row r="25" spans="1:5" x14ac:dyDescent="0.25">
      <c r="A25" s="96" t="s">
        <v>95</v>
      </c>
      <c r="B25" s="96"/>
      <c r="C25" s="26"/>
      <c r="D25" s="18"/>
      <c r="E25" s="120">
        <f t="shared" si="1"/>
        <v>0</v>
      </c>
    </row>
    <row r="26" spans="1:5" x14ac:dyDescent="0.25">
      <c r="A26" s="96" t="s">
        <v>72</v>
      </c>
      <c r="B26" s="96"/>
      <c r="C26" s="26"/>
      <c r="D26" s="18"/>
      <c r="E26" s="120">
        <f t="shared" si="1"/>
        <v>0</v>
      </c>
    </row>
    <row r="27" spans="1:5" x14ac:dyDescent="0.25">
      <c r="A27" s="96" t="s">
        <v>101</v>
      </c>
      <c r="B27" s="96"/>
      <c r="C27" s="26"/>
      <c r="D27" s="18"/>
      <c r="E27" s="120">
        <f t="shared" si="1"/>
        <v>0</v>
      </c>
    </row>
    <row r="28" spans="1:5" x14ac:dyDescent="0.25">
      <c r="A28" s="96" t="s">
        <v>102</v>
      </c>
      <c r="B28" s="96"/>
      <c r="C28" s="26"/>
      <c r="D28" s="18"/>
      <c r="E28" s="120">
        <f t="shared" si="1"/>
        <v>0</v>
      </c>
    </row>
    <row r="29" spans="1:5" x14ac:dyDescent="0.25">
      <c r="A29" s="96" t="s">
        <v>103</v>
      </c>
      <c r="B29" s="96"/>
      <c r="C29" s="26"/>
      <c r="D29" s="18"/>
      <c r="E29" s="120">
        <f t="shared" si="1"/>
        <v>0</v>
      </c>
    </row>
    <row r="30" spans="1:5" x14ac:dyDescent="0.25">
      <c r="A30" s="96" t="s">
        <v>88</v>
      </c>
      <c r="B30" s="96"/>
      <c r="C30" s="26"/>
      <c r="D30" s="18"/>
      <c r="E30" s="120">
        <f t="shared" si="1"/>
        <v>0</v>
      </c>
    </row>
    <row r="31" spans="1:5" x14ac:dyDescent="0.25">
      <c r="A31" s="96" t="s">
        <v>104</v>
      </c>
      <c r="B31" s="96"/>
      <c r="C31" s="26"/>
      <c r="D31" s="18"/>
      <c r="E31" s="120">
        <f t="shared" si="1"/>
        <v>0</v>
      </c>
    </row>
    <row r="32" spans="1:5" x14ac:dyDescent="0.25">
      <c r="A32" s="96" t="s">
        <v>217</v>
      </c>
      <c r="B32" s="96"/>
      <c r="C32" s="26"/>
      <c r="D32" s="18"/>
      <c r="E32" s="120">
        <f t="shared" si="1"/>
        <v>0</v>
      </c>
    </row>
    <row r="33" spans="1:5" x14ac:dyDescent="0.25">
      <c r="A33" s="96" t="s">
        <v>105</v>
      </c>
      <c r="B33" s="96"/>
      <c r="C33" s="26"/>
      <c r="D33" s="18"/>
      <c r="E33" s="120">
        <f t="shared" si="1"/>
        <v>0</v>
      </c>
    </row>
    <row r="34" spans="1:5" x14ac:dyDescent="0.25">
      <c r="A34" s="96" t="s">
        <v>96</v>
      </c>
      <c r="B34" s="96"/>
      <c r="C34" s="26"/>
      <c r="D34" s="18"/>
      <c r="E34" s="120">
        <f t="shared" si="1"/>
        <v>0</v>
      </c>
    </row>
    <row r="35" spans="1:5" x14ac:dyDescent="0.25">
      <c r="A35" s="96" t="s">
        <v>69</v>
      </c>
      <c r="B35" s="96"/>
      <c r="C35" s="26"/>
      <c r="D35" s="18"/>
      <c r="E35" s="120">
        <f t="shared" si="1"/>
        <v>0</v>
      </c>
    </row>
    <row r="36" spans="1:5" x14ac:dyDescent="0.25">
      <c r="A36" s="96" t="s">
        <v>218</v>
      </c>
      <c r="B36" s="96"/>
      <c r="C36" s="26"/>
      <c r="D36" s="18"/>
      <c r="E36" s="120">
        <f t="shared" si="1"/>
        <v>0</v>
      </c>
    </row>
    <row r="37" spans="1:5" x14ac:dyDescent="0.25">
      <c r="A37" s="96" t="s">
        <v>219</v>
      </c>
      <c r="B37" s="96"/>
      <c r="C37" s="26"/>
      <c r="D37" s="18"/>
      <c r="E37" s="120">
        <f t="shared" si="1"/>
        <v>0</v>
      </c>
    </row>
    <row r="38" spans="1:5" x14ac:dyDescent="0.25">
      <c r="A38" s="96" t="s">
        <v>220</v>
      </c>
      <c r="B38" s="96"/>
      <c r="C38" s="26"/>
      <c r="D38" s="18"/>
      <c r="E38" s="120">
        <f t="shared" si="1"/>
        <v>0</v>
      </c>
    </row>
    <row r="39" spans="1:5" x14ac:dyDescent="0.25">
      <c r="A39" s="96" t="s">
        <v>221</v>
      </c>
      <c r="B39" s="96"/>
      <c r="C39" s="26"/>
      <c r="D39" s="18"/>
      <c r="E39" s="120">
        <f t="shared" si="1"/>
        <v>0</v>
      </c>
    </row>
    <row r="40" spans="1:5" x14ac:dyDescent="0.25">
      <c r="A40" s="96" t="s">
        <v>97</v>
      </c>
      <c r="B40" s="96"/>
      <c r="C40" s="26"/>
      <c r="D40" s="18"/>
      <c r="E40" s="120">
        <f t="shared" si="1"/>
        <v>0</v>
      </c>
    </row>
    <row r="41" spans="1:5" x14ac:dyDescent="0.25">
      <c r="A41" s="96" t="s">
        <v>222</v>
      </c>
      <c r="B41" s="96"/>
      <c r="C41" s="26"/>
      <c r="D41" s="18"/>
      <c r="E41" s="120">
        <f t="shared" si="1"/>
        <v>0</v>
      </c>
    </row>
    <row r="42" spans="1:5" x14ac:dyDescent="0.25">
      <c r="A42" s="121" t="s">
        <v>100</v>
      </c>
      <c r="B42" s="102">
        <f>SUM(B14:B41)</f>
        <v>0</v>
      </c>
      <c r="C42" s="75">
        <f>SUM(C14:C41)</f>
        <v>0</v>
      </c>
      <c r="D42" s="75">
        <f>SUM(D14:D41)</f>
        <v>0</v>
      </c>
      <c r="E42" s="84">
        <f>SUM(E13:E41)</f>
        <v>0</v>
      </c>
    </row>
    <row r="43" spans="1:5" ht="45" customHeight="1" x14ac:dyDescent="0.25"/>
    <row r="44" spans="1:5" x14ac:dyDescent="0.25">
      <c r="A44" s="79" t="s">
        <v>199</v>
      </c>
      <c r="B44" s="102" t="s">
        <v>98</v>
      </c>
      <c r="C44" s="75" t="s">
        <v>240</v>
      </c>
      <c r="D44" s="75" t="s">
        <v>7</v>
      </c>
      <c r="E44" s="84" t="s">
        <v>107</v>
      </c>
    </row>
    <row r="45" spans="1:5" x14ac:dyDescent="0.25">
      <c r="A45" s="18" t="s">
        <v>108</v>
      </c>
      <c r="B45" s="18"/>
      <c r="C45" s="18"/>
      <c r="D45" s="18"/>
      <c r="E45" s="18">
        <f>B45-D45</f>
        <v>0</v>
      </c>
    </row>
    <row r="46" spans="1:5" x14ac:dyDescent="0.25">
      <c r="A46" s="18" t="s">
        <v>109</v>
      </c>
      <c r="B46" s="18"/>
      <c r="C46" s="18"/>
      <c r="D46" s="18"/>
      <c r="E46" s="18">
        <f>B46-D46</f>
        <v>0</v>
      </c>
    </row>
    <row r="47" spans="1:5" x14ac:dyDescent="0.25">
      <c r="A47" s="18" t="s">
        <v>146</v>
      </c>
      <c r="B47" s="38" t="s">
        <v>17</v>
      </c>
      <c r="C47" s="18"/>
      <c r="D47" s="18"/>
      <c r="E47" s="18">
        <f>B45-D47</f>
        <v>0</v>
      </c>
    </row>
    <row r="48" spans="1:5" ht="45" customHeight="1" x14ac:dyDescent="0.25">
      <c r="A48" s="22"/>
      <c r="B48" s="22"/>
      <c r="C48" s="22"/>
      <c r="D48" s="22"/>
      <c r="E48" s="22"/>
    </row>
    <row r="49" spans="1:9" x14ac:dyDescent="0.25">
      <c r="A49" s="79" t="s">
        <v>87</v>
      </c>
      <c r="B49" s="102" t="s">
        <v>98</v>
      </c>
      <c r="C49" s="75" t="s">
        <v>240</v>
      </c>
      <c r="D49" s="75" t="s">
        <v>7</v>
      </c>
      <c r="E49" s="84" t="s">
        <v>107</v>
      </c>
    </row>
    <row r="50" spans="1:9" x14ac:dyDescent="0.25">
      <c r="A50" s="20" t="s">
        <v>110</v>
      </c>
      <c r="B50" s="18"/>
      <c r="C50" s="18"/>
      <c r="D50" s="18"/>
      <c r="E50" s="18">
        <f>B50-D50</f>
        <v>0</v>
      </c>
    </row>
    <row r="51" spans="1:9" ht="45" customHeight="1" x14ac:dyDescent="0.25">
      <c r="A51" s="21"/>
      <c r="B51" s="22"/>
      <c r="C51" s="22"/>
      <c r="D51" s="22"/>
    </row>
    <row r="52" spans="1:9" x14ac:dyDescent="0.25">
      <c r="A52" s="206" t="s">
        <v>200</v>
      </c>
      <c r="B52" s="214" t="s">
        <v>98</v>
      </c>
      <c r="C52" s="214"/>
      <c r="D52" s="221" t="s">
        <v>240</v>
      </c>
      <c r="E52" s="222"/>
      <c r="F52" s="221" t="s">
        <v>7</v>
      </c>
      <c r="G52" s="222"/>
      <c r="H52" s="198" t="s">
        <v>107</v>
      </c>
      <c r="I52" s="198"/>
    </row>
    <row r="53" spans="1:9" x14ac:dyDescent="0.25">
      <c r="A53" s="207"/>
      <c r="B53" s="102" t="s">
        <v>112</v>
      </c>
      <c r="C53" s="102" t="s">
        <v>113</v>
      </c>
      <c r="D53" s="75" t="s">
        <v>112</v>
      </c>
      <c r="E53" s="75" t="s">
        <v>113</v>
      </c>
      <c r="F53" s="75" t="s">
        <v>112</v>
      </c>
      <c r="G53" s="75" t="s">
        <v>113</v>
      </c>
      <c r="H53" s="84" t="s">
        <v>114</v>
      </c>
      <c r="I53" s="84" t="s">
        <v>113</v>
      </c>
    </row>
    <row r="54" spans="1:9" s="40" customFormat="1" x14ac:dyDescent="0.25">
      <c r="A54" s="39" t="s">
        <v>145</v>
      </c>
      <c r="B54" s="26"/>
      <c r="C54" s="87"/>
      <c r="D54" s="26"/>
      <c r="E54" s="87"/>
      <c r="F54" s="26"/>
      <c r="G54" s="87"/>
      <c r="H54" s="20">
        <f>(B54+D54)-F54</f>
        <v>0</v>
      </c>
      <c r="I54" s="29">
        <f>(C54+E54)-G54</f>
        <v>0</v>
      </c>
    </row>
    <row r="55" spans="1:9" s="40" customFormat="1" x14ac:dyDescent="0.25">
      <c r="A55" s="39" t="s">
        <v>93</v>
      </c>
      <c r="B55" s="26"/>
      <c r="C55" s="87"/>
      <c r="D55" s="26"/>
      <c r="E55" s="87"/>
      <c r="F55" s="26"/>
      <c r="G55" s="87"/>
      <c r="H55" s="20">
        <f t="shared" ref="H55:I74" si="2">(B55+D55)-F55</f>
        <v>0</v>
      </c>
      <c r="I55" s="29">
        <f t="shared" si="2"/>
        <v>0</v>
      </c>
    </row>
    <row r="56" spans="1:9" s="40" customFormat="1" x14ac:dyDescent="0.25">
      <c r="A56" s="39" t="s">
        <v>94</v>
      </c>
      <c r="B56" s="26"/>
      <c r="C56" s="87"/>
      <c r="D56" s="26"/>
      <c r="E56" s="87"/>
      <c r="F56" s="26"/>
      <c r="G56" s="87"/>
      <c r="H56" s="20">
        <f t="shared" si="2"/>
        <v>0</v>
      </c>
      <c r="I56" s="29">
        <f t="shared" si="2"/>
        <v>0</v>
      </c>
    </row>
    <row r="57" spans="1:9" s="40" customFormat="1" x14ac:dyDescent="0.25">
      <c r="A57" s="39" t="s">
        <v>213</v>
      </c>
      <c r="B57" s="26"/>
      <c r="C57" s="87"/>
      <c r="D57" s="26"/>
      <c r="E57" s="87"/>
      <c r="F57" s="26"/>
      <c r="G57" s="87"/>
      <c r="H57" s="20">
        <f t="shared" si="2"/>
        <v>0</v>
      </c>
      <c r="I57" s="29">
        <f t="shared" si="2"/>
        <v>0</v>
      </c>
    </row>
    <row r="58" spans="1:9" s="40" customFormat="1" x14ac:dyDescent="0.25">
      <c r="A58" s="39" t="s">
        <v>214</v>
      </c>
      <c r="B58" s="26"/>
      <c r="C58" s="87"/>
      <c r="D58" s="26"/>
      <c r="E58" s="87"/>
      <c r="F58" s="26"/>
      <c r="G58" s="87"/>
      <c r="H58" s="20">
        <f t="shared" si="2"/>
        <v>0</v>
      </c>
      <c r="I58" s="29">
        <f t="shared" si="2"/>
        <v>0</v>
      </c>
    </row>
    <row r="59" spans="1:9" s="40" customFormat="1" x14ac:dyDescent="0.25">
      <c r="A59" s="39" t="s">
        <v>216</v>
      </c>
      <c r="B59" s="26"/>
      <c r="C59" s="87"/>
      <c r="D59" s="26"/>
      <c r="E59" s="87"/>
      <c r="F59" s="26"/>
      <c r="G59" s="87"/>
      <c r="H59" s="20">
        <f t="shared" si="2"/>
        <v>0</v>
      </c>
      <c r="I59" s="29">
        <f t="shared" si="2"/>
        <v>0</v>
      </c>
    </row>
    <row r="60" spans="1:9" s="40" customFormat="1" x14ac:dyDescent="0.25">
      <c r="A60" s="39" t="s">
        <v>99</v>
      </c>
      <c r="B60" s="26"/>
      <c r="C60" s="87"/>
      <c r="D60" s="26"/>
      <c r="E60" s="87"/>
      <c r="F60" s="26"/>
      <c r="G60" s="87"/>
      <c r="H60" s="20">
        <f t="shared" si="2"/>
        <v>0</v>
      </c>
      <c r="I60" s="29">
        <f t="shared" si="2"/>
        <v>0</v>
      </c>
    </row>
    <row r="61" spans="1:9" x14ac:dyDescent="0.25">
      <c r="A61" s="19" t="s">
        <v>223</v>
      </c>
      <c r="B61" s="26"/>
      <c r="C61" s="87"/>
      <c r="D61" s="18"/>
      <c r="E61" s="23"/>
      <c r="F61" s="18"/>
      <c r="G61" s="23"/>
      <c r="H61" s="20">
        <f>(D61)-F61</f>
        <v>0</v>
      </c>
      <c r="I61" s="29">
        <f>(E61)-G61</f>
        <v>0</v>
      </c>
    </row>
    <row r="62" spans="1:9" x14ac:dyDescent="0.25">
      <c r="A62" s="19" t="s">
        <v>224</v>
      </c>
      <c r="B62" s="26"/>
      <c r="C62" s="87"/>
      <c r="D62" s="18"/>
      <c r="E62" s="23"/>
      <c r="F62" s="18"/>
      <c r="G62" s="23"/>
      <c r="H62" s="20">
        <f>(D62)-F62</f>
        <v>0</v>
      </c>
      <c r="I62" s="29">
        <f>(E62)-G62</f>
        <v>0</v>
      </c>
    </row>
    <row r="63" spans="1:9" x14ac:dyDescent="0.25">
      <c r="A63" s="19" t="s">
        <v>95</v>
      </c>
      <c r="B63" s="18"/>
      <c r="C63" s="23"/>
      <c r="D63" s="18"/>
      <c r="E63" s="23"/>
      <c r="F63" s="18"/>
      <c r="G63" s="23"/>
      <c r="H63" s="20">
        <f>(B63+D63)-F63</f>
        <v>0</v>
      </c>
      <c r="I63" s="29">
        <f t="shared" si="2"/>
        <v>0</v>
      </c>
    </row>
    <row r="64" spans="1:9" x14ac:dyDescent="0.25">
      <c r="A64" s="19" t="s">
        <v>72</v>
      </c>
      <c r="B64" s="18"/>
      <c r="C64" s="23"/>
      <c r="D64" s="18"/>
      <c r="E64" s="23"/>
      <c r="F64" s="18"/>
      <c r="G64" s="23"/>
      <c r="H64" s="20">
        <f t="shared" si="2"/>
        <v>0</v>
      </c>
      <c r="I64" s="29">
        <f t="shared" si="2"/>
        <v>0</v>
      </c>
    </row>
    <row r="65" spans="1:9" x14ac:dyDescent="0.25">
      <c r="A65" s="19" t="s">
        <v>101</v>
      </c>
      <c r="B65" s="18"/>
      <c r="C65" s="23"/>
      <c r="D65" s="18"/>
      <c r="E65" s="23"/>
      <c r="F65" s="18"/>
      <c r="G65" s="23"/>
      <c r="H65" s="20">
        <f>(D65)-F65</f>
        <v>0</v>
      </c>
      <c r="I65" s="29">
        <f t="shared" si="2"/>
        <v>0</v>
      </c>
    </row>
    <row r="66" spans="1:9" x14ac:dyDescent="0.25">
      <c r="A66" s="19" t="s">
        <v>102</v>
      </c>
      <c r="B66" s="18"/>
      <c r="C66" s="23"/>
      <c r="D66" s="18"/>
      <c r="E66" s="23"/>
      <c r="F66" s="18"/>
      <c r="G66" s="23"/>
      <c r="H66" s="20">
        <f>(D66)-F66</f>
        <v>0</v>
      </c>
      <c r="I66" s="29">
        <f t="shared" si="2"/>
        <v>0</v>
      </c>
    </row>
    <row r="67" spans="1:9" x14ac:dyDescent="0.25">
      <c r="A67" s="19" t="s">
        <v>103</v>
      </c>
      <c r="B67" s="18"/>
      <c r="C67" s="23"/>
      <c r="D67" s="18"/>
      <c r="E67" s="23"/>
      <c r="F67" s="18"/>
      <c r="G67" s="23"/>
      <c r="H67" s="20">
        <f t="shared" si="2"/>
        <v>0</v>
      </c>
      <c r="I67" s="29">
        <f t="shared" si="2"/>
        <v>0</v>
      </c>
    </row>
    <row r="68" spans="1:9" x14ac:dyDescent="0.25">
      <c r="A68" s="19" t="s">
        <v>88</v>
      </c>
      <c r="B68" s="18"/>
      <c r="C68" s="23"/>
      <c r="D68" s="18"/>
      <c r="E68" s="23"/>
      <c r="F68" s="18"/>
      <c r="G68" s="23"/>
      <c r="H68" s="20">
        <f t="shared" si="2"/>
        <v>0</v>
      </c>
      <c r="I68" s="29">
        <f t="shared" si="2"/>
        <v>0</v>
      </c>
    </row>
    <row r="69" spans="1:9" x14ac:dyDescent="0.25">
      <c r="A69" s="19" t="s">
        <v>111</v>
      </c>
      <c r="B69" s="18"/>
      <c r="C69" s="23"/>
      <c r="D69" s="18"/>
      <c r="E69" s="23"/>
      <c r="F69" s="18"/>
      <c r="G69" s="23"/>
      <c r="H69" s="20">
        <f t="shared" si="2"/>
        <v>0</v>
      </c>
      <c r="I69" s="29">
        <f t="shared" si="2"/>
        <v>0</v>
      </c>
    </row>
    <row r="70" spans="1:9" x14ac:dyDescent="0.25">
      <c r="A70" s="19" t="s">
        <v>105</v>
      </c>
      <c r="B70" s="18"/>
      <c r="C70" s="23"/>
      <c r="D70" s="18"/>
      <c r="E70" s="23"/>
      <c r="F70" s="18"/>
      <c r="G70" s="23"/>
      <c r="H70" s="20">
        <f t="shared" si="2"/>
        <v>0</v>
      </c>
      <c r="I70" s="29">
        <f t="shared" si="2"/>
        <v>0</v>
      </c>
    </row>
    <row r="71" spans="1:9" x14ac:dyDescent="0.25">
      <c r="A71" s="19" t="s">
        <v>96</v>
      </c>
      <c r="B71" s="18"/>
      <c r="C71" s="23"/>
      <c r="D71" s="18"/>
      <c r="E71" s="23"/>
      <c r="F71" s="18"/>
      <c r="G71" s="23"/>
      <c r="H71" s="20">
        <f t="shared" si="2"/>
        <v>0</v>
      </c>
      <c r="I71" s="29">
        <f t="shared" si="2"/>
        <v>0</v>
      </c>
    </row>
    <row r="72" spans="1:9" x14ac:dyDescent="0.25">
      <c r="A72" s="19" t="s">
        <v>69</v>
      </c>
      <c r="B72" s="18"/>
      <c r="C72" s="23"/>
      <c r="D72" s="18"/>
      <c r="E72" s="23"/>
      <c r="F72" s="18"/>
      <c r="G72" s="23"/>
      <c r="H72" s="20">
        <f t="shared" si="2"/>
        <v>0</v>
      </c>
      <c r="I72" s="29">
        <f t="shared" si="2"/>
        <v>0</v>
      </c>
    </row>
    <row r="73" spans="1:9" x14ac:dyDescent="0.25">
      <c r="A73" s="19" t="s">
        <v>218</v>
      </c>
      <c r="B73" s="18"/>
      <c r="C73" s="23"/>
      <c r="D73" s="18"/>
      <c r="E73" s="23"/>
      <c r="F73" s="18"/>
      <c r="G73" s="23"/>
      <c r="H73" s="20">
        <f t="shared" si="2"/>
        <v>0</v>
      </c>
      <c r="I73" s="29">
        <f t="shared" si="2"/>
        <v>0</v>
      </c>
    </row>
    <row r="74" spans="1:9" x14ac:dyDescent="0.25">
      <c r="A74" s="19" t="s">
        <v>97</v>
      </c>
      <c r="B74" s="18"/>
      <c r="C74" s="23"/>
      <c r="D74" s="18"/>
      <c r="E74" s="23"/>
      <c r="F74" s="18"/>
      <c r="G74" s="23"/>
      <c r="H74" s="20">
        <f t="shared" si="2"/>
        <v>0</v>
      </c>
      <c r="I74" s="29">
        <f t="shared" si="2"/>
        <v>0</v>
      </c>
    </row>
    <row r="75" spans="1:9" s="47" customFormat="1" x14ac:dyDescent="0.25">
      <c r="A75" s="123" t="s">
        <v>100</v>
      </c>
      <c r="B75" s="122">
        <f>SUM(B54:B74)</f>
        <v>0</v>
      </c>
      <c r="C75" s="77">
        <f t="shared" ref="C75:I75" si="3">SUM(C54:C74)</f>
        <v>0</v>
      </c>
      <c r="D75" s="104">
        <f t="shared" si="3"/>
        <v>0</v>
      </c>
      <c r="E75" s="124">
        <f t="shared" si="3"/>
        <v>0</v>
      </c>
      <c r="F75" s="104">
        <f t="shared" si="3"/>
        <v>0</v>
      </c>
      <c r="G75" s="124">
        <f t="shared" si="3"/>
        <v>0</v>
      </c>
      <c r="H75" s="101">
        <f t="shared" si="3"/>
        <v>0</v>
      </c>
      <c r="I75" s="125">
        <f t="shared" si="3"/>
        <v>0</v>
      </c>
    </row>
    <row r="76" spans="1:9" ht="45.75" customHeight="1" x14ac:dyDescent="0.25"/>
    <row r="77" spans="1:9" x14ac:dyDescent="0.25">
      <c r="A77" s="79" t="s">
        <v>195</v>
      </c>
      <c r="B77" s="102" t="s">
        <v>98</v>
      </c>
      <c r="C77" s="75" t="s">
        <v>240</v>
      </c>
      <c r="D77" s="75" t="s">
        <v>7</v>
      </c>
      <c r="E77" s="84" t="s">
        <v>107</v>
      </c>
    </row>
    <row r="78" spans="1:9" x14ac:dyDescent="0.25">
      <c r="A78" s="18" t="s">
        <v>115</v>
      </c>
      <c r="B78" s="18"/>
      <c r="C78" s="18"/>
      <c r="D78" s="18"/>
      <c r="E78" s="18">
        <f>(B78+C78)-D78</f>
        <v>0</v>
      </c>
    </row>
    <row r="79" spans="1:9" ht="45.75" customHeight="1" x14ac:dyDescent="0.25"/>
    <row r="80" spans="1:9" x14ac:dyDescent="0.25">
      <c r="A80" s="79" t="s">
        <v>201</v>
      </c>
      <c r="B80" s="102" t="s">
        <v>98</v>
      </c>
      <c r="C80" s="75" t="s">
        <v>240</v>
      </c>
      <c r="D80" s="75" t="s">
        <v>7</v>
      </c>
      <c r="E80" s="84" t="s">
        <v>107</v>
      </c>
    </row>
    <row r="81" spans="1:5" x14ac:dyDescent="0.25">
      <c r="A81" s="18" t="s">
        <v>115</v>
      </c>
      <c r="B81" s="96"/>
      <c r="C81" s="18"/>
      <c r="D81" s="18"/>
      <c r="E81" s="18">
        <f>(B81+C81)-D81</f>
        <v>0</v>
      </c>
    </row>
    <row r="82" spans="1:5" ht="45.75" customHeight="1" x14ac:dyDescent="0.25"/>
    <row r="83" spans="1:5" x14ac:dyDescent="0.25">
      <c r="A83" s="79" t="s">
        <v>202</v>
      </c>
      <c r="B83" s="102" t="s">
        <v>98</v>
      </c>
      <c r="C83" s="75" t="s">
        <v>240</v>
      </c>
      <c r="D83" s="75" t="s">
        <v>7</v>
      </c>
      <c r="E83" s="84" t="s">
        <v>107</v>
      </c>
    </row>
    <row r="84" spans="1:5" x14ac:dyDescent="0.25">
      <c r="A84" s="18" t="s">
        <v>225</v>
      </c>
      <c r="B84" s="18"/>
      <c r="C84" s="18"/>
      <c r="D84" s="18"/>
      <c r="E84" s="18">
        <f>(B84+C84)-D84</f>
        <v>0</v>
      </c>
    </row>
    <row r="85" spans="1:5" x14ac:dyDescent="0.25">
      <c r="A85" s="18" t="s">
        <v>226</v>
      </c>
      <c r="B85" s="18"/>
      <c r="C85" s="18"/>
      <c r="D85" s="18"/>
      <c r="E85" s="18">
        <f t="shared" ref="E85:E95" si="4">(B85+C85)-D85</f>
        <v>0</v>
      </c>
    </row>
    <row r="86" spans="1:5" x14ac:dyDescent="0.25">
      <c r="A86" s="18" t="s">
        <v>227</v>
      </c>
      <c r="B86" s="18"/>
      <c r="C86" s="18"/>
      <c r="D86" s="18"/>
      <c r="E86" s="18">
        <f t="shared" si="4"/>
        <v>0</v>
      </c>
    </row>
    <row r="87" spans="1:5" x14ac:dyDescent="0.25">
      <c r="A87" s="18" t="s">
        <v>89</v>
      </c>
      <c r="B87" s="18"/>
      <c r="C87" s="18"/>
      <c r="D87" s="18"/>
      <c r="E87" s="18">
        <f t="shared" si="4"/>
        <v>0</v>
      </c>
    </row>
    <row r="88" spans="1:5" x14ac:dyDescent="0.25">
      <c r="A88" s="18" t="s">
        <v>90</v>
      </c>
      <c r="B88" s="18"/>
      <c r="C88" s="18"/>
      <c r="D88" s="18"/>
      <c r="E88" s="18">
        <f t="shared" si="4"/>
        <v>0</v>
      </c>
    </row>
    <row r="89" spans="1:5" x14ac:dyDescent="0.25">
      <c r="A89" s="18" t="s">
        <v>91</v>
      </c>
      <c r="B89" s="18"/>
      <c r="C89" s="18"/>
      <c r="D89" s="18"/>
      <c r="E89" s="18">
        <f t="shared" si="4"/>
        <v>0</v>
      </c>
    </row>
    <row r="90" spans="1:5" x14ac:dyDescent="0.25">
      <c r="A90" s="18" t="s">
        <v>228</v>
      </c>
      <c r="B90" s="18"/>
      <c r="C90" s="18"/>
      <c r="D90" s="18"/>
      <c r="E90" s="18">
        <f>(C90)-D90</f>
        <v>0</v>
      </c>
    </row>
    <row r="91" spans="1:5" x14ac:dyDescent="0.25">
      <c r="A91" s="18" t="s">
        <v>229</v>
      </c>
      <c r="B91" s="18"/>
      <c r="C91" s="18"/>
      <c r="D91" s="18"/>
      <c r="E91" s="18">
        <f t="shared" ref="E91:E94" si="5">(C91)-D91</f>
        <v>0</v>
      </c>
    </row>
    <row r="92" spans="1:5" x14ac:dyDescent="0.25">
      <c r="A92" s="18" t="s">
        <v>230</v>
      </c>
      <c r="B92" s="18"/>
      <c r="C92" s="18"/>
      <c r="D92" s="18"/>
      <c r="E92" s="18">
        <f t="shared" si="5"/>
        <v>0</v>
      </c>
    </row>
    <row r="93" spans="1:5" x14ac:dyDescent="0.25">
      <c r="A93" s="18" t="s">
        <v>231</v>
      </c>
      <c r="B93" s="18"/>
      <c r="C93" s="18"/>
      <c r="D93" s="18"/>
      <c r="E93" s="18">
        <f t="shared" si="5"/>
        <v>0</v>
      </c>
    </row>
    <row r="94" spans="1:5" x14ac:dyDescent="0.25">
      <c r="A94" s="18" t="s">
        <v>232</v>
      </c>
      <c r="B94" s="18"/>
      <c r="C94" s="18"/>
      <c r="D94" s="18"/>
      <c r="E94" s="18">
        <f t="shared" si="5"/>
        <v>0</v>
      </c>
    </row>
    <row r="95" spans="1:5" x14ac:dyDescent="0.25">
      <c r="A95" s="18" t="s">
        <v>233</v>
      </c>
      <c r="B95" s="18"/>
      <c r="C95" s="18"/>
      <c r="D95" s="18"/>
      <c r="E95" s="18">
        <f t="shared" si="4"/>
        <v>0</v>
      </c>
    </row>
    <row r="96" spans="1:5" x14ac:dyDescent="0.25">
      <c r="A96" s="83" t="s">
        <v>100</v>
      </c>
      <c r="B96" s="102">
        <f>SUM(B84:B95)</f>
        <v>0</v>
      </c>
      <c r="C96" s="75">
        <f>SUM(C84:C95)</f>
        <v>0</v>
      </c>
      <c r="D96" s="75">
        <f>SUM(D84:D95)</f>
        <v>0</v>
      </c>
      <c r="E96" s="84">
        <f>SUM(E84:E95)</f>
        <v>0</v>
      </c>
    </row>
    <row r="97" spans="1:13" ht="47.25" customHeight="1" x14ac:dyDescent="0.25">
      <c r="K97" s="43"/>
    </row>
    <row r="98" spans="1:13" x14ac:dyDescent="0.25">
      <c r="A98" s="199" t="s">
        <v>204</v>
      </c>
      <c r="B98" s="195" t="s">
        <v>98</v>
      </c>
      <c r="C98" s="196"/>
      <c r="D98" s="201"/>
      <c r="K98" s="43"/>
    </row>
    <row r="99" spans="1:13" x14ac:dyDescent="0.25">
      <c r="A99" s="200"/>
      <c r="B99" s="102" t="s">
        <v>121</v>
      </c>
      <c r="C99" s="102" t="s">
        <v>119</v>
      </c>
      <c r="D99" s="102" t="s">
        <v>120</v>
      </c>
      <c r="K99" s="43"/>
    </row>
    <row r="100" spans="1:13" x14ac:dyDescent="0.25">
      <c r="A100" s="18" t="s">
        <v>133</v>
      </c>
      <c r="B100" s="18"/>
      <c r="C100" s="23"/>
      <c r="D100" s="23"/>
      <c r="K100" s="43"/>
    </row>
    <row r="101" spans="1:13" ht="15" customHeight="1" x14ac:dyDescent="0.25">
      <c r="A101" s="80" t="s">
        <v>203</v>
      </c>
      <c r="B101" s="102" t="s">
        <v>98</v>
      </c>
      <c r="C101" s="102"/>
      <c r="D101" s="102"/>
      <c r="E101" s="202" t="s">
        <v>240</v>
      </c>
      <c r="F101" s="203"/>
      <c r="G101" s="202" t="s">
        <v>7</v>
      </c>
      <c r="H101" s="203"/>
      <c r="I101" s="204" t="s">
        <v>107</v>
      </c>
      <c r="J101" s="205"/>
      <c r="K101" s="215" t="s">
        <v>157</v>
      </c>
      <c r="M101" s="43"/>
    </row>
    <row r="102" spans="1:13" x14ac:dyDescent="0.25">
      <c r="A102" s="80"/>
      <c r="B102" s="102" t="s">
        <v>113</v>
      </c>
      <c r="C102" s="102" t="s">
        <v>131</v>
      </c>
      <c r="D102" s="102" t="s">
        <v>132</v>
      </c>
      <c r="E102" s="76" t="s">
        <v>130</v>
      </c>
      <c r="F102" s="75" t="s">
        <v>127</v>
      </c>
      <c r="G102" s="76" t="s">
        <v>130</v>
      </c>
      <c r="H102" s="75" t="s">
        <v>127</v>
      </c>
      <c r="I102" s="84" t="s">
        <v>113</v>
      </c>
      <c r="J102" s="84" t="s">
        <v>112</v>
      </c>
      <c r="K102" s="216"/>
      <c r="M102" s="43"/>
    </row>
    <row r="103" spans="1:13" x14ac:dyDescent="0.25">
      <c r="A103" s="18" t="s">
        <v>93</v>
      </c>
      <c r="B103" s="23"/>
      <c r="C103" s="18"/>
      <c r="D103" s="18"/>
      <c r="E103" s="88"/>
      <c r="F103" s="18"/>
      <c r="G103" s="88"/>
      <c r="H103" s="18"/>
      <c r="I103" s="208">
        <f>(C100+D100+B114+E114)-G114</f>
        <v>0</v>
      </c>
      <c r="J103" s="211">
        <f>(B100+D114+F114)-H114</f>
        <v>0</v>
      </c>
      <c r="K103" s="223" t="str">
        <f>IFERROR(IF(ABS(I103)/ABS(J103)=0.01,"Rounding differences only",""),"")</f>
        <v/>
      </c>
      <c r="M103" s="43"/>
    </row>
    <row r="104" spans="1:13" x14ac:dyDescent="0.25">
      <c r="A104" s="18" t="s">
        <v>94</v>
      </c>
      <c r="B104" s="23"/>
      <c r="C104" s="18"/>
      <c r="D104" s="18"/>
      <c r="E104" s="88"/>
      <c r="F104" s="18"/>
      <c r="G104" s="88"/>
      <c r="H104" s="18"/>
      <c r="I104" s="209"/>
      <c r="J104" s="212"/>
      <c r="K104" s="224"/>
      <c r="M104" s="43"/>
    </row>
    <row r="105" spans="1:13" x14ac:dyDescent="0.25">
      <c r="A105" s="18" t="s">
        <v>215</v>
      </c>
      <c r="B105" s="23"/>
      <c r="C105" s="18"/>
      <c r="D105" s="18"/>
      <c r="E105" s="88"/>
      <c r="F105" s="18"/>
      <c r="G105" s="88"/>
      <c r="H105" s="18"/>
      <c r="I105" s="209"/>
      <c r="J105" s="212"/>
      <c r="K105" s="224"/>
      <c r="M105" s="43"/>
    </row>
    <row r="106" spans="1:13" x14ac:dyDescent="0.25">
      <c r="A106" s="18" t="s">
        <v>99</v>
      </c>
      <c r="B106" s="23"/>
      <c r="C106" s="18"/>
      <c r="D106" s="18"/>
      <c r="E106" s="88"/>
      <c r="F106" s="18"/>
      <c r="G106" s="88"/>
      <c r="H106" s="18"/>
      <c r="I106" s="209"/>
      <c r="J106" s="212"/>
      <c r="K106" s="224"/>
      <c r="M106" s="43"/>
    </row>
    <row r="107" spans="1:13" x14ac:dyDescent="0.25">
      <c r="A107" s="18" t="s">
        <v>72</v>
      </c>
      <c r="B107" s="23"/>
      <c r="C107" s="18"/>
      <c r="D107" s="18"/>
      <c r="E107" s="88"/>
      <c r="F107" s="18"/>
      <c r="G107" s="88"/>
      <c r="H107" s="18"/>
      <c r="I107" s="209"/>
      <c r="J107" s="212"/>
      <c r="K107" s="224"/>
      <c r="M107" s="43"/>
    </row>
    <row r="108" spans="1:13" x14ac:dyDescent="0.25">
      <c r="A108" s="18" t="s">
        <v>103</v>
      </c>
      <c r="B108" s="23"/>
      <c r="C108" s="18"/>
      <c r="D108" s="18"/>
      <c r="E108" s="88"/>
      <c r="F108" s="18"/>
      <c r="G108" s="88"/>
      <c r="H108" s="18"/>
      <c r="I108" s="209"/>
      <c r="J108" s="212"/>
      <c r="K108" s="224"/>
      <c r="M108" s="43"/>
    </row>
    <row r="109" spans="1:13" x14ac:dyDescent="0.25">
      <c r="A109" s="18" t="s">
        <v>88</v>
      </c>
      <c r="B109" s="23"/>
      <c r="C109" s="18"/>
      <c r="D109" s="18"/>
      <c r="E109" s="88"/>
      <c r="F109" s="18"/>
      <c r="G109" s="88"/>
      <c r="H109" s="18"/>
      <c r="I109" s="209"/>
      <c r="J109" s="212"/>
      <c r="K109" s="224"/>
      <c r="M109" s="43"/>
    </row>
    <row r="110" spans="1:13" x14ac:dyDescent="0.25">
      <c r="A110" s="18" t="s">
        <v>104</v>
      </c>
      <c r="B110" s="23"/>
      <c r="C110" s="18"/>
      <c r="D110" s="18"/>
      <c r="E110" s="88"/>
      <c r="F110" s="18"/>
      <c r="G110" s="88"/>
      <c r="H110" s="18"/>
      <c r="I110" s="209"/>
      <c r="J110" s="212"/>
      <c r="K110" s="224"/>
      <c r="M110" s="43"/>
    </row>
    <row r="111" spans="1:13" x14ac:dyDescent="0.25">
      <c r="A111" s="18" t="s">
        <v>105</v>
      </c>
      <c r="B111" s="23"/>
      <c r="C111" s="18"/>
      <c r="D111" s="18"/>
      <c r="E111" s="88"/>
      <c r="F111" s="18"/>
      <c r="G111" s="88"/>
      <c r="H111" s="18"/>
      <c r="I111" s="209"/>
      <c r="J111" s="212"/>
      <c r="K111" s="224"/>
      <c r="M111" s="43"/>
    </row>
    <row r="112" spans="1:13" x14ac:dyDescent="0.25">
      <c r="A112" s="18" t="s">
        <v>69</v>
      </c>
      <c r="B112" s="23"/>
      <c r="C112" s="18"/>
      <c r="D112" s="18"/>
      <c r="E112" s="88"/>
      <c r="F112" s="18"/>
      <c r="G112" s="88"/>
      <c r="H112" s="18"/>
      <c r="I112" s="209"/>
      <c r="J112" s="212"/>
      <c r="K112" s="224"/>
      <c r="M112" s="43"/>
    </row>
    <row r="113" spans="1:17" x14ac:dyDescent="0.25">
      <c r="A113" s="18" t="s">
        <v>234</v>
      </c>
      <c r="B113" s="23"/>
      <c r="C113" s="18"/>
      <c r="D113" s="18"/>
      <c r="E113" s="88"/>
      <c r="F113" s="18"/>
      <c r="G113" s="88"/>
      <c r="H113" s="18"/>
      <c r="I113" s="209"/>
      <c r="J113" s="212"/>
      <c r="K113" s="224"/>
      <c r="M113" s="43"/>
    </row>
    <row r="114" spans="1:17" x14ac:dyDescent="0.25">
      <c r="A114" s="83" t="s">
        <v>100</v>
      </c>
      <c r="B114" s="77">
        <f t="shared" ref="B114:H114" si="6">SUM(B103:B113)</f>
        <v>0</v>
      </c>
      <c r="C114" s="102">
        <f t="shared" si="6"/>
        <v>0</v>
      </c>
      <c r="D114" s="102">
        <f t="shared" si="6"/>
        <v>0</v>
      </c>
      <c r="E114" s="126">
        <f t="shared" si="6"/>
        <v>0</v>
      </c>
      <c r="F114" s="75">
        <f t="shared" si="6"/>
        <v>0</v>
      </c>
      <c r="G114" s="126">
        <f t="shared" si="6"/>
        <v>0</v>
      </c>
      <c r="H114" s="75">
        <f t="shared" si="6"/>
        <v>0</v>
      </c>
      <c r="I114" s="210"/>
      <c r="J114" s="213"/>
      <c r="K114" s="225"/>
      <c r="M114" s="43"/>
    </row>
    <row r="115" spans="1:17" ht="47.25" customHeight="1" x14ac:dyDescent="0.25">
      <c r="A115" s="21"/>
      <c r="B115" s="21"/>
      <c r="C115" s="21"/>
      <c r="D115" s="21"/>
    </row>
    <row r="116" spans="1:17" x14ac:dyDescent="0.25">
      <c r="A116" s="194" t="s">
        <v>205</v>
      </c>
      <c r="B116" s="195" t="s">
        <v>98</v>
      </c>
      <c r="C116" s="196"/>
      <c r="D116" s="196"/>
      <c r="E116" s="197" t="s">
        <v>240</v>
      </c>
      <c r="F116" s="197"/>
      <c r="G116" s="197"/>
      <c r="H116" s="197" t="s">
        <v>7</v>
      </c>
      <c r="I116" s="197"/>
      <c r="J116" s="197"/>
      <c r="K116" s="31" t="s">
        <v>137</v>
      </c>
      <c r="L116" s="197" t="s">
        <v>138</v>
      </c>
      <c r="M116" s="197"/>
      <c r="N116" s="197"/>
      <c r="O116" s="217" t="s">
        <v>107</v>
      </c>
      <c r="P116" s="217"/>
      <c r="Q116" s="217"/>
    </row>
    <row r="117" spans="1:17" x14ac:dyDescent="0.25">
      <c r="A117" s="194"/>
      <c r="B117" s="102" t="s">
        <v>116</v>
      </c>
      <c r="C117" s="102" t="s">
        <v>117</v>
      </c>
      <c r="D117" s="102" t="s">
        <v>118</v>
      </c>
      <c r="E117" s="75" t="s">
        <v>127</v>
      </c>
      <c r="F117" s="75" t="s">
        <v>128</v>
      </c>
      <c r="G117" s="75" t="s">
        <v>118</v>
      </c>
      <c r="H117" s="75" t="s">
        <v>127</v>
      </c>
      <c r="I117" s="75" t="s">
        <v>128</v>
      </c>
      <c r="J117" s="75" t="s">
        <v>118</v>
      </c>
      <c r="K117" s="75" t="s">
        <v>127</v>
      </c>
      <c r="L117" s="75" t="s">
        <v>127</v>
      </c>
      <c r="M117" s="75" t="s">
        <v>117</v>
      </c>
      <c r="N117" s="75" t="s">
        <v>118</v>
      </c>
      <c r="O117" s="84" t="s">
        <v>127</v>
      </c>
      <c r="P117" s="84" t="s">
        <v>128</v>
      </c>
      <c r="Q117" s="84" t="s">
        <v>129</v>
      </c>
    </row>
    <row r="118" spans="1:17" x14ac:dyDescent="0.25">
      <c r="A118" s="28" t="s">
        <v>88</v>
      </c>
      <c r="B118" s="26"/>
      <c r="C118" s="23"/>
      <c r="D118" s="87"/>
      <c r="E118" s="20"/>
      <c r="F118" s="29"/>
      <c r="G118" s="87"/>
      <c r="H118" s="20"/>
      <c r="I118" s="29"/>
      <c r="J118" s="87"/>
      <c r="K118" s="18"/>
      <c r="L118" s="18"/>
      <c r="M118" s="23"/>
      <c r="N118" s="23"/>
      <c r="O118" s="18">
        <f>(B118-K118+E118)-H118+L118</f>
        <v>0</v>
      </c>
      <c r="P118" s="23">
        <f>(C118+F118)-I118+M118</f>
        <v>0</v>
      </c>
      <c r="Q118" s="23">
        <f>(D118+G118)-J118+N118</f>
        <v>0</v>
      </c>
    </row>
    <row r="119" spans="1:17" x14ac:dyDescent="0.25">
      <c r="A119" s="18" t="s">
        <v>99</v>
      </c>
      <c r="B119" s="18"/>
      <c r="C119" s="23"/>
      <c r="D119" s="23"/>
      <c r="E119" s="18"/>
      <c r="F119" s="23"/>
      <c r="G119" s="23"/>
      <c r="H119" s="18"/>
      <c r="I119" s="23"/>
      <c r="J119" s="23"/>
      <c r="K119" s="18"/>
      <c r="L119" s="18"/>
      <c r="M119" s="23"/>
      <c r="N119" s="23"/>
      <c r="O119" s="18">
        <f t="shared" ref="O119:O120" si="7">(B119-K119+E119)-H119+L119</f>
        <v>0</v>
      </c>
      <c r="P119" s="23">
        <f t="shared" ref="P119:Q120" si="8">(C119+F119)-I119+M119</f>
        <v>0</v>
      </c>
      <c r="Q119" s="23">
        <f t="shared" si="8"/>
        <v>0</v>
      </c>
    </row>
    <row r="120" spans="1:17" x14ac:dyDescent="0.25">
      <c r="A120" s="18" t="s">
        <v>111</v>
      </c>
      <c r="B120" s="18"/>
      <c r="C120" s="23"/>
      <c r="D120" s="23"/>
      <c r="E120" s="18"/>
      <c r="F120" s="23"/>
      <c r="G120" s="23"/>
      <c r="H120" s="18"/>
      <c r="I120" s="23"/>
      <c r="J120" s="23"/>
      <c r="K120" s="18"/>
      <c r="L120" s="18"/>
      <c r="M120" s="23"/>
      <c r="N120" s="23"/>
      <c r="O120" s="18">
        <f t="shared" si="7"/>
        <v>0</v>
      </c>
      <c r="P120" s="23">
        <f t="shared" si="8"/>
        <v>0</v>
      </c>
      <c r="Q120" s="23">
        <f t="shared" si="8"/>
        <v>0</v>
      </c>
    </row>
    <row r="121" spans="1:17" s="30" customFormat="1" x14ac:dyDescent="0.25">
      <c r="A121" s="83" t="s">
        <v>136</v>
      </c>
      <c r="B121" s="102">
        <f>SUM(B118:B120)</f>
        <v>0</v>
      </c>
      <c r="C121" s="77">
        <f t="shared" ref="C121:K121" si="9">SUM(C118:C120)</f>
        <v>0</v>
      </c>
      <c r="D121" s="77">
        <f t="shared" si="9"/>
        <v>0</v>
      </c>
      <c r="E121" s="75">
        <f t="shared" si="9"/>
        <v>0</v>
      </c>
      <c r="F121" s="75">
        <f t="shared" si="9"/>
        <v>0</v>
      </c>
      <c r="G121" s="75">
        <f t="shared" si="9"/>
        <v>0</v>
      </c>
      <c r="H121" s="75">
        <f t="shared" si="9"/>
        <v>0</v>
      </c>
      <c r="I121" s="75">
        <f t="shared" si="9"/>
        <v>0</v>
      </c>
      <c r="J121" s="75">
        <f t="shared" si="9"/>
        <v>0</v>
      </c>
      <c r="K121" s="25">
        <f t="shared" si="9"/>
        <v>0</v>
      </c>
      <c r="L121" s="25"/>
      <c r="M121" s="24">
        <f t="shared" ref="M121:N121" si="10">SUM(M118:M120)</f>
        <v>0</v>
      </c>
      <c r="N121" s="24">
        <f t="shared" si="10"/>
        <v>0</v>
      </c>
      <c r="O121" s="84">
        <f>SUM(O118:O120)</f>
        <v>0</v>
      </c>
      <c r="P121" s="85">
        <f>SUM(P118:P120)</f>
        <v>0</v>
      </c>
      <c r="Q121" s="85">
        <f>SUM(Q118:Q120)</f>
        <v>0</v>
      </c>
    </row>
    <row r="122" spans="1:17" x14ac:dyDescent="0.25">
      <c r="A122" s="18" t="s">
        <v>94</v>
      </c>
      <c r="B122" s="18"/>
      <c r="C122" s="218" t="s">
        <v>140</v>
      </c>
      <c r="D122" s="219"/>
      <c r="E122" s="18"/>
      <c r="F122" s="218" t="s">
        <v>140</v>
      </c>
      <c r="G122" s="219"/>
      <c r="H122" s="18"/>
      <c r="I122" s="218" t="s">
        <v>140</v>
      </c>
      <c r="J122" s="219"/>
      <c r="K122" s="18"/>
      <c r="L122" s="18"/>
      <c r="M122" s="218" t="s">
        <v>140</v>
      </c>
      <c r="N122" s="219"/>
      <c r="O122" s="18">
        <f>(B122+E122-K122)-H122+L122</f>
        <v>0</v>
      </c>
      <c r="P122" s="218" t="s">
        <v>140</v>
      </c>
      <c r="Q122" s="219"/>
    </row>
    <row r="123" spans="1:17" x14ac:dyDescent="0.25">
      <c r="A123" s="18" t="s">
        <v>95</v>
      </c>
      <c r="B123" s="18"/>
      <c r="C123" s="127"/>
      <c r="D123" s="127"/>
      <c r="E123" s="18"/>
      <c r="F123" s="127"/>
      <c r="G123" s="127"/>
      <c r="H123" s="18"/>
      <c r="I123" s="127"/>
      <c r="J123" s="127"/>
      <c r="K123" s="18"/>
      <c r="L123" s="18"/>
      <c r="M123" s="127"/>
      <c r="N123" s="127"/>
      <c r="O123" s="18">
        <f t="shared" ref="O123:O139" si="11">(B123-K123+E123)-H123+L123</f>
        <v>0</v>
      </c>
      <c r="P123" s="23">
        <f>(C123+F123)-I123+M123</f>
        <v>0</v>
      </c>
      <c r="Q123" s="23">
        <f>(D123+G123)-J123+N123</f>
        <v>0</v>
      </c>
    </row>
    <row r="124" spans="1:17" x14ac:dyDescent="0.25">
      <c r="A124" s="18" t="s">
        <v>145</v>
      </c>
      <c r="B124" s="18"/>
      <c r="C124" s="127"/>
      <c r="D124" s="127"/>
      <c r="E124" s="18"/>
      <c r="F124" s="127"/>
      <c r="G124" s="127"/>
      <c r="H124" s="18"/>
      <c r="I124" s="127"/>
      <c r="J124" s="127"/>
      <c r="K124" s="18"/>
      <c r="L124" s="18"/>
      <c r="M124" s="127"/>
      <c r="N124" s="127"/>
      <c r="O124" s="18">
        <f t="shared" si="11"/>
        <v>0</v>
      </c>
      <c r="P124" s="23">
        <f t="shared" ref="P124:Q139" si="12">(C124+F124)-I124+M124</f>
        <v>0</v>
      </c>
      <c r="Q124" s="23">
        <f t="shared" si="12"/>
        <v>0</v>
      </c>
    </row>
    <row r="125" spans="1:17" x14ac:dyDescent="0.25">
      <c r="A125" s="18" t="s">
        <v>235</v>
      </c>
      <c r="B125" s="18"/>
      <c r="C125" s="127"/>
      <c r="D125" s="127"/>
      <c r="E125" s="18"/>
      <c r="F125" s="127"/>
      <c r="G125" s="127"/>
      <c r="H125" s="18"/>
      <c r="I125" s="127"/>
      <c r="J125" s="127"/>
      <c r="K125" s="18"/>
      <c r="L125" s="18"/>
      <c r="M125" s="127"/>
      <c r="N125" s="127"/>
      <c r="O125" s="18">
        <f t="shared" si="11"/>
        <v>0</v>
      </c>
      <c r="P125" s="23">
        <f t="shared" si="12"/>
        <v>0</v>
      </c>
      <c r="Q125" s="23">
        <f t="shared" si="12"/>
        <v>0</v>
      </c>
    </row>
    <row r="126" spans="1:17" x14ac:dyDescent="0.25">
      <c r="A126" s="18" t="s">
        <v>236</v>
      </c>
      <c r="B126" s="18"/>
      <c r="C126" s="127"/>
      <c r="D126" s="127"/>
      <c r="E126" s="18"/>
      <c r="F126" s="127"/>
      <c r="G126" s="127"/>
      <c r="H126" s="18"/>
      <c r="I126" s="127"/>
      <c r="J126" s="127"/>
      <c r="K126" s="18"/>
      <c r="L126" s="18"/>
      <c r="M126" s="127"/>
      <c r="N126" s="127"/>
      <c r="O126" s="18">
        <f t="shared" si="11"/>
        <v>0</v>
      </c>
      <c r="P126" s="23">
        <f t="shared" si="12"/>
        <v>0</v>
      </c>
      <c r="Q126" s="23">
        <f t="shared" si="12"/>
        <v>0</v>
      </c>
    </row>
    <row r="127" spans="1:17" x14ac:dyDescent="0.25">
      <c r="A127" s="18" t="s">
        <v>213</v>
      </c>
      <c r="B127" s="18"/>
      <c r="C127" s="127"/>
      <c r="D127" s="127"/>
      <c r="E127" s="18"/>
      <c r="F127" s="127"/>
      <c r="G127" s="127"/>
      <c r="H127" s="18"/>
      <c r="I127" s="127"/>
      <c r="J127" s="127"/>
      <c r="K127" s="18"/>
      <c r="L127" s="18"/>
      <c r="M127" s="127"/>
      <c r="N127" s="127"/>
      <c r="O127" s="18">
        <f t="shared" si="11"/>
        <v>0</v>
      </c>
      <c r="P127" s="23">
        <f t="shared" si="12"/>
        <v>0</v>
      </c>
      <c r="Q127" s="23">
        <f t="shared" si="12"/>
        <v>0</v>
      </c>
    </row>
    <row r="128" spans="1:17" x14ac:dyDescent="0.25">
      <c r="A128" s="18" t="s">
        <v>215</v>
      </c>
      <c r="B128" s="18"/>
      <c r="C128" s="127"/>
      <c r="D128" s="127"/>
      <c r="E128" s="18"/>
      <c r="F128" s="127"/>
      <c r="G128" s="127"/>
      <c r="H128" s="18"/>
      <c r="I128" s="127"/>
      <c r="J128" s="127"/>
      <c r="K128" s="18"/>
      <c r="L128" s="18"/>
      <c r="M128" s="127"/>
      <c r="N128" s="127"/>
      <c r="O128" s="18">
        <f t="shared" si="11"/>
        <v>0</v>
      </c>
      <c r="P128" s="23">
        <f t="shared" si="12"/>
        <v>0</v>
      </c>
      <c r="Q128" s="23">
        <f t="shared" si="12"/>
        <v>0</v>
      </c>
    </row>
    <row r="129" spans="1:17" x14ac:dyDescent="0.25">
      <c r="A129" s="18" t="s">
        <v>223</v>
      </c>
      <c r="B129" s="18"/>
      <c r="C129" s="127"/>
      <c r="D129" s="127"/>
      <c r="E129" s="18"/>
      <c r="F129" s="127"/>
      <c r="G129" s="127"/>
      <c r="H129" s="18"/>
      <c r="I129" s="127"/>
      <c r="J129" s="127"/>
      <c r="K129" s="18"/>
      <c r="L129" s="18"/>
      <c r="M129" s="127"/>
      <c r="N129" s="127"/>
      <c r="O129" s="18">
        <f t="shared" si="11"/>
        <v>0</v>
      </c>
      <c r="P129" s="23">
        <f t="shared" si="12"/>
        <v>0</v>
      </c>
      <c r="Q129" s="23">
        <f t="shared" si="12"/>
        <v>0</v>
      </c>
    </row>
    <row r="130" spans="1:17" x14ac:dyDescent="0.25">
      <c r="A130" s="18" t="s">
        <v>95</v>
      </c>
      <c r="B130" s="18"/>
      <c r="C130" s="127"/>
      <c r="D130" s="127"/>
      <c r="E130" s="18"/>
      <c r="F130" s="127"/>
      <c r="G130" s="127"/>
      <c r="H130" s="18"/>
      <c r="I130" s="127"/>
      <c r="J130" s="127"/>
      <c r="K130" s="18"/>
      <c r="L130" s="18"/>
      <c r="M130" s="127"/>
      <c r="N130" s="127"/>
      <c r="O130" s="18">
        <f t="shared" si="11"/>
        <v>0</v>
      </c>
      <c r="P130" s="23">
        <f t="shared" si="12"/>
        <v>0</v>
      </c>
      <c r="Q130" s="23">
        <f t="shared" si="12"/>
        <v>0</v>
      </c>
    </row>
    <row r="131" spans="1:17" x14ac:dyDescent="0.25">
      <c r="A131" s="18" t="s">
        <v>101</v>
      </c>
      <c r="B131" s="18"/>
      <c r="C131" s="127"/>
      <c r="D131" s="127"/>
      <c r="E131" s="18"/>
      <c r="F131" s="127"/>
      <c r="G131" s="127"/>
      <c r="H131" s="18"/>
      <c r="I131" s="127"/>
      <c r="J131" s="127"/>
      <c r="K131" s="18"/>
      <c r="L131" s="18"/>
      <c r="M131" s="127"/>
      <c r="N131" s="127"/>
      <c r="O131" s="18">
        <f t="shared" si="11"/>
        <v>0</v>
      </c>
      <c r="P131" s="23">
        <f t="shared" si="12"/>
        <v>0</v>
      </c>
      <c r="Q131" s="23">
        <f t="shared" si="12"/>
        <v>0</v>
      </c>
    </row>
    <row r="132" spans="1:17" x14ac:dyDescent="0.25">
      <c r="A132" s="18" t="s">
        <v>221</v>
      </c>
      <c r="B132" s="18"/>
      <c r="C132" s="127"/>
      <c r="D132" s="127"/>
      <c r="E132" s="18"/>
      <c r="F132" s="127"/>
      <c r="G132" s="127"/>
      <c r="H132" s="18"/>
      <c r="I132" s="127"/>
      <c r="J132" s="127"/>
      <c r="K132" s="18"/>
      <c r="L132" s="18"/>
      <c r="M132" s="127"/>
      <c r="N132" s="127"/>
      <c r="O132" s="18">
        <f t="shared" si="11"/>
        <v>0</v>
      </c>
      <c r="P132" s="23">
        <f t="shared" si="12"/>
        <v>0</v>
      </c>
      <c r="Q132" s="23">
        <f t="shared" si="12"/>
        <v>0</v>
      </c>
    </row>
    <row r="133" spans="1:17" x14ac:dyDescent="0.25">
      <c r="A133" s="18" t="s">
        <v>97</v>
      </c>
      <c r="B133" s="18"/>
      <c r="C133" s="127"/>
      <c r="D133" s="127"/>
      <c r="E133" s="18"/>
      <c r="F133" s="127"/>
      <c r="G133" s="127"/>
      <c r="H133" s="18"/>
      <c r="I133" s="127"/>
      <c r="J133" s="127"/>
      <c r="K133" s="18"/>
      <c r="L133" s="18"/>
      <c r="M133" s="127"/>
      <c r="N133" s="127"/>
      <c r="O133" s="18">
        <f t="shared" si="11"/>
        <v>0</v>
      </c>
      <c r="P133" s="23">
        <f t="shared" si="12"/>
        <v>0</v>
      </c>
      <c r="Q133" s="23">
        <f t="shared" si="12"/>
        <v>0</v>
      </c>
    </row>
    <row r="134" spans="1:17" x14ac:dyDescent="0.25">
      <c r="A134" s="18" t="s">
        <v>102</v>
      </c>
      <c r="B134" s="18"/>
      <c r="C134" s="127"/>
      <c r="D134" s="127"/>
      <c r="E134" s="18"/>
      <c r="F134" s="127"/>
      <c r="G134" s="127"/>
      <c r="H134" s="18"/>
      <c r="I134" s="127"/>
      <c r="J134" s="127"/>
      <c r="K134" s="18"/>
      <c r="L134" s="18"/>
      <c r="M134" s="127"/>
      <c r="N134" s="127"/>
      <c r="O134" s="18">
        <f t="shared" si="11"/>
        <v>0</v>
      </c>
      <c r="P134" s="23">
        <f t="shared" si="12"/>
        <v>0</v>
      </c>
      <c r="Q134" s="23">
        <f t="shared" si="12"/>
        <v>0</v>
      </c>
    </row>
    <row r="135" spans="1:17" x14ac:dyDescent="0.25">
      <c r="A135" s="18" t="s">
        <v>103</v>
      </c>
      <c r="B135" s="18"/>
      <c r="C135" s="127"/>
      <c r="D135" s="127"/>
      <c r="E135" s="18"/>
      <c r="F135" s="127"/>
      <c r="G135" s="127"/>
      <c r="H135" s="18"/>
      <c r="I135" s="127"/>
      <c r="J135" s="127"/>
      <c r="K135" s="18"/>
      <c r="L135" s="18"/>
      <c r="M135" s="127"/>
      <c r="N135" s="127"/>
      <c r="O135" s="18">
        <f t="shared" si="11"/>
        <v>0</v>
      </c>
      <c r="P135" s="23">
        <f t="shared" si="12"/>
        <v>0</v>
      </c>
      <c r="Q135" s="23">
        <f t="shared" si="12"/>
        <v>0</v>
      </c>
    </row>
    <row r="136" spans="1:17" x14ac:dyDescent="0.25">
      <c r="A136" s="18" t="s">
        <v>222</v>
      </c>
      <c r="B136" s="18"/>
      <c r="C136" s="127"/>
      <c r="D136" s="127"/>
      <c r="E136" s="18"/>
      <c r="F136" s="127"/>
      <c r="G136" s="127"/>
      <c r="H136" s="18"/>
      <c r="I136" s="127"/>
      <c r="J136" s="127"/>
      <c r="K136" s="18"/>
      <c r="L136" s="18"/>
      <c r="M136" s="127"/>
      <c r="N136" s="127"/>
      <c r="O136" s="18">
        <f t="shared" si="11"/>
        <v>0</v>
      </c>
      <c r="P136" s="23">
        <f t="shared" si="12"/>
        <v>0</v>
      </c>
      <c r="Q136" s="23">
        <f t="shared" si="12"/>
        <v>0</v>
      </c>
    </row>
    <row r="137" spans="1:17" x14ac:dyDescent="0.25">
      <c r="A137" s="18" t="s">
        <v>217</v>
      </c>
      <c r="B137" s="18"/>
      <c r="C137" s="127"/>
      <c r="D137" s="127"/>
      <c r="E137" s="18"/>
      <c r="F137" s="127"/>
      <c r="G137" s="127"/>
      <c r="H137" s="18"/>
      <c r="I137" s="127"/>
      <c r="J137" s="127"/>
      <c r="K137" s="18"/>
      <c r="L137" s="18"/>
      <c r="M137" s="127"/>
      <c r="N137" s="127"/>
      <c r="O137" s="18">
        <f t="shared" si="11"/>
        <v>0</v>
      </c>
      <c r="P137" s="23">
        <f t="shared" si="12"/>
        <v>0</v>
      </c>
      <c r="Q137" s="23">
        <f t="shared" si="12"/>
        <v>0</v>
      </c>
    </row>
    <row r="138" spans="1:17" x14ac:dyDescent="0.25">
      <c r="A138" s="18" t="s">
        <v>105</v>
      </c>
      <c r="B138" s="18"/>
      <c r="C138" s="127"/>
      <c r="D138" s="127"/>
      <c r="E138" s="18"/>
      <c r="F138" s="127"/>
      <c r="G138" s="127"/>
      <c r="H138" s="18"/>
      <c r="I138" s="127"/>
      <c r="J138" s="127"/>
      <c r="K138" s="18"/>
      <c r="L138" s="18"/>
      <c r="M138" s="127"/>
      <c r="N138" s="127"/>
      <c r="O138" s="18">
        <f t="shared" si="11"/>
        <v>0</v>
      </c>
      <c r="P138" s="23">
        <f t="shared" si="12"/>
        <v>0</v>
      </c>
      <c r="Q138" s="23">
        <f t="shared" si="12"/>
        <v>0</v>
      </c>
    </row>
    <row r="139" spans="1:17" x14ac:dyDescent="0.25">
      <c r="A139" s="18" t="s">
        <v>96</v>
      </c>
      <c r="B139" s="18"/>
      <c r="C139" s="127"/>
      <c r="D139" s="127"/>
      <c r="E139" s="18"/>
      <c r="F139" s="127"/>
      <c r="G139" s="127"/>
      <c r="H139" s="18"/>
      <c r="I139" s="127"/>
      <c r="J139" s="127"/>
      <c r="K139" s="18"/>
      <c r="L139" s="18"/>
      <c r="M139" s="127"/>
      <c r="N139" s="127"/>
      <c r="O139" s="18">
        <f t="shared" si="11"/>
        <v>0</v>
      </c>
      <c r="P139" s="23">
        <f t="shared" si="12"/>
        <v>0</v>
      </c>
      <c r="Q139" s="23">
        <f t="shared" si="12"/>
        <v>0</v>
      </c>
    </row>
    <row r="140" spans="1:17" x14ac:dyDescent="0.25">
      <c r="A140" s="83" t="s">
        <v>100</v>
      </c>
      <c r="B140" s="102">
        <f>SUM(B118+B119+B120) + SUM(B122:B139)</f>
        <v>0</v>
      </c>
      <c r="C140" s="77">
        <f>SUM(C118+C119+C120) + SUM(C122:C139)</f>
        <v>0</v>
      </c>
      <c r="D140" s="77">
        <f>SUM(D118+D119+D120) + SUM(D122:D139)</f>
        <v>0</v>
      </c>
      <c r="E140" s="75">
        <f>SUM(E118+E119+E120) + SUM(E122:E139)</f>
        <v>0</v>
      </c>
      <c r="F140" s="124">
        <f>SUM(F118+F119+F120) + SUM(F122:F139)</f>
        <v>0</v>
      </c>
      <c r="G140" s="124">
        <f t="shared" ref="G140:Q140" si="13">SUM(G118+G119+G120) + SUM(G122:G139)</f>
        <v>0</v>
      </c>
      <c r="H140" s="75">
        <f>SUM(H118+H119+H120) + SUM(H122:H139)</f>
        <v>0</v>
      </c>
      <c r="I140" s="124">
        <f>SUM(I118+I119+I120) + SUM(I122:I139)</f>
        <v>0</v>
      </c>
      <c r="J140" s="124">
        <f t="shared" ref="J140" si="14">SUM(J118+J119+J120) + SUM(J122:J139)</f>
        <v>0</v>
      </c>
      <c r="K140" s="25">
        <f t="shared" si="13"/>
        <v>0</v>
      </c>
      <c r="L140" s="25">
        <f t="shared" si="13"/>
        <v>0</v>
      </c>
      <c r="M140" s="124">
        <f t="shared" si="13"/>
        <v>0</v>
      </c>
      <c r="N140" s="124">
        <f t="shared" si="13"/>
        <v>0</v>
      </c>
      <c r="O140" s="84">
        <f t="shared" si="13"/>
        <v>0</v>
      </c>
      <c r="P140" s="85">
        <f t="shared" si="13"/>
        <v>0</v>
      </c>
      <c r="Q140" s="85">
        <f t="shared" si="13"/>
        <v>0</v>
      </c>
    </row>
    <row r="141" spans="1:17" ht="48" customHeight="1" x14ac:dyDescent="0.25">
      <c r="L141" s="27"/>
    </row>
    <row r="142" spans="1:17" x14ac:dyDescent="0.25">
      <c r="A142" s="79" t="s">
        <v>206</v>
      </c>
      <c r="B142" s="102" t="s">
        <v>98</v>
      </c>
      <c r="C142" s="81" t="s">
        <v>240</v>
      </c>
      <c r="D142" s="81" t="s">
        <v>7</v>
      </c>
      <c r="E142" s="84" t="s">
        <v>107</v>
      </c>
    </row>
    <row r="143" spans="1:17" x14ac:dyDescent="0.25">
      <c r="A143" s="82" t="s">
        <v>115</v>
      </c>
      <c r="B143" s="18"/>
      <c r="C143" s="18"/>
      <c r="D143" s="18"/>
      <c r="E143" s="18">
        <f>(B143+C143)-D143</f>
        <v>0</v>
      </c>
    </row>
    <row r="144" spans="1:17" ht="48" customHeight="1" x14ac:dyDescent="0.25"/>
    <row r="145" spans="1:7" x14ac:dyDescent="0.25">
      <c r="A145" s="199" t="s">
        <v>209</v>
      </c>
      <c r="B145" s="214" t="s">
        <v>98</v>
      </c>
      <c r="C145" s="214"/>
      <c r="D145" s="104" t="s">
        <v>240</v>
      </c>
      <c r="E145" s="104" t="s">
        <v>7</v>
      </c>
      <c r="F145" s="215" t="s">
        <v>107</v>
      </c>
    </row>
    <row r="146" spans="1:7" ht="45" x14ac:dyDescent="0.25">
      <c r="A146" s="200"/>
      <c r="B146" s="78" t="s">
        <v>207</v>
      </c>
      <c r="C146" s="78" t="s">
        <v>208</v>
      </c>
      <c r="D146" s="75" t="s">
        <v>141</v>
      </c>
      <c r="E146" s="75" t="s">
        <v>141</v>
      </c>
      <c r="F146" s="216"/>
    </row>
    <row r="147" spans="1:7" x14ac:dyDescent="0.25">
      <c r="A147" s="18" t="s">
        <v>115</v>
      </c>
      <c r="B147" s="18"/>
      <c r="C147" s="18"/>
      <c r="D147" s="18"/>
      <c r="E147" s="18"/>
      <c r="F147" s="18">
        <f>B147+C147-E147</f>
        <v>0</v>
      </c>
    </row>
    <row r="148" spans="1:7" ht="48" customHeight="1" x14ac:dyDescent="0.25"/>
    <row r="149" spans="1:7" ht="60" x14ac:dyDescent="0.25">
      <c r="A149" s="103" t="s">
        <v>210</v>
      </c>
      <c r="B149" s="78" t="s">
        <v>211</v>
      </c>
      <c r="C149" s="75" t="s">
        <v>240</v>
      </c>
      <c r="D149" s="75" t="s">
        <v>7</v>
      </c>
      <c r="E149" s="84" t="s">
        <v>107</v>
      </c>
      <c r="F149" s="86" t="s">
        <v>139</v>
      </c>
      <c r="G149" s="86" t="s">
        <v>258</v>
      </c>
    </row>
    <row r="150" spans="1:7" x14ac:dyDescent="0.25">
      <c r="A150" s="18" t="s">
        <v>126</v>
      </c>
      <c r="B150" s="29"/>
      <c r="C150" s="29"/>
      <c r="D150" s="29"/>
      <c r="E150" s="23">
        <f>(B150+C150)-(D150+F150)</f>
        <v>0</v>
      </c>
      <c r="F150" s="32"/>
      <c r="G150" s="32"/>
    </row>
    <row r="151" spans="1:7" x14ac:dyDescent="0.25">
      <c r="A151" s="18" t="s">
        <v>122</v>
      </c>
      <c r="B151" s="29"/>
      <c r="C151" s="29"/>
      <c r="D151" s="29"/>
      <c r="E151" s="23">
        <f>B151+F150-D151</f>
        <v>0</v>
      </c>
      <c r="G151" s="35"/>
    </row>
    <row r="152" spans="1:7" x14ac:dyDescent="0.25">
      <c r="A152" s="18" t="s">
        <v>123</v>
      </c>
      <c r="B152" s="29"/>
      <c r="C152" s="29"/>
      <c r="D152" s="29"/>
      <c r="E152" s="23">
        <f>B152-D152</f>
        <v>0</v>
      </c>
    </row>
    <row r="153" spans="1:7" x14ac:dyDescent="0.25">
      <c r="A153" s="18" t="s">
        <v>124</v>
      </c>
      <c r="B153" s="29"/>
      <c r="C153" s="29"/>
      <c r="D153" s="29"/>
      <c r="E153" s="23">
        <f>B153-D153</f>
        <v>0</v>
      </c>
    </row>
    <row r="154" spans="1:7" x14ac:dyDescent="0.25">
      <c r="A154" s="18" t="s">
        <v>125</v>
      </c>
      <c r="B154" s="23"/>
      <c r="C154" s="29"/>
      <c r="D154" s="29"/>
      <c r="E154" s="23">
        <f t="shared" ref="E154" si="15">B154-C154</f>
        <v>0</v>
      </c>
    </row>
    <row r="155" spans="1:7" x14ac:dyDescent="0.25">
      <c r="A155" s="79" t="s">
        <v>100</v>
      </c>
      <c r="B155" s="77">
        <f>SUM(B150:B154)</f>
        <v>0</v>
      </c>
      <c r="C155" s="24">
        <f>SUM(C150:C154)</f>
        <v>0</v>
      </c>
      <c r="D155" s="24">
        <f>SUM(D150:D154)</f>
        <v>0</v>
      </c>
      <c r="E155" s="85">
        <f>SUM(E150:E154)</f>
        <v>0</v>
      </c>
      <c r="G155" s="35"/>
    </row>
    <row r="157" spans="1:7" x14ac:dyDescent="0.25">
      <c r="A157" s="90"/>
      <c r="B157" s="220"/>
      <c r="C157" s="220"/>
      <c r="D157" s="220"/>
      <c r="E157" s="220"/>
      <c r="F157" s="220"/>
    </row>
  </sheetData>
  <mergeCells count="30">
    <mergeCell ref="B157:F157"/>
    <mergeCell ref="B52:C52"/>
    <mergeCell ref="D52:E52"/>
    <mergeCell ref="F52:G52"/>
    <mergeCell ref="P122:Q122"/>
    <mergeCell ref="K101:K102"/>
    <mergeCell ref="K103:K114"/>
    <mergeCell ref="A145:A146"/>
    <mergeCell ref="B145:C145"/>
    <mergeCell ref="F145:F146"/>
    <mergeCell ref="O116:Q116"/>
    <mergeCell ref="C122:D122"/>
    <mergeCell ref="F122:G122"/>
    <mergeCell ref="I122:J122"/>
    <mergeCell ref="M122:N122"/>
    <mergeCell ref="L116:N116"/>
    <mergeCell ref="A1:E1"/>
    <mergeCell ref="A116:A117"/>
    <mergeCell ref="B116:D116"/>
    <mergeCell ref="E116:G116"/>
    <mergeCell ref="H116:J116"/>
    <mergeCell ref="H52:I52"/>
    <mergeCell ref="A98:A99"/>
    <mergeCell ref="B98:D98"/>
    <mergeCell ref="E101:F101"/>
    <mergeCell ref="G101:H101"/>
    <mergeCell ref="I101:J101"/>
    <mergeCell ref="A52:A53"/>
    <mergeCell ref="I103:I114"/>
    <mergeCell ref="J103:J114"/>
  </mergeCells>
  <conditionalFormatting sqref="E50 E3 E42 O122:O139 O118:Q120 E6:E10 E45:E48 E84:E96 P123:Q139">
    <cfRule type="cellIs" dxfId="5" priority="6" operator="notEqual">
      <formula>0</formula>
    </cfRule>
  </conditionalFormatting>
  <conditionalFormatting sqref="E78 E81 H54:I74">
    <cfRule type="cellIs" dxfId="4" priority="5" operator="notEqual">
      <formula>0</formula>
    </cfRule>
  </conditionalFormatting>
  <conditionalFormatting sqref="E143">
    <cfRule type="cellIs" dxfId="3" priority="4" operator="notEqual">
      <formula>0</formula>
    </cfRule>
  </conditionalFormatting>
  <conditionalFormatting sqref="I103:J114 F147 E151:E155">
    <cfRule type="cellIs" dxfId="2" priority="3" operator="notEqual">
      <formula>0</formula>
    </cfRule>
  </conditionalFormatting>
  <conditionalFormatting sqref="E45:E47">
    <cfRule type="cellIs" dxfId="1" priority="2" operator="notEqual">
      <formula>0</formula>
    </cfRule>
  </conditionalFormatting>
  <conditionalFormatting sqref="E150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alidate">
                <anchor moveWithCells="1" sizeWithCells="1">
                  <from>
                    <xdr:col>5</xdr:col>
                    <xdr:colOff>390525</xdr:colOff>
                    <xdr:row>0</xdr:row>
                    <xdr:rowOff>314325</xdr:rowOff>
                  </from>
                  <to>
                    <xdr:col>6</xdr:col>
                    <xdr:colOff>800100</xdr:colOff>
                    <xdr:row>0</xdr:row>
                    <xdr:rowOff>981075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8"/>
  <sheetViews>
    <sheetView workbookViewId="0">
      <selection activeCell="A13" sqref="A13"/>
    </sheetView>
  </sheetViews>
  <sheetFormatPr defaultRowHeight="15" x14ac:dyDescent="0.25"/>
  <cols>
    <col min="1" max="1" width="85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59</v>
      </c>
    </row>
    <row r="7" spans="1:1" x14ac:dyDescent="0.25">
      <c r="A7" t="s">
        <v>25</v>
      </c>
    </row>
    <row r="8" spans="1:1" x14ac:dyDescent="0.25">
      <c r="A8" t="s">
        <v>26</v>
      </c>
    </row>
    <row r="9" spans="1:1" x14ac:dyDescent="0.25">
      <c r="A9" t="s">
        <v>27</v>
      </c>
    </row>
    <row r="10" spans="1:1" x14ac:dyDescent="0.25">
      <c r="A10" t="s">
        <v>28</v>
      </c>
    </row>
    <row r="13" spans="1:1" x14ac:dyDescent="0.25">
      <c r="A13" t="s">
        <v>57</v>
      </c>
    </row>
    <row r="18" spans="1:1" x14ac:dyDescent="0.25">
      <c r="A18" t="s">
        <v>58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"/>
  <sheetViews>
    <sheetView workbookViewId="0">
      <selection activeCell="A2" sqref="A2"/>
    </sheetView>
  </sheetViews>
  <sheetFormatPr defaultRowHeight="15" x14ac:dyDescent="0.25"/>
  <cols>
    <col min="1" max="1" width="79.140625" bestFit="1" customWidth="1"/>
    <col min="2" max="2" width="94.28515625" bestFit="1" customWidth="1"/>
    <col min="3" max="3" width="26.42578125" bestFit="1" customWidth="1"/>
  </cols>
  <sheetData>
    <row r="1" spans="1:3" x14ac:dyDescent="0.25">
      <c r="A1" t="s">
        <v>3</v>
      </c>
      <c r="B1" t="s">
        <v>65</v>
      </c>
      <c r="C1" t="s">
        <v>66</v>
      </c>
    </row>
    <row r="2" spans="1:3" x14ac:dyDescent="0.25">
      <c r="A2" s="8" t="s">
        <v>67</v>
      </c>
      <c r="B2" t="s">
        <v>68</v>
      </c>
      <c r="C2" t="s">
        <v>69</v>
      </c>
    </row>
    <row r="3" spans="1:3" x14ac:dyDescent="0.25">
      <c r="A3" s="8" t="s">
        <v>70</v>
      </c>
      <c r="B3" t="s">
        <v>71</v>
      </c>
      <c r="C3" t="s">
        <v>72</v>
      </c>
    </row>
    <row r="4" spans="1:3" x14ac:dyDescent="0.25">
      <c r="A4" s="8" t="s">
        <v>73</v>
      </c>
      <c r="B4" t="s">
        <v>74</v>
      </c>
      <c r="C4" t="s">
        <v>69</v>
      </c>
    </row>
    <row r="5" spans="1:3" x14ac:dyDescent="0.25">
      <c r="A5" s="8" t="s">
        <v>75</v>
      </c>
      <c r="B5" t="s">
        <v>76</v>
      </c>
      <c r="C5" t="s">
        <v>69</v>
      </c>
    </row>
    <row r="6" spans="1:3" x14ac:dyDescent="0.25">
      <c r="A6" s="8" t="s">
        <v>77</v>
      </c>
      <c r="B6" t="s">
        <v>78</v>
      </c>
      <c r="C6" t="s">
        <v>69</v>
      </c>
    </row>
    <row r="7" spans="1:3" x14ac:dyDescent="0.25">
      <c r="A7" s="8" t="s">
        <v>79</v>
      </c>
      <c r="B7" t="s">
        <v>80</v>
      </c>
      <c r="C7" t="s">
        <v>69</v>
      </c>
    </row>
    <row r="8" spans="1:3" x14ac:dyDescent="0.25">
      <c r="A8" s="8" t="s">
        <v>81</v>
      </c>
      <c r="B8" t="s">
        <v>82</v>
      </c>
      <c r="C8" t="s">
        <v>69</v>
      </c>
    </row>
    <row r="9" spans="1:3" x14ac:dyDescent="0.25">
      <c r="A9" s="8" t="s">
        <v>83</v>
      </c>
      <c r="B9" t="s">
        <v>84</v>
      </c>
      <c r="C9" t="s">
        <v>69</v>
      </c>
    </row>
    <row r="10" spans="1:3" x14ac:dyDescent="0.25">
      <c r="A10" s="8" t="s">
        <v>85</v>
      </c>
      <c r="B10" t="s">
        <v>86</v>
      </c>
      <c r="C10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</vt:lpstr>
      <vt:lpstr>HX Day -1</vt:lpstr>
      <vt:lpstr>K8 Day -1</vt:lpstr>
      <vt:lpstr>HX Day 0</vt:lpstr>
      <vt:lpstr>K8 Day 0</vt:lpstr>
      <vt:lpstr>K8 Day 1</vt:lpstr>
      <vt:lpstr>HX Day 1</vt:lpstr>
      <vt:lpstr>Reconciliation</vt:lpstr>
      <vt:lpstr>References</vt:lpstr>
      <vt:lpstr>Branch Pre checks</vt:lpstr>
      <vt:lpstr>Disable</vt:lpstr>
      <vt:lpstr>MigDate</vt:lpstr>
    </vt:vector>
  </TitlesOfParts>
  <Company>SAINT-GOBAIN 1.8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Betony, Lisa</cp:lastModifiedBy>
  <dcterms:created xsi:type="dcterms:W3CDTF">2018-02-13T10:47:18Z</dcterms:created>
  <dcterms:modified xsi:type="dcterms:W3CDTF">2018-08-08T09:14:38Z</dcterms:modified>
</cp:coreProperties>
</file>